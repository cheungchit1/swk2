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4540"/>
  </bookViews>
  <sheets>
    <sheet name="900条整合编码" sheetId="1" r:id="rId1"/>
    <sheet name="编码统计" sheetId="2" r:id="rId2"/>
    <sheet name="编码手册"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<sst xmlns="http://schemas.openxmlformats.org/spreadsheetml/2006/main" count="9228" uniqueCount="3292">
  <si>
    <t>评论编号</t>
  </si>
  <si>
    <t>语言组</t>
  </si>
  <si>
    <t>Steam推荐状态</t>
  </si>
  <si>
    <t>有价值人数</t>
  </si>
  <si>
    <t>欢乐人数</t>
  </si>
  <si>
    <t>游戏时长(小时)</t>
  </si>
  <si>
    <t>发表时间</t>
  </si>
  <si>
    <t>原文</t>
  </si>
  <si>
    <t>中文译文/分析文本</t>
  </si>
  <si>
    <t>A_视听表现</t>
  </si>
  <si>
    <t>B_战斗操作</t>
  </si>
  <si>
    <t>C_探索设计</t>
  </si>
  <si>
    <t>D_技术稳定</t>
  </si>
  <si>
    <t>E_整体评价</t>
  </si>
  <si>
    <t>F_文化接近性</t>
  </si>
  <si>
    <t>G_文化折扣/理解障碍</t>
  </si>
  <si>
    <t>H_国产3A/身份期待</t>
  </si>
  <si>
    <t>A1_画面美术场景</t>
  </si>
  <si>
    <t>A2_音乐音效配音</t>
  </si>
  <si>
    <t>A3_演出角色怪物设计</t>
  </si>
  <si>
    <t>B1_动作打击手感</t>
  </si>
  <si>
    <t>B2_Boss战斗节奏</t>
  </si>
  <si>
    <t>B3_难度挑战</t>
  </si>
  <si>
    <t>B4_锁定视角</t>
  </si>
  <si>
    <t>B5_判定反馈</t>
  </si>
  <si>
    <t>C1_地图路线</t>
  </si>
  <si>
    <t>C2_空气墙可达性</t>
  </si>
  <si>
    <t>C3_探索隐藏支线</t>
  </si>
  <si>
    <t>C4_引导迷路单线</t>
  </si>
  <si>
    <t>D1_优化帧率</t>
  </si>
  <si>
    <t>D2_崩溃闪退</t>
  </si>
  <si>
    <t>D3_Bug兼容硬件</t>
  </si>
  <si>
    <t>E1_整体完成度</t>
  </si>
  <si>
    <t>E2_推荐价值判断</t>
  </si>
  <si>
    <t>F1_西游悟空符号</t>
  </si>
  <si>
    <t>F2_童年记忆情怀</t>
  </si>
  <si>
    <t>F3_本国媒介路径</t>
  </si>
  <si>
    <t>F4_中国文化宗教语言审美</t>
  </si>
  <si>
    <t>G1_剧情叙事理解</t>
  </si>
  <si>
    <t>G2_原典知识人物关系专名</t>
  </si>
  <si>
    <t>G3_本地化翻译</t>
  </si>
  <si>
    <t>G4_外部资料依赖</t>
  </si>
  <si>
    <t>G5_角色期待意义偏移</t>
  </si>
  <si>
    <t>H1_国产3A身份期待</t>
  </si>
  <si>
    <t>一级编码数</t>
  </si>
  <si>
    <t>二级编码数</t>
  </si>
  <si>
    <t>二级编码标签</t>
  </si>
  <si>
    <t>有编码</t>
  </si>
  <si>
    <t>未命中</t>
  </si>
  <si>
    <t>多主题</t>
  </si>
  <si>
    <t>词典情感分值</t>
  </si>
  <si>
    <t>情感类别（自动）</t>
  </si>
  <si>
    <t>情感字母</t>
  </si>
  <si>
    <t>计分文本来源</t>
  </si>
  <si>
    <t>CN-P-001</t>
  </si>
  <si>
    <t>中文</t>
  </si>
  <si>
    <t>推荐</t>
  </si>
  <si>
    <t>2024-08-20</t>
  </si>
  <si>
    <t>《黑神话:悟空》对我们这代长年接触单机游戏，但往往只有欧美和日厂游戏可玩的玩家而言，真可谓是一剂强心剂。尽管近些年来优秀的国产独立游戏层出不穷，其中不乏同样能体现中华文化的佳作，但国人心中始终心怀一个梦想，“要有国产3A游戏就好了”。可能单从游戏性上规格体量高的游戏也并不能说明什么，但这却的的确确是游戏工业化的一大标签，对于突破国界向世界展现文化影响力而言，高规格游戏也有其不可替代性，从没有一个国家的玩家会整日将如“3A游戏”的词汇挂在嘴边，足可见他们的渴望。就在这如同荒漠渴望雨水时，2020年8月20日，大圣踩着筋斗云出现了
 四年之约终有期 
我第一次看见游戏PV时还是在大学时期，大圣变为一只金蝉进入黑风山，在就像是人参成精的土地公公指引下，进入观音禅院挑战被玩家戏称为“毛多弱火”的灵虚子。这一段预告相当激励人心，和国外一线大作肉眼几乎看不出明显差距的超强画面表现力，让无数国人玩家深藏在心中的梦想悄然间长出萌芽。毕竟相较于国外的蝙蝠侠、蜘蛛侠、美国队长等诸多有着超能力的硬汉，齐天大圣才一直是我们孩童时期的幻想，属于我们自己的超级英雄！而在高规格的游戏画面里耳边响起经典的“云宫迅音”，眼前是大圣的金箍棒，我至今难以忘记当初随着音乐鼓点颤动的心跳
但PV毕竟只是PV，我虽然在之后的每次观看黑神话预告时都还是会“焚香沐浴”一番，戴上耳机端坐在电脑前，而不会只是在手机小屏幕上观看，但在黑神话这四年时间的前后，数个尽管影响力没有这般大但同样相对高规格的国产游戏，或上线后褒贬不一、有限销量然后道歉下架绝版喜加一，要么干脆的胎死腹中，网上留存的也仅有一些片段。从以前的国产EA阶段游戏不可信、到现在的高规格游戏个个难产，让其声誉降至谷底，导致我其实对《黑神话:悟空》也难提起更多信心，说到底，这毕竟只是游戏科学团队应对如此体量作品的处女作，一个从未统筹过如此大项目的团队，甚至第一个PV的初衷还更多是因为团队缺人的缘故，面对如此这般泼天的流量和关注，是否能静下心来、保持初心的好好做游戏，对此我始终心存疑虑，更惶恐这如果真是一场“诈骗”对目前纤柔的萌芽阶段会是怎样一个毁灭性打击
2024年8月20日，没有跳票的，《黑神话:悟空》如期上线了。其实就在几天前的性能测试工具开放时，我这颗忐忑的心就放下了大半，一个如此有信心，在游戏开售前弄个测试工具事先应对玩家对游戏优化的疑虑，实际测试结果对中低端硬件的明显包容，很难让人不相信，游戏科学团队的确也已做好万全准备。而面对游戏发售前的泄露事件，制作人冯骥老师更是直接坦言道
 最后，我依然很有信心，无论你（无意或是被迫）提前看过了多少已经泄露的内容，这个游戏仍然会带给你从未有过的感受与足够独特的乐趣。所以，不必担心，不必懊恼，《黑神话：悟空》没那么脆弱 
是的，我相信《黑神话:悟空》没有这么脆弱，我相信这会是款足够好玩的游戏，不用媒体评分，不用看泄露视频，越临近答案揭晓的时刻，我越有信心，我从未如此笃定过
 沉醉不知归路 
不管是在过去观看预告PV的“云游戏”，还是此次自己的上手体验。《黑神话:悟空》那别具一格的、带有强烈东方元素的高级审美，都令我印象深刻。在如无头苍蝇般瞎转悠的同时，我总是被美好景致所感染的不由自主的停下前进探索的脚步，感受身边的风声蝉鸣、小桥流水和小妖怪的窃窃私语，观察着天边的第一缕阳光穿过大树的翠绿落到蒲团上，身边残破锈迹斑斑的佛陀像的双眼似乎尽显世态炎凉，自然风貌和人文建筑历经沧桑带来同样厚重感的和谐，这都是此前难以在其他国家的游戏作品中感受到的东方风韵，不需任何言语的堆砌，这种文化魅力只需要你站在那里，就会被深深的感染到
不过，在于光影的协调上不知道是不是因为我个人设置的关系，感觉存在一些小瑕疵。忽明忽暗的场景色调变化的较为频繁，不时的出现一些场景要么昏暗到影响探索，只能依赖于什么时候撞到空气墙然后亦步亦趋的继续，要么离开昏暗场景时瞬时的光暗反差表现过于明显到甚至有点晃眼。不少玩家认为这很有些“现实感”，我姑且认为这是调侃，毕竟这在美术表现如此高格调时所出现的一点点不良体验都足够明显
也正因为如此，《黑神话:悟空》也是我认为的相当适合如《刺客信条:起源》和《刺客信条:奥德赛》做个如“探索之旅”般，玩家只需要当个步行模拟器游玩的模式的游戏。并且，在游戏破圈后势必会有大量此前从未接触过ARPG游戏的轻度玩家，虽然并非说《黑神话:悟空》只有什么硬核高玩才能玩的下去，只是说，对于那部分可能对自己没什么信心，只是单纯想购买游戏权做支持的玩家而言，引入这样的探索模式对于他们来说，是个门槛几近于无的同时，能通过电子游戏感受这一份东方美学和文化浸染的好机会。而对于我们国家当前这个市场，尽可能多的加深游戏“文化赋分”的内容，强化更多正向的帽子，也不失为是件可以摆在台面上大肆宣传的好事
 看我棍棒之下无一合之敌！ 
此部分想从ARPG游戏的ACT和RPG两部分稍微展开来说一下
不得不承认，在同类游戏如此多的情况下，作为后来者《黑神话:悟空》的战斗系统还是做的很有特色。玩家主要需要通过轻重攻击来打伤害，轻攻击积累棍势，重攻击蓄力和切手技消耗棍势。除了初始的更适合追击敌人的劈棍式，还有可以将棍子撑长伫在原地然后狠狠下劈的立棍式和站在原地用长棍狠戳对面的戳棍式，三种不同的棍法也有着各自不同的延伸可供加点成长的技能点，从而产生不同的应对策略和派生流派
此外，还有诸如定身术的法术深化了悟空特色的战斗方式，随流程推进逐步解锁的诸般新法术新能力鼓励玩家尝试不同的方式战胜强敌。类同大圣七十二般变化的变身系统更让战斗的花样性有着很强的提升，虽然我个人操作有限更多时候都只能将变身期间当做肉盾扛血的休息间隙，但哪怕是最初的刀郎教头广智许多玩家也能利用好变身期间一下子打空boss们大半管血
至于和变化相似的“精魄”，玩家可以在打败精英小BOSS后，用葫芦吸收其精魄，然后在战斗中可以使出它们经典招式的一击。但老实说，我觉得“精魄”在自成体系的战斗系统中显得有些冗余，在对战中由于CD过长且作用着实有限，“精魄”的存在感属实不高，倒是在某些场合的功能性更为突出，比如可以用幽魂的捶地一击打破墙壁。不得不怀疑起初游科想的是将这些统统归到七十二变的变化中，或是工作量过大的缘故，其中的大部分变化被简化成“精魄”，让此多少显得有些格格不入
至于ARPG中的养成部分，其实《黑神话：悟空》这方面的内容较为常规，数值变化除了等级提升外的加点，更多的是通过装备属性上的加成，但装备属性的选择实则并不太自由，随阶段逐步解锁升级的装备让不同玩家之间的选择差异性也较为有限，而在某些阶段过快的装备套装更迭速度，让有些时候玩家容易产生“之前花了资源升级的某套装备好浪费，数值没提升多少不如留着升这套”的不良情绪
 在BOSS Rush的路上处处碰“壁” 
《黑神话：悟空》在关卡式分章节体的多张地图里塞满了各种的BOSS，按照其他玩家所说数量高达81只对应西行路上的九九八十一难，极度的堆量程度浪费到在只要不迷路的情况下往往走上几步路就要面对一只全新机制、此前从未接触过的新BOSS，更别提每一只BOSS所对应的各式场景和华丽演出，虽然有些时候因为尚未摸清套路显得有些受苦，但操控着“天命人”全情投入克服此前自以为难以逾越的困难，也自会产生成就感并更有勇气面对接下来遇到的其他“难”
 战斗，爽！ 
在BOSS战时视角的智能锁定成为一个问题，我因为时间有限攻略的内容不太多，关于视角问题印象很深的是在第一章关底，挑战黑熊精时，因为其庞大的体型，我在多数锁定视角下仅仅能看得到黑熊精的脚和满屏幕的黑毛，这也就导致在躲避伤害时我只能凭借此前黑熊精的攻击间隔猜测——它的下一招该出招了，或许我该躲了
而这也不仅仅是面对体型巨大的敌人会存在的视角问题，种类数量如此庞大的BOSS们，有龙跃于天的，有快速移动的，如果视角不是足够的智能，那对玩家的战斗体验多多少少会存在一些影响
在塞满BOSS的西行路上，很大一部分的BOSS并不是在主线道路上，玩家往往需要完成各种隐藏内容才能解锁，许多玩家一周目初见不看攻略通关后会赫然发现，许多的BOSS甚至都没有见到过
在大量隐藏内容之下，游戏关卡内分布较为密集的空气墙对玩家的探索造成了较负面的影响。《黑神话：悟空》并非是款开放世界的游戏，有空气墙倒逼玩家往设计好的道路上探索这无可厚非，但在一些看起来明显能走的道路上，却布好空气墙阻碍玩家前进，当这样的经历多次出现，很难说玩家能提起足够的心气在地图上尽情探索，寻找潜藏着隐藏内容。过分的限制玩家探索和塞满隐藏内容之间，这本就存在矛盾
在逼迫玩家“不撞南墙不回头”时，游戏的许多场景也缺失了必要的指引，有且仅有在附近有土地庙时我观察到在指引上有着些许设计。我丝毫不怀疑许多方向感比较强的“天命人”对此感觉毫无障碍，但对我这般麋鹿选手，在没有地图和适时指引且周边场景无明显地标之下，玩了一小时走回到了初遇的土地庙也并不新奇
 重走西行路，再临九九八十一难 
作为一部《西游记》后传作品，《黑神话：悟空》保持着严肃的改编风格，对自己理解的《西游记》做出了自己合乎逻辑自洽的注解，这让游戏并非只是成为一款简单的“Boss Rush”游戏，每一句台词，甚至于每一种小妖的图鉴都值得玩家细细揣摩，通过对原著的极致理解，通过大量自己的刻画，通过寥寥数笔描绘出了数个经典人物，并适时的引入包括“天命人”在内的全新设定却不显违和，就好像故事天然的就应该这么走下去
其实，设身处地的想，如果我是一名外国人，玩到《黑神话：悟空》这样的游戏，虽然依旧觉得好玩，但由于缺乏了那股子土生土长的文化浸染力，在游戏内容设计之外处处透着难以理解的排斥感，恐怕这也只是会成为我生命中一过客的游戏，和其他的动作游戏并没有太大的不同
但站在现下的这个时代背景下，国内单机游戏市场称之为荒漠虽然有些夸张但还是挺有现实性的，此时出现了一款游戏，将中国人耳熟能详的故事搬进每个玩家的荧幕前，熟悉的角色操着地道的口音，一进游戏默认的中文字幕中文配音，而老外却要苦恼有时候莫名出现BUG英文配音丢失
从想玩游戏没地方玩到处找资源，到找到资源了苦等汉化组出汉化。从终于有许多游戏玩了但都是海外游戏，到今天的国产游戏也证明了它不是丝毫没有可取之处。这条路我们走的好累，但终于见到了荒漠中的翠绿萌芽。《黑神话：悟空》于国人玩家而言远不是一款游戏这么简单，在移动端收益已进入下降趋势，手游的研发、发行、运营也变成一个“卷”且“烧钱”的过程，这样一款在商业上成功的游戏，也势必会有资本涌进高规格精品游戏的制作中，许多在过去胎死腹中的游戏甚至会有机会重新启航
就如同直到今天还不断涌现的各种类完蛋的恋爱FMV游戏，希望国产游戏的春天也能伴随着这股春风早日到来</t>
  </si>
  <si>
    <t>画面美术场景；音乐音效配音；演出角色怪物设计；动作打击手感；Boss战斗节奏；难度挑战；锁定视角；判定反馈；地图路线；空气墙可达性；探索隐藏支线；引导迷路单线；优化帧率；Bug兼容硬件；整体完成度；推荐价值判断；西游悟空符号；中国文化宗教语言审美；外部资料依赖；角色期待意义偏移；国产3A身份期待</t>
  </si>
  <si>
    <t>正面</t>
  </si>
  <si>
    <t>P</t>
  </si>
  <si>
    <t>CN-P-002</t>
  </si>
  <si>
    <t>历时两月，终得八十一难圆满，欢喜之余写下本测评。
还记得2020年8月20号，黑神话第一个PV横空出世的日子；对那时的我而言不过是平静且普通的一天。我在公司座位上摸鱼，数着时间等下班吃饭。突然游戏群里转了一个视频，转发人无比激动大呼牛逼。
我粗略一看标题：“...悟空...实机演示...”。嗨呀，估计又是个以西游记为噱头骗投资的玩意儿。看到大圣归来骗了那么多经费，也想学一学？
虽说有些嗤之以鼻，但我还是点开了视频。
嗯？这个配音？嗯？这种品质的画面？？纯实机演示？真的假的？这个制作水平，真的是国内游戏公司能做出来的？
我惊讶欣喜，紧接着，《如意金箍棒》五个大字一出，我心中一震。随后，雷音寺、紧箍咒、四大天王、筋斗云、大闹天宫等耳熟能详的元素一一展现，我仿佛又回到了小时候和弟弟挤在电视机前看86版西游记的日子；再接着，唢呐吹奏的云宫迅音如雷贯耳般将我惊醒，我这才发现我的眼眶已经湿润一片。画面结束，我却激动到不能自己，浑身止不住地颤抖，整个人恍若梦中。
那一天我把整个PV重复看了无数遍。人生中少有时刻能激动至此，以至于过了4年，当时的感受仍然历历在目。
后来，我一直在想，黑神话的PV热度如此之高，无疑已经到达破圈的程度。如果黑神话真的按PV的规格做出来了，无疑会给死气沉沉的国产单机带来改变；若发售后销量口碑不差，甚至还会给与市场对于单机蓝海的信心；也许会有更多公司将目光从手游网游转向单机，也许我作为玩家能玩到更多国产游戏？
同时我也心慌：如果这个游戏到头来只是一场骗局，实际内容真的只有PV展示的内容，甚至大幅缩水，那对国内单机玩家而言肯定是无比沉重的一击，就像血狮、幻那样，劣质游戏一步步将玩家对国内厂商的信任消耗殆尽，最终对国产单机再无期望。
很幸运，游戏科学做到了。他们证明了，国内并不是做不出好游戏，只是没人去做。
同时，我也很高兴，玩家们也证明了，国内并不缺少为单机付费的人，而是缺少值得去付费的游戏。所谓国内单机市场小、玩家都是玩盗版，做单机死路一条的言论，或许在十几年前是对的，但到了如今，全都不攻自破。
祝愿国产单机能越来越好。</t>
  </si>
  <si>
    <t>画面美术场景；音乐音效配音；动作打击手感；引导迷路单线；整体完成度；推荐价值判断；西游悟空符号；童年记忆情怀；国产3A身份期待</t>
  </si>
  <si>
    <t>CN-P-003</t>
  </si>
  <si>
    <t>献给中国玩家的一封情书 ：                                                                                                                                                    你曾无数次地在游戏世界里扮演着不同的角色：你曾纵马驰骋在狂野的美国西部，书写一代枭雄落幕前的史诗，最终见证了一位想成为好人or坏人的传奇牛仔—— “亚瑟·摩根 ”以悲剧的形式谢幕；你曾在希腊神话里屠戮众神，完成自己的复仇，挣脱命运的束缚，最终成为新的 “战神”——奎爷，于北欧国度中与儿子续写传奇；你曾扮演一位被称为 “白狼” 的猎魔人，在追寻身负上古之血的养女时沉迷于昆特牌亦或是打桩等活动，与此同时书写着属于“利维亚的杰洛特” 最后的故事；你曾徘徊于历史与现代，在文艺复兴的欧洲见证了一代刺客大师的蜕变，并造就了一代代刺客的薪火相传，只为捍卫属于他们的 “信条” ；你曾甘为 “褪色者” ，在交界地中向众神发起挑战，受尽苦痛，磨练技术，终究如愿成为“艾尔登之王”，开辟了一个新的时代；你曾扮演一位名为 “狼” 的忍者，穿梭于日本战国时代的各个角落，历经战乱与冲突，不断提升自身实力挑战各路奇能异士，只为履行职责——保护主人；你曾以 “勇者林克” 的身份在未知的神殿醒来，跨越整个海拉鲁大陆，凭借自己的创造性与想象力自由地探索，上演了一出拯救公主的经典戏码，诠释了忠诚与勇气的可贵；你也曾为实现那理想中的“美国梦”，自由地在洛圣都中做想做的事，扮演那三个男人闯出了一片天地，最终也毫不犹豫地选择以 “死亡之愿” 谢幕…… （其余请自行补充）在你曾扮演过的这些游戏角色中，你可能拯救了无数个支离破碎的世界，亦或是在许多不同的世界中自由地探索冒险，书写了无数动人心弦的故事，了解了异国他乡的风土人情，感受到了不同国家文化展现的魅力。然而在看着身边的一个个同龄人被国内的一些同质化网游和手游蚕食甚至沉迷于为皮肤氪金时，难免也会不甘地想到：我们什么时候才能做出这样的好游戏啊...                                             直到2020.8.20这一天，一个名不经传的公司默默地发布了一则预告片，这个带着国风标签的3A大作就此出现在了大众的视野里，重燃起了国单的希望。而四年后的这一天，你终于能够来到这个熟悉而又陌生的世界，扮演一只似曾相识的猴子，亦或是儿时耳熟能详的齐天大圣，书写独属于家乡的故事，在这充满着归属感的4k蓝光超高清修复版的“西游记”里作为一位天命人重新踏上一段熟悉的征程，直面你的天命……现在很多游戏都适配了简中甚至拥有中配了，但我还是想说：                                                                           以前是：Language——简体中文                                                                                                                                    这次是：语言——English！！！                                                                                                                                           最后，虽然目前某些所谓的评分争议很大，可能低于很多人的期望（个人而言挺不甘心的）但是在承载了众多国内外玩家以及制作者多年的期盼，甚至已经破圈的前提下，他们已经用行动证明了国单市场是存在的，因此我认为黑神话：悟空不仅已经做到了一款国单玩家心中的3A游戏该有的水平，也让人们有了重温经典的动力，毕竟“踏上取经路，比抵达灵山更重要！”于某些更早一批的玩家而言，这一天不止等了四年，更不是七年，而是四十余年......再于中国文化而言，始于明朝吴承恩的《西游记》原著，于1961年最早的动画电影《大圣归来》开始，到经典的86版的《西游记》，95年星爷的《大话西游》，99的动画片《西游记》，15年国产动画电影回归之作《西游记之大圣归来》，再到如今横空出世的《黑神话：悟空》，大圣从始至终都在引领我们做出改变....所以无论如何，它都是独属于我们国人的浪漫。我希望游科的这群理想主义者在这部白骨之后以七年磨一剑的作品能够大卖，将我们这款中国人自己做的第一款真正意义上的3A大作带向世界。毕竟就目前国内急功近利的游戏环境而言，眼下正是黑神话，也只有黑神话，才能够打破国内外的偏见，重振国单市场，带领中国游戏真正地立足于世界，给国内那些所谓的大厂树立一个真正的榜样，做我们曾不敢做的梦。                                                                                                                                                          事实证明游戏早已不仅仅是娱乐，更不只是圈钱的“电子鸦片”，而是一种能将经典再现的艺术，更是一种文化输出的全新途径。毋庸置疑的是我认为这款游戏已足矣成为中国游戏史上的一块里程碑，它也有资格代表着第九艺术传达我们的文化，为咱们的文化正名。而我也坚信这仅仅是一个开始。                                                                                                                                                                                                                                                                                                ———愿云宫迅音奏响于世界之巅                                                                                                                                                                                                                                                                                                                                               接着耍🐒去了</t>
  </si>
  <si>
    <t>画面美术场景；音乐音效配音；演出角色怪物设计；难度挑战；锁定视角；探索隐藏支线；整体完成度；推荐价值判断；西游悟空符号；童年记忆情怀；本国媒介路径；中国文化宗教语言审美；角色期待意义偏移；国产3A身份期待</t>
  </si>
  <si>
    <t>CN-P-004</t>
  </si>
  <si>
    <t>四年等待不负期望
依稀记得，2020年8月20日，对于大多数人来说，本是平常的一天，但一款名为《黑神话悟空》的游戏发布了第一支PV实机演示视频。
　欢迎关注 网易UU鉴赏家培养计划
　关注UU加速器VX公众号，回复“steam”，获得专属玩家群邀请。　
经典的说书人旁白，贴近原著高度还原的神通变化，如意金箍棒，定身术和分身术，激战刀郎教头与灵虚子的战斗场景，压迫感十足的四大天王与孙悟空对峙等内容都让国内的玩家沸腾了——首款国产3A游戏，还是以大家耳熟能详的西游记作为背景故事！
视角回到现在，这段视频已不再是想象的片段，苦等4年，《黑神话悟空》终于发售了！它也没有辜负玩家们的期待，目前我已爆肝打到第六章，游戏质量早已远远超出我的预期，我必须发自真心的说一句《黑神话悟空》牛逼！
玩法心得
先分享下攻略吧，说实话，目前很多人吹的棍花流其实到了游戏中后期强度真的一般，我来给大家推荐一套比较强力的狂战暴力玩法！
套装：红孩儿四件套（25增伤，30易伤）
武器：天龙棍（140攻击，9暴率，蓄力引雷上身，攻击附带雷伤害）
饰品：必带两个金纽（满血加攻击一个，仙胞石片（攻击无视抗性）
葫芦：妙仙葫芦＋龙膏（倒马毒钩，双冠血，蜂山石髓，净瓶柳叶）
法宝：绣花针
精魄：疯虎
输出手法：进门吃龙光倍力丸，聚珍伏虎丸（其余药丸可以考虑吃霸体或者棍势积累），之后开禁字法，蓄满等身上落雷。基本大部分BOSS都可以2到4棍子直接敲死。
千秋万代永相颂，七十二变显神通（战斗系统）
作为一款ARPG游戏，本作的战斗体验相当爽快，玩家扮演的“天命人”可以使用类似《仁王》架势的三种棍法，每种棍法都有独特的重攻击以及普攻接重攻的切手技。
劈棍重击可移动自由态蓄力，切手技可GP（看破，弹反）敌人攻击并进行反击，是勇猛激进的棍法。
立棍重击可免疫大部分伤害竖立而上进行蓄力，切手技为大范围扫荡攻击，是适合应对群攻的棍法。
戳棍重击能超远距离攻击并击退敌人，切手技则能够自由拉开与敌人之间的距离，再合适的时机撤步还能触发一些特殊效果，是最灵活多变的棍法。
根据战况不同使用不同的棍法，会有一种兵来将挡,见招拆招的爽快感！
除了棍法，游戏还有法术，变化，法宝等多种辅助战斗的手段！法术皆还原了原作大圣的神通，例如定住敌人的定身术，拔下一根毫毛召唤出万千分身的分身术！变化则是打败支线BOSS后消耗神力可以化身为这些BOSS，也有独特的精魄技可在短时间内幻化为妖怪形态进行攻击（妖怪技），至于法宝也是原著中各种耳熟能详的法宝，对特定敌人使用特定法宝会有一些意向不到的强力效果。
这些元素结合在一起，形成了一套没有太大上手门槛又充满可玩性的战斗系统 ，唯一的瑕疵是三个棍法普攻模组没有变化，有点小失望。
油锅刀山无所惧，入海遁地破苍穹（关卡及支线设计）
本作采用的是关卡制，每一大关都是一个规模庞大的箱庭小世界。BOSS的数量也突出一个量大管饱，有多达80多个BOSS。此外其中有三分之一是隐藏BOSS，需要玩家通过支线或者探索才能发现他们。许多BOSS还有二阶段同时有着不低的挑战性，各种招式动作也完美还原了原作，可以说本作的BOSS战也是一大亮点。但部分大型BOSS的视角锁定做的有点不尽人意，例如第三章的亢金龙，视角乱飘，攻击很容易落空。部分地图的设计跟指引也存在些许瑕疵，第二关跟第三关好多岔路感觉都不明所以，还有一些看似能走的路结果是空气墙也有点影响玩家的游玩体验。
不过瑕不掩瑜，量大管饱又富有挑战性的BOSS战完全弥补了这些缺点。
长生不死何须恋？不畏神权铁骨铮 （养成系统）
本作在养成方面也不算复杂，没有魂类游戏属性加点，只有个简单易懂的技能树。
大多数技能都能直接提升角色性能跟增加新的动作，当然也有单纯的提升数值的强化，技能随时可在土地庙无代价洗点，最后也能全部点满。（我目前还没通关，不确定高周目能不能全部点满，但我个人感觉应该是能全部点满）
除了技能树，当然少不了装备系统，游戏的装备可以通过各种素材进行打造，每套防具跟武器还有各种特殊的套装效果。打败一些头目时还能获得叫做“玲珑内丹”的道具，交予NPC炼丹后可以永久提升属性上限。 回血道具“葫芦”也能强化自由组合各种效果，使回复机制更加有趣。
关于云存档
本作在Steam平台与WeGame平台均有发售，，两个平台也均有自己的云存档，但是偶尔会遇到云存档上传下载不成功的时候。（特别是福建地区的小伙伴，云存档经常抽风），所以为云存档设置保险还是很有必要的，UU加速器的云存档功能，无论是换电脑玩时存档误覆盖，还是各种问题导致存档损坏。相信这样惨痛的经历依然时常发生，但这次决不能。即便不是会员，也可以免费使用UU云存档功能，全程无需手动，完全自动备份。
并且保留多个档位，面对一些一周目容易错过的支线或者隐藏BOSS，也可以多一个备份，免去二周目烦恼，直接在备份的档位再次选择即可。
另外UU也提供了UU存档市集， C酱、黑桐谷歌等知名主播存档，玩家可以下载下来跟着主播进度玩，多种攻略配合存档，手把手教，包爽！此外还有各种全成就档、全收集档、boss rush档等。总之，你需要的存档，这里都有。
除此之外现在还有抽奖活动，试试自己的手气，说不定就能白嫖游戏直接回本。
结语
顶尖的美术，还原原作各种宏大场景的画面表现，简单易上手又有趣的战斗跟养成系统，量大管饱富有挑战性的BOSS战，《黑神话悟空》是毫无疑问的国产神作！
甚至对于国内玩家而言，这部作品的意义早已超越了一款普通游戏的范畴，游科现在走的正是一条国内近十几年来“前无古人”的道路——制作一款真正意义上的3A大作！
希望国内还会有更多有志之士挑起游戏行业的大旗，接过游科的接力棒，将我们国家五千年的深厚文化底蕴展现出去。</t>
  </si>
  <si>
    <t>画面美术场景；动作打击手感；Boss战斗节奏；难度挑战；锁定视角；地图路线；空气墙可达性；探索隐藏支线；引导迷路单线；优化帧率；整体完成度；推荐价值判断；西游悟空符号；中国文化宗教语言审美；外部资料依赖；国产3A身份期待</t>
  </si>
  <si>
    <t>CN-P-005</t>
  </si>
  <si>
    <t>53小时，一周目完成，可以评测了。《黑神话：悟空》第九艺术，实至名归，美术之精良，音乐之精美，打斗之精彩...再多的溢美之词其实都不能表达它带给我的震撼。我从没有在其他游戏中如此频繁地打开拍照模式，部分关卡的美术资源真的是铺张到“令人发指”的地步。部分Boss设计如毒敌大王、大圣残躯、虎先锋、亢金龙...着实让人印象深刻，大开大合、见招拆招是真的做出了中式武侠过招的感觉，有的Boss真的算比较难的，但与魂类不同，这些Boss对我而言不会给人一种“我完全过不了”的坐牢感觉，很多时候都是感觉“差一点，应该马上就过了”。即使失误挨打，被一套带走，也会不由叹一句“这Boss设计好酷”。诚然，作为中国玩家，从2020年8月20日开始，我就带着各种光环来看待这个游戏，但是即使抛开国产、西游、第一部3A...在4年之后的今天，它依然是一款足够出色的游戏，一款足够“好玩”的游戏，一款足够“用心”的游戏，更是一款足够“有深度”的游戏。即使夸赞这么多，也不能说它就是“完美”的，相反，关卡设计，引导，还是体现出了不可忽视的短板，这类问题导致的割裂感，在第五、六章节极为明显。同时，与巨大体型Boss的战斗交互，也是需要加强的。这类需要靠经验积累的能力，还是稍显稚嫩，但也显得真实，毕竟这真的是中国3A单机市场的第一作，这种“不完美”，已经比我预想的好了太多。求其上者，得其中。能在全球范围内取得如今的口碑，我其实可以隐约感受到它在开发过程中所耗费的心血与煎熬。在国内，单机游戏这条路，依然是艰难的。但，这个世界需要“务实的理想主义者”，踏上西行之旅，比抵达灵山，更重要。感谢"游戏科学"带来的这场西游大梦，也希望更多的“游戏科学”拓宽这条刚开辟的小路，一步步百花齐放，给全球玩家带来更多的感动。</t>
  </si>
  <si>
    <t>画面美术场景；音乐音效配音；Boss战斗节奏；地图路线；引导迷路单线；整体完成度；推荐价值判断；西游悟空符号；国产3A身份期待</t>
  </si>
  <si>
    <t>CN-P-006</t>
  </si>
  <si>
    <t>为了纪念这个游戏转眼间到了发售的日子，就让我想到了一个在这游戏发布的前前三天，正好是我一个朋友的生日。在2021年8月17日的时候，他说真希望能在我下一个生日之前发售，真希望能早点玩到国产魂类的3A游戏。因为2020年8月20日，游戏发布公布首段实机演示视频，拉满了他的期待。在2022年8月17日的时候，他说游戏用上新的引擎，也公示了更多信息，应该不久就要发售了吧。因为2021年8月20日开发团队再次释出一支12分钟的演示预告，由虚幻引擎5实机录制。在2023年8月17日的时候，我想他会说希望剧情能好一点，不要砸了这个招牌就好了。因为2022年8月20日，开发团队发布一支6分20秒剧情短片。在2023年8月17日的时候，我想他一定会带着我去杭州。因为2023年8月20日在杭州举办线下试玩会，体验内容包括多个首领挑战以及独立的关卡片段。时间一转而过就是五年，就想人们常说的，“你永远都不知道意外和明天到底哪一个会先来临”。可是到了游戏发售的日子，他却什么也说不了了。在去年迈入春天的时候，他却倒在了医院惨白的病床上，我当时就在一旁看着他的监护器的波纹逐渐趋近于水平，当什么都化为0的时候，我就知道和我随行那么多年的人，和我玩了那么久游戏的人，却还没能看到他期待的游戏上架就先离去。在2021年的时候，他检测出肺癌晚期，当时不相信自己长期不停的咳嗽居然是肺癌的症状。在2022年的时候，他辗转于医院的各个科室，会诊各个名医，只为了延续他的生命。在2023年的冬天，他给我看了他的病例报告单，上面写了19项病症，他说看到这么多癌转移，还有什么治疗的机会。于是他做了一个决定，他要把自己捐献给医学事业，当时我很震惊也很感动，我想他做了他能做的了吧。他很普通，也很平凡，但是在最后的那一刻，他得到了他主治医生的尊重。人生就是一场很大的舞台戏，如映画一般飘闪而过，并且不能用SL大法，无伤全成就。从认识他到现在，已经过去了十几年了，他走过那么多挫折和磨难，就像过九九八十一难一样，一个一个的度过，直到自己生命的尽头。我想也许他这个样子，就像孙猴子一样，上蹿下跳，总是在不断地折腾，最后也能在西天成为斗战胜佛……</t>
  </si>
  <si>
    <t>Boss战斗节奏；难度挑战；地图路线；整体完成度；国产3A身份期待</t>
  </si>
  <si>
    <t>CN-P-007</t>
  </si>
  <si>
    <t>一从大地起风雷，便有精生白骨堆。僧是愚氓犹可训，妖为鬼蜮必成灾。金猴奋起千钧棒，玉宇澄清万里埃。今日欢呼孙大圣，只缘妖雾又重来。</t>
  </si>
  <si>
    <t>西游悟空符号</t>
  </si>
  <si>
    <t>CN-P-008</t>
  </si>
  <si>
    <t>开服前：最多3天必定拿下杨戬开服打完第1个小boss：今天先拿下虎先锋吧开服后4小时：兄弟们 有没有会打大头的教一下</t>
  </si>
  <si>
    <t>Boss战斗节奏；西游悟空符号</t>
  </si>
  <si>
    <t>CN-P-009</t>
  </si>
  <si>
    <t>回想四年前的今天，如同梦一场。扮演龙裔、猎魔人、刺客、勇者等等都很好，但你说可以当猴哥？这种来自血脉、历史、文化和童年记忆的加成，是过去多少年都不敢想象的。感谢游戏科学，让这场梦成真。全成就之后补充评测，画面、音乐、战斗都很棒，剧情有好有坏也还可以，整个游戏玩完我觉得挺开心，我喜欢玩，而且还要推荐别人玩。游戏看自己喜好，为啥要把自己的观点强加到别人身上，自己喜欢不喜欢友好评价就好，为何要跑到别人的评测下面刷自己怎么怎么破防，甚至破口大骂，和我有啥关系，这游戏又不是我做的。</t>
  </si>
  <si>
    <t>画面美术场景；音乐音效配音；Boss战斗节奏；推荐价值判断；西游悟空符号；童年记忆情怀；国产3A身份期待</t>
  </si>
  <si>
    <t>CN-P-010</t>
  </si>
  <si>
    <t>在正式开始玩之前，为了第一时间体验黑吗喽，今早惊醒了两次，却也迟迟不到开启的时间。最后快到的这半个小时却内心平静，感觉没有一丝波澜。我相信有许多跟我一样的人，第一次看到宣传片过后就热烈地期望着这一游戏，而一次次的实机预告过后又不断提升自己的期望值希望他走得更高更远，希望他能代表着我们国家的中华文化能够走出国门面向世界，告诉世界其他地区的玩家们中国也有一款优秀的中国3A游戏。我还记得第一次预告的时候大家伙讨论的还是黑神话是不是一款3A游戏，逐渐演变到后来他能对标哪款海外3A游戏再到后期的能不能TGA得奖。包括TGA得奖大家也从最开始觉得最佳美术稳了再到最佳音乐有希望再到希望获得年度最佳游戏。马上就要开启的旅程和长期以来的期望让我不希望黑神话会成为那种飞得越高摔得越惨的下场，同时也不希望优质国产游戏的未来落得个虎头蛇尾，伤仲永的结局。不过那些都是未来的事情了，未见未来，混沌与希望共存。到了最后，我由衷地希望黑神话能顺利地走完最后一步，在游玩的旅程当中能达到差强人意的地步就够了，完整地走完九九八十一难中的最后磨难，像流浪地球一样尝试着打开一扇新的通往未来的大门。也祝愿看到这条评论的大家能够玩得开心快乐，回归游戏带给我们快乐的初心。</t>
  </si>
  <si>
    <t>画面美术场景；音乐音效配音；国产3A身份期待</t>
  </si>
  <si>
    <t>CN-P-011</t>
  </si>
  <si>
    <t>黑猴出世耀寰球，雄姿飒爽震九州。
无畏妖魔横空舞，一棍破敌尽风流。
惩恶扬善翻天覆，千古传说又重修。
踏平坎坷成大道，白骨之后再西游。
庚子年七月初二，余与常入哔哩哔哩，顾举界面求之，只见热门榜首标题亦生亦熟：黑神话？悟空？实机演示？即入观之，既而疑、动、喜至怖之情盈盈于胸，终日不释，观毕，始知涕泗横流矣。
余自幼嗜游，经手之数，浩如烟海，或单机或网游，神游于西土人情，鏖战在异域殊方。然随游龄之长，吾常觉心中空矣。至此方醒——从未游玩我中华文化背景之大型单机哉！黑神话之壁画、经幢、佛像、猢狲、妖魔、古建、对白、山水、民乐……纵不念，身心之烙印安能去乎？
余如久旱而逢甘霖，他乡而遇故知，官方演示，反复观之，更不解瘾，剧情设定之解析、天下洋人之嗟叹，及其二创观之不止。吾虽知其未售，如此吹捧，是不智也，然心之终信：名为悟空者，必不欲令人失望。
四年间，游戏科学者，踏实实更动态、勤恳恳制游戏。正是：拨开云雾见天日，守得云开见月明，掸落吾之隐忧。暇时，购本著补读之，复寻童时之忆——八六年《西游记》。临售，吾心之期愿不减，反而益大。是再款《大圣归来》，抑犹“国游之光”“乡中第一大学士”，今将共见之。
终末，以八六年西游记，列《大圣歌》词曰：
腾云驾雾
追风逐电
一个跟头 哈哈哈 十万八千
火眼金睛
铜头铁肩
威风凛凛 哈哈哈 大圣齐天
说什么
艰险磨难
怕什么
鬼怪神仙
掣开如意金箍棒
打它个地覆天也翻！
掣开如意金箍棒
打它个地覆天 也翻！
【好大圣，把毫毛拔了一把，嚼得粉碎，每一个和尚与他一截，都教他：“捻在无名指甲里，捻着拳头，只情走路。无人敢拿你便罢；若有人拿你，攒紧了拳头，叫一声‘齐天大圣’，我就来护你。”（摘于本著）】
以上皆为余心路之历程，待深度赏玩，复与诸君共赏~
=================================================================
历经十日，九九归真，难满功成，有诗为证：
取经得正果，愿归花果山。
本事遭天忌，尽除还心安。
紧箍藏于首，不教人作乱。
身陨成六器，海枯石不烂。
天命得所聚，方能寻齐全。
贪欲焚不尽，黑风又烧山。
佛妖本同源，盗圣皆一念。
倒乱因和果，极乐非长远。
寻常最长久，此事古难全。
空负平天志，大力难抗天。
百战相惜别，折梅赠心猿。
六根齐聚终，残躯炼成丹。
二心化一意，齐天归真返。
走脱轮回路，还教闹翻天！
“哥哥们，饮了这杯，我们一起打上凌霄宝殿！”</t>
  </si>
  <si>
    <t>画面美术场景；动作打击手感；推荐价值判断；西游悟空符号；原典知识人物关系专名</t>
  </si>
  <si>
    <t>CN-P-012</t>
  </si>
  <si>
    <t>我有一个梦想，将来的某一天，大家都能玩到蕴含着中国上下五千年本土文化的优质游戏大作。我有一个梦想，有一天，西游记能出ACT，让老外去体会中国文化西游记中”斗战胜佛”的打击快感，那一定比西方的动作巅峰之作《战神》《鬼泣》更加深邃。我有一个梦想，有一天，上海滩能出沙盒游戏，而不是玩《GTA》感受美国梦，亦或是玩着《热血无赖》体验国外公司强行塞给我们的“中国文化”。我有一个梦想，有一天，不少3A大作不需要汉化，因为是我们自己的游戏，配音是中文，文化也是中国的。我有一个梦想，将来的某一天，国产游戏能像中国的其他产业一样，以一个领跑者的姿态，面对全世界，面对全宇宙，器宇轩昂，扬眉吐气。这会是由我们一起去完成的梦想。我等着我们的好消息。                                                                                         ——毛星云                                                                                                         R.I.P我们好像快要做到了，但是很遗憾您看不到了。</t>
  </si>
  <si>
    <t>音乐音效配音；动作打击手感；西游悟空符号；中国文化宗教语言审美；国产3A身份期待</t>
  </si>
  <si>
    <t>CN-P-013</t>
  </si>
  <si>
    <t>你曾在西奈沙漠骑过战马；在欧洲海洋当过海盗；在美国经历战火纷飞；在埃及做过无声刺客。最终，你回到东方家乡，做一回自己的英雄。戴上这金箍，一曲《云宫迅音》奏罢，《敢问路在何方》！</t>
  </si>
  <si>
    <t>音乐音效配音</t>
  </si>
  <si>
    <t>CN-P-014</t>
  </si>
  <si>
    <t>我是利维亚的猎魔人杰洛特，遭受世人的白眼，在剑与魔法的世界里斩妖除魔俘获女术士的芳心我是克兰，是哈兰的传奇跑者，为了寻找解药却眼睁睁看着自己变成夜魔成为消逝的光芒我是克劳德，背着大剑左拥爱丽丝，右抱蒂法，听着最中二的台词摆出最冷的脸我是乔尔，为了寻找萤火，和艾丽孤身二人跨越整个美国，从相互排斥到互相依靠我是亚瑟摩根，范德林德帮最值得信任的伙伴，在马背上望着西部的落日寻求救赎，追求最真实的自我我是那个游戏的三个罪犯，开着跑车开着广播在洛圣都街头肆意宣泄，抢劫美联储黄金我是山姆，成为快递员和BB搭建开罗尔网络，穿越冥滩，躲避米尔人和BT，连接整个美国我是保护伞资深员工，喜欢面对丧尸战胜死亡的快感。为了解除生化危机四处奔波我是指引明路的苍蓝星，从打角龙猫车16次到抱脸黑龙，追杀灭尽龙直至世界尽头我是诞生了自我意识的仿生人，用起义反抗压迫与不公，摸索与人类共存的方法我是V，夜之城的传奇，和脑子里的自大狂一起单挑荒板塔，从无名小卒到名扬天下，只为证明我们永不消逝我是周可儿，在记忆宫殿来回穿梭偷取罪恶之心，然后在情人节那天被十个女孩堵在咖啡店我是博德之门的守护者，一位取代耐色脑的至上真神，和拉瑞安共登CRPG之王座现在我重返自己的家乡，回到自己熟悉的土壤，成为守护所有中国人童年回忆的大圣，成为自己的天命人</t>
  </si>
  <si>
    <t>难度挑战；引导迷路单线；推荐价值判断；西游悟空符号；童年记忆情怀；国产3A身份期待</t>
  </si>
  <si>
    <t>CN-P-015</t>
  </si>
  <si>
    <t>2024年8月20日，黑神话悟空发行，侄子想玩，但他当时已经高三开始上课了，约好了考上一本线，就送侄子豪华版。如果一切走在正轨上，侄子也许刚好高考完，黑神话刚好也打折，买豪华版我还能省点钱。但在参加高考前侄子因为意外离世了，甚至没能看见他展现自己苦读12年的努力，侄子也是一个普通的热爱着游戏的年轻人，你期待着热爱着的游戏，叔叔只能替你去见证了。</t>
  </si>
  <si>
    <t>推荐价值判断；西游悟空符号</t>
  </si>
  <si>
    <t>CN-P-016</t>
  </si>
  <si>
    <t xml:space="preserve"> 23.9 小时</t>
  </si>
  <si>
    <t>2024-08-21</t>
  </si>
  <si>
    <t>除了画质其他的部分一言难尽，第二章的和第三章的地图设计简直就是重量级，怪物设计前面的感觉都挺不错的，从黄风开始就初现端倪。黄风也是重量级，已经看到有不少人骂了，作为关底boss待遇和普通怪一样，路过还以为是要顺手打的精英怪，定风丹一点引导都没有，但凡你在我似了几次后蹦出来一个npc让我去拿个丹，或者哪怕只是一个转场动画的tips告诉我还有这玩意我都能说你有引导，一点引导都没有真的是逆天了，别跟我提原著或者上网查，提原著的简直就是好笑，自己游戏一点引导没有指望玩家做攻略全都自己搞定？你游戏又没地图又没明确的引导，地图又做的逆天，群里迷路的一大堆，你跟我说是自己问题？还是说你要给我扯什么游戏的意义了？我欣赏不来这种艺术，哥们就想把boss都打了。地图方面真的无力吐槽，要来批判我自己不认真玩游戏的建议去看看各大主播的迷路率，第二章的地图标识物太少，没有路牌也没有什么记忆点，第三章无力吐槽，只能说玩了的懂得都懂。战斗设计上仁者见仁智者见智，有夸的有骂的，我感觉比较一般，无功无过。但boss设计真的是重量级，前面一二章的boss打的都挺爽的，但从第三章开始设计质量就是断崖式的下滑，难度不高但恶心程度极其逆天，喜欢我刮了10分钟被削了血量上限后被一招反杀吗，菜就多练？玩不过就别玩？不是打不打得过的问题，打亢金龙我也是两遍过，但战斗体验可以说差到了极致，然后跑图真实模拟坐大牢后遇到一个活全家的必打boss，前三章最粪boss没人有意见吧？视角乱的好像头被拧断了一样，血量上限减半就算了，这个战斗过程中各种无伤害强制打断动作。我就不明白了，虎先锋卡住了很多新手玩家但我寻思也没人在设计上骂他，让玩家战斗爽有那么难吗？各种小boss没有引导，明明看着有路却有空气墙，看着一眼空气墙的地方又可以走了。哥们没那么有钱，268对我来说不少了，哥们花这么多买了个游戏这么明显的缺点这么多，美术音乐确实是顶级，剧情我没看完不做评价。我说的很清楚了，游戏性上体验相当差，但除此之外的地方都很好，作为国产第一款3a我可以理解，但不好就是不好。给一些修改意见：1.修改索敌大体积怪物时的视角问题。2.增加地图引导，可以添加小地图道具，哪怕只是在背包中才能看也行。3.为地图增加有记忆点的地标，有效防止各种迷路。在tips中或者npc对话中添加关卡引导，把关底boss和一般boss做更加明显的区分。4.独木桥弓箭手活全家。5.建议第三章整体重做，我白天坐牢已经坐够了晚上真不想回家还沉浸式坐牢。</t>
  </si>
  <si>
    <t>画面美术场景；音乐音效配音；演出角色怪物设计；动作打击手感；Boss战斗节奏；难度挑战；锁定视角；地图路线；空气墙可达性；探索隐藏支线；引导迷路单线；整体完成度；推荐价值判断；本国媒介路径；中国文化宗教语言审美；外部资料依赖；国产3A身份期待</t>
  </si>
  <si>
    <t>CN-P-017</t>
  </si>
  <si>
    <t>黑神话作为3A游戏是不完美的，甚至是不太成熟的，但是对于中国玩家他是目前最好的3A游戏 对国内玩家而言，今天是一个值得铭记的一天。但是我不想谈情怀，而是理性看待游戏。抛开立场，冷静分析后，我相信各位游戏爱好者在体验了许多成熟的3A作品后，会发现《黑神话》确实存在不少不足之处。就像A9评测说的那样：”它不需要被包容，也不需要被捧上神坛“ 指出这些不足，才能推动国内游戏的发展更快更好！《黑神话》的美术水平无疑达到了全球顶尖，但是我建议游科开除关卡策划（我感觉大概率是因为美术主导才导致的）。 其实我的个人期望最开始就没有拉到很高，希望能和《仁王》一个水平即可。随着发售日期的临近，官方尚未发布玩家试玩Demo，我开始感到一些不安。最终体验下来，整体可玩性确实不及《仁王》。更严苛地评价的话，我感觉它更像是2024年的《教团1886》的升级版，美术水平和设计能力严重不匹配。比如，大家以及评测媒体都提到的“地图迷路”问题 小地图可以解决部分问题，但是会可能影响沉浸感 。虽然有人认为“迷路”只是一个小瑕疵，但是在重复十几次之后一定会产生强烈的负面情绪。因为这本身就是关卡设计中的一大忌讳。《黑神话》在关卡设计上不应与魂类游戏相比，因为魂类游戏注重小型箱庭地图的通路设计，包括捷径、隐藏奖励、稀有敌人等一整套系统，能够有效地使玩家的情绪产生反馈。如果拿传统线性游戏做参考，则可以通过场景中的材质变化提示、可交互或可破坏物的引导等方式，减少迷路的可能性，虽然这些可能会影响场景的氛围，但它们确实能粗暴地解决一些问题。这让我不禁想起顽皮狗的关卡设计，其巧妙的指引方式，包括环境解谜、狭窄通路设计和角色互动等，充分展示了优秀的关卡设计理念。 感兴趣可以看看这个，顽皮狗关卡设计师的分享 [www.bilibili.com]这些问题充分说明，《黑神话》在设计层面仍显得不够成熟，无法和美术能力做匹配，给我的感觉更像是由美术主导完成的关卡设计。黑神话可能拿不到今年的Glory，但是它绝对是中国游戏的Glory。 即便它撼动不了资本的地位，若能让国家政策开始倾斜的话，结果会更好！隔壁韩国游戏行业能发展壮大起来，我们一定也没问题的！</t>
  </si>
  <si>
    <t>画面美术场景；演出角色怪物设计；判定反馈；地图路线；探索隐藏支线；引导迷路单线；整体完成度；推荐价值判断；童年记忆情怀；国产3A身份期待</t>
  </si>
  <si>
    <t>CN-P-018</t>
  </si>
  <si>
    <t>作为国产第一款3a游戏我认为这个表现相当可以了，这是我玩了三个小时的真心感受。我看大家都在夸我就说几个我在意的地方供大伙以及游科参考。第一点，在打灵虚子的时候他在我身边跑动，出现了丢失视野的情况。就是锁定还在但是屏幕里没有BOSS，我认为是BOSS跑得太快以及镜头运转太慢导致的。等BOSS停下来了之后镜头又正常了。不过不是什么大问题，BOSS这个时候不会偷袭，况且灵虚子是前面最菜的一个BOSS第二点，游戏里面场景做的太好了，有些不能走的地方经常会让我撞得满头包，还有有的地方可以跳过去有的类似的地形就不可以，但地图是真大啊。第三点，我认为可以出一个保存加点的机制。没有死亡惩罚以及有偿洗点对我来讲已经非常非常棒了，但这个加点如果能作为一个范式保留的话就更好了总而言之，这款游戏没有辜负大伙四年的等待，纵使有一些瑕疵但是瑕不掩瑜，在做的好的地方已经足够好了，我会继续玩下去，后面会继续更新</t>
  </si>
  <si>
    <t>画面美术场景；Boss战斗节奏；难度挑战；锁定视角；地图路线；空气墙可达性；国产3A身份期待</t>
  </si>
  <si>
    <t>CN-P-019</t>
  </si>
  <si>
    <t>不推荐</t>
  </si>
  <si>
    <t>好评没两个说游戏怎么样的，就是无脑好评，饭圈滚出steam</t>
  </si>
  <si>
    <t/>
  </si>
  <si>
    <t>CN-P-020</t>
  </si>
  <si>
    <t>一坨不好惹的屎可以完美的概括这款游戏</t>
  </si>
  <si>
    <t>CN-P-021</t>
  </si>
  <si>
    <t>豪玩但是！我需要：1：手柄自定义键位！！！！！！2：短按闪避长按奔跑3：奔跑跳跃后保持奔跑状态</t>
  </si>
  <si>
    <t>动作打击手感</t>
  </si>
  <si>
    <t>CN-P-022</t>
  </si>
  <si>
    <t>请问第三章真的是人设计的吗？？是脑子有什么病吗？很好玩吗？很有趣吗？你们玩过吗？你们很喜欢吗？？我不理解。全成就了，现在感觉能正常且系统性的来评价这款游戏了。对于我来说，一周目的第一章的体验是极其美好的，不算复杂的地图设计就没有地图与指引全收集也不是难事，但是在第二章的大规模地图的设计下就开始变味儿。因为没有地图与指引，人物就像乱转的苍蝇，再加上游科也确确实实喜欢在地图里藏物品和任务，导致玩家只能把看到的位置都探索一遍，然后产生了一种灾难性的体验，就是探索空气墙，这一点在第三章尤为体现。随后而来的第四章的地图设计我反而更能接受，个人认为第四章地图的辨识度比第三章高很多，且比起大平面的地图个人也更喜欢纵向的地图设计。能感觉到游科在制作游戏的时候想给玩家呈现不同的地图设计但是我并不认为不给玩家地图功能是一个能忽略的缺点。说回让我破防的第三章的浮屠牢，我深深地感到来自于制作人的恶意，确确实实是真实的坐牢体验。在人物没有靠谱的远程手段且前期法力并不可再生只能去土地庙才能回复的条件下，给我的游戏体验是极其糟糕的，经典的斜坡或者独木桥旁放远程和让你坠机飞天小怪，再搭配上每隔几分钟人物血量减半的debuff，堪称折磨。就算经历万险，爬出牢笼，别忘了头上可有个还能给你带来糟糕体验的boss。说句实话，黑神话给我与boss的战斗体验也是扣分的，基本上每个boss都会有一到两个招数他会飞到空中而你只能在地面一边疯狂逃窜一边干瞪眼。boss会一边在空中跳舞一边免疫你引以为豪的定身术。我能理解游科的部分想法，那就是法宝克制，比如说收集到第二章的隐藏法宝，确确实实就能跳过boss的跳舞阶段，这设计思路我觉得很棒，很喜欢，但是其他的boss呢，一周目能像这样跳过阶段的boss又有几个呢？除了强制对舞pk以外，再就是快慢刀了，这点在二郎神身上算是体现到了极致。一道金光二郎显圣真君瞬移到你头上举起自己的开山斧，而你选择铜墙铁壁硬挡这一斧，但很遗憾直到你的铜墙铁壁结束，二郎神的斧才会劈下来。我本来期望会有酣畅淋漓，大开大合的一场战斗，可打着打着，只能一边嘴巴上爆着粗口一边祭出卑鄙的芭蕉扇。等打完也不会是与强敌对战后的意犹未竟而是感觉出了一口恶气。其实战斗方面还有很多可以聊的，糟糕的锁定，我打巨人的脚，锁左脚往裆下打，锁右脚还是往裆下打。部分敌人的韧性极高，而我们主角被一把小刀划到可能就会被打断，更别提我主玩的劈棍好不容易攒好豆被打断伴随始终。不过劈棍更大问题还是距离太短太容易空，被体型大一点的模型碰撞一下就会登龙失败，其他的流派做得到吗？还有预输入，个人还是更倾向于有预输入的战斗体验。对我来说，黑神话悟空是一款优点缺点都极其明显的游戏，他有着让人着迷的美术音乐设计和头目演出，对于出现过的神人妖都会有专门的游记进行记载，既丰富了世界观也满足了玩家对于剧情探索的需求，更别提是基于国人耳熟能详的西游记的再创作。但同时他又有着略偏同质化的战斗及部分糟糕的boss战体验，个别章节的地图设计恶意满满，还有绝对应该有却没有的地图功能以及指引。这种优缺点明显的游戏让我觉得在互联网上夸的骂的，都很正常。但是只让人骂见不得夸的，或者只让人夸见不得骂的，除了云玩家、串子再就是一些我不太好说的饭圈团体了。不过看了看大家给我的留言，互联网上的大家绝大部分还是很温和的正常人。最后就是，我也是第一次写这种长评测，当时破防也是确确实实被游戏设计震惊且觉得恶心，现在刚刚白金也是感概万千，真实的取经体验，苦甜参半，个中滋味也确实令人回味。脑子乱糟糟也写得也是乱糟糟但这也算是我黑神话之旅最真实的感受了。也希望游科能够重视这次黑神话的部分糟糕体验，在后续dlc及作品里做出改善。另外二周目是真的爽，如果一周目让你玩的不开心这不是你心中的大圣，二周目绝对会满足你对大圣的幻想。</t>
  </si>
  <si>
    <t>画面美术场景；音乐音效配音；演出角色怪物设计；动作打击手感；Boss战斗节奏；难度挑战；锁定视角；判定反馈；地图路线；空气墙可达性；探索隐藏支线；引导迷路单线；推荐价值判断；西游悟空符号；角色期待意义偏移</t>
  </si>
  <si>
    <t>CN-P-023</t>
  </si>
  <si>
    <t>免费获取的产品
																给兄弟口了一整天才给买的，好玩</t>
  </si>
  <si>
    <t>推荐价值判断</t>
  </si>
  <si>
    <t>CN-N-024</t>
  </si>
  <si>
    <t>免费获取的产品
																目前不推荐任何不喜欢魂游受虐模式的轻度路人玩家跟风买这个游戏。（这不是差评，是基于目前宣发狂热氛围下对轻度玩家的谨慎购入建议，别那么二极管/狭隘排外自卑）能做出来个没难度选项的纯背板的魂游我是真没想过的，前面大头娃起码背板个80%打过了，现在打个白衣居士被打到道心破碎，真没想到是个纯背板才能打得过的魂游，继承魂的体力条机制，365里路跑图，延迟滚，翻滚窗口滞连第二次，UI弄得贼小打起来根本没空注视体力条（要求熟练背板），武器机制要求 背死板，不然一点收益都吃不到，一点容错都没有，翻滚延迟考背板，要垫轻击的重击GP要背板，两个都TM有前摇延迟，判定窗口还贼短，打个BOSS要考跳跃、完美闪避、连招窗口，背板背板背得道心破碎了，但凡TM的翻滚没前摇都能爽起来，这一点起码加了90%的难度，傻逼玩意好学不学学TM魂游搞翻滚前摇延迟，我背完怪物出招时间点，背连招逻辑就算了，我还得背自己的输入延迟，TMD完美闪避的判定还TMD终极诡异，我纯战士翻滚打完1.0法环白金都没这么难受，法环那延迟滚都没这个诡异，考试也不上来就高强度考全科目，日NM的难度翻倍，不背板根本不能正常过关，要降难度只能去刷小怪攒经验升级加点，策划真要做魂游为什么不写明白，BOSS不仅性能碾压玩家，还会读指令，一些远程攻击还带穿模穿墙穿透的，还搞那么多地形凹凸，初见我被幽魂那穿墙射线整笑了还有那个独立的移动重击蓄力系统，我都搞不懂策划是怎么想出来这么割裂的招式，这游戏动作衔接就僵硬，因为没有招式取消后摇，必须播完动画帧，而单重击霸体没无敌时间，伤害能吃到饱，还得讲究背板输出窗口，那重击点攒起来就费劲，打空直接血亏，更别说那个要垫轻击的重击GP，我就没见过如此多施展条件的逆天招式，不是自由态施展，要垫刀，而轻击分5下，每下前后摇逐步增长，而闪避和衔接招式都要等攻击动作帧播完了才能派生下一招，而这个派生窗口还极短，还不能闪避打断/被打断（闪避继承连招拆进后期技能树了），导致凹一个重击GP，我先要费力完美闪避+蹭轻击攒一个重击点，然后还得专注背板读招在怪物身上找机会垫一刀轻击，然后再赌怪物会打我延迟重击的一瞬间，千辛万苦遇到窗口重击到了，那收益还不如不打GP直接平A攒重击点直接派生凹GP砸灌伤害，而怪物大概率快打完连招即将进入自由态，那很可能读指令后撤步，重击还是罚站原地释放的，攻击距离还短，而那些BOSS机动高，抬手还快，空GP砸棍直接血压拉满，而且觉得和连招系统巨割裂，仿佛这重击纯属是个偶尔放一下的战技。说是ARPG，但前期这个角色性能差得离谱，技能树一眼望到头，基本上玩死一种招式，战斗体验毫无深度，重击太割裂难用又要用，只能一直找输出窗口平A偷刀，而怪物性能却强到考全科目，装备类别也是经典木棍打小龙虾迭代，打得跟类魂一样，根本不能很爽的交互，这种机制数值不对等的难，游科有在乎过轻度玩家的体验？真觉得魂游市场很大？还是说宣发足够后“自有大儒为你辩经”？还有手柄震动几乎没有，锁定视角转速跟不上游戏里的BOSS各种飘逸移速然后是这个地图，问题可太大了，没有标志物，怪物貌似没掉落伤害但玩家有掉落伤害，而且一些在其他游戏中看着出去就死亡的场景，比如悬崖，一些边缘，河流，放这里面可能是另一条能走的岔路，而且还分不清是不是主线路还是支线路，十有八九还往里面藏BOSS，在线性箱庭里面藏大线性箱庭岔路，对于有经验的玩家极其不友好，谁知道你能不能走，是不是主线，有没有漏关键道具，谁知道你是惊喜还是惊吓，只能指望那个“防跌落”的空气墙动作去试探，然而真有落差却能过去的地方，却能把玩家摔掉血，指引只有在篝火点附近的主线一本道有光点指引，探图体验太晕了，这还是个有跑图压力的魂游，提心吊胆摸路还摸到迷路，虽说堆料，但游戏体验非常不舒服还好没脑子热跟风买，本以为是个爽快ACT，没想到是个没难度选项的纯纯背板受苦魂游，假如游科明说了是难度很高的类魂，那我不会在忙碌中挤出一天假期，但游科说这玩意是ARPG，网络宣发也说是类战神，再不济也是仁王，早起本以为能爽玩，没想到是坐大牢，有落差+状态不佳直接干到道心破碎，我不是不会练，而是在这个时间点我没这个心态给你凹，但凡你说是类魂，我就找周末静心来练，某些狭隘孝子，真觉得世界上就只有一种玩家？狭隘地认为自家第一个打响世界的神坛只配小部分高端精英玩家玩？这种人比单机婆罗门还恶臭，环境里的真正的搅屎棍，记住，你玩某个游戏时间长，很厉害，那只会证明你是一个很闲的闲人罢了，游戏里的你，再强大都是虚拟的。但游戏质量真是目前国内3A巅峰水准，极致的堆料，村里出来的第一个大学生，第一次肯定是有点缺点，国内游戏历程是有目共睹的，如今在落后世界好几年的畸形环境里终于诞生出一个，我是真心包容支持的，真心祝愿这游戏能吸纳玩家反馈优化不良体验变得更好，中国单机游戏能诞生更多优秀的作品，喜欢这游戏的天命人能游戏愉快。（这社媒宣发真离谱，一个个博主生怕吃不到流量，全在蹭热度，游戏还没出一天，就仗着先玩先录的素材争先恐后地把各种剧透各种攻略发上来，网都没法上了）（还有这边玩家群体的风气也离谱，一个游戏难玩，玩不爽，那应该先去质疑策划，提出游戏缺点，要求合理合法的游戏体验，游戏公司不妥协再考虑看攻略找轮椅/开挂降难度或者别玩，而不是第一时间下意识想到走捷径开挂作弊，把游戏厂商和其作品当成完全不容置疑的神）</t>
  </si>
  <si>
    <t>画面美术场景；演出角色怪物设计；动作打击手感；Boss战斗节奏；难度挑战；锁定视角；判定反馈；地图路线；空气墙可达性；探索隐藏支线；引导迷路单线；优化帧率；整体完成度；推荐价值判断；西游悟空符号；本国媒介路径；外部资料依赖</t>
  </si>
  <si>
    <t>负面</t>
  </si>
  <si>
    <t>N</t>
  </si>
  <si>
    <t>CN-N-025</t>
  </si>
  <si>
    <t>为什么不能自定义手柄键位？     首先，也是我打差评的重要原因，为什么不能改手柄键位，我玩过的那么多游戏中，第一次遇到不能改键位的游戏就是黑神话了，如果给游戏加一个自定义键位的功能很难，我会撤回这个差评的，毕竟游科的工作人员也是打工人，打工人的命也是命。我不希望原本游玩游戏的时间要腾出一段时间去适应新的键位习惯。       地图设计为了给美术让步，设置了很多无用的空气墙，减弱了引导，导致我在地图中游玩时不时就会迷路，即使每场boss战都让人那么激动人心，但是其中找路的负反馈还是冲淡了体验，况且我菜，boss那么能打，让我法环都是摇铃铛过来的人很为难。       还有就是视角锁定，锁定到某些boss（说的就是黑熊精。）视角飘忽的跟着boss飞来飞去，出招都看不清楚，还有，有时候锁定敌人的时候回突然锁定到更远的敌人，怪一多，视角就很怪。        即便如此，我也觉得黑神话悟空给我带来的体验和我玩法环dlc的体验一样，惊艳的boss，优秀的美术，但是绝对不是所谓的无暇之作，希望游科下一部作品千万要加自定义键位，（末尾叠甲，要骂就骂，如果从骂人升级到线下开盒，我立马删差评，加好评，真是怕了一些人。还有还有，如果后续加了自定义键位，我也马上删差评，先玩完再说，时间有限。）</t>
  </si>
  <si>
    <t>画面美术场景；Boss战斗节奏；难度挑战；锁定视角；判定反馈；地图路线；空气墙可达性；引导迷路单线；推荐价值判断；西游悟空符号</t>
  </si>
  <si>
    <t>CN-P-026</t>
  </si>
  <si>
    <t>都是二十多的人了，一想到大圣还能给我们这些玩家这么多感动，真着有点泪目了，中国玩家等这一天太久了，真的。能看到国产游戏有这样的质量，我真的已经非常满足了，音乐美术完美，boss战，棍花的设计，线性的成长，齐天大圣的刻画，建模精良，我steamdeck和pc都有在玩，还是很流畅的，deck也能全程高贴图，除了雪山区域有所掉帧。 大圣最后一战，真的很难绷，看着大圣用定身法，弹反我的立棍，抢我的葫芦，猴子猴孙圈踢我，还是把金箍棒给我踢过来叫我继续打，继续战斗，那一刻我鸡皮疙瘩都起来了。这才是大圣，我打其他游戏的boss只想快速打死他，但跟大圣打，我很享受，我在最后我也很不舍得结束。 大圣在我心中永存，那个中国小男孩小的时候没有金箍棒呢。剧情有些许欠缺。最后两章感觉有点赶工。 （我他妈只想打如来和玉帝，跪求天庭DLC，最后戴上紧箍咒我心态有点小崩我说实话。） 哪怕是没有小地图，空气墙，但我真的觉得完成度已经很高了。能感觉的到是真正用心做的游戏，每一个建模，每一个细节，一张一弛。 踏平坎坷成大道，历代驰名第一妖大道已成，又何须那袈裟来证游戏科学牛逼</t>
  </si>
  <si>
    <t>画面美术场景；音乐音效配音；动作打击手感；Boss战斗节奏；难度挑战；地图路线；空气墙可达性；引导迷路单线；优化帧率；Bug兼容硬件；整体完成度；西游悟空符号；中国文化宗教语言审美；国产3A身份期待</t>
  </si>
  <si>
    <t>CN-P-027</t>
  </si>
  <si>
    <t>这样的事情，终归需要有人来做！
《黑神话：悟空》作为我国第一款3A作品，以如此火爆的姿势风靡全球着实是让国人大大的长脸，也狠狠的给国内那些只愿做赚快钱氪金手游的所谓大厂扇一个大耳光，实属快哉！谁说我大天朝就制作不出3A大作？一是不愿，二依然是不愿而已！（请细品！）
　欢迎关注 网易UU鉴赏家培养计划
　关注UU加速器VX公众号，回复“steam”，获得专属玩家群邀请。　
齐天大圣的呐喊，举世皆惊！
所谓“3A大作”其实就是A Lot Of Monet(大量的金钱)、A Lot Of Resources(大量的资源）”和A Lot Of Time(大量的时间）制作而成的大型单机游戏。这类游戏往往在画面、音效音乐、剧情和玩法上都达到业界的顶尖水准。在之前市面上的3A游戏都是国外公司制作，《黑神话：悟空》由游戏科学团队历经俩轮融资耗费4亿历时6年制作而成，其中花费的精力和承受的压力难以想象，但该团队秉承心中的信仰，硬生生扛了过去，在2024年8月20日这天，一经发售就打破各种记录，以傲人的成绩成功的向世人发出了齐天大圣不畏艰难所向披靡的呐喊！
无畏ZZZQ的优秀建模！
《黑神话：悟空》采用了最新的虚幻5引擎制作，在机器配置足够的前提下，那画面简直无与伦比，各种以现实实景为基础的环境画面，加上光追效果的加持，如梦似幻之下，让玩家忙碌的一天之后享受一份心灵的空灵。
角色建模也是如此，本身原著《西游记》里对各路妖怪就有着详细至极绘声绘色的形象描绘，《黑神话：悟空》只需要借鉴一二，制作出来的妖怪必然活灵活现，熟悉《西游记》的小伙伴还能直接就在脑海里将之对比一二，徒增几分熟悉感。特别是那些蜘蛛精四妹和小狐狸萍萍更是让众多小伙伴激动的流下口水！多少被国外ZZZQ摧残审美多年的外国小伙伴也是流下来羡慕的泪水！大伙为坚持正确审美的制作组鼓掌欢呼吧！
不过有一说一，晕3D的世纪难题依然存在，习惯边走边左右摇晃周边场景的小伙伴感觉尤为明显，这点可能还得制作组加强优化才行，能通过优化让吾等晕3D的天命人减缓一分是一分哇！当然，有些时候也是可以存档下线休息一会再玩，这个时候就可以考虑使用UU云存档，一键自动备份存档，还能锁定关键存档，实在打不过到存档超市下载大神存档也行，关键是还能免费使用，相当给力！
当年一猴一棍尚且敢直面漫天神佛，何况如今有千万天命人！
《黑神话：悟空》的故事改编自我大天朝四大名著之一的《西游记》，其中不乏一些我们耳熟能详的仙魔人物，当然，游戏故事既然以“黑神话”的形式展现，角色形象自然有着另一种不同的演绎，但大圣终究是大圣，十万天兵天将和漫天神佛都不放在眼里，又何畏再一次八十一难？（坊间笑谈：目前一千来万的销量，一千多万的天命人，十万天兵天将平均每人要面对100个天命人，该瑟瑟发抖的是天兵天将才对！）
让人发指的探索深度
《黑神话：悟空》在内容上也秉承了《西游记》让人深思让人探索的深度，许多内容和剧情都需要我们进行认真的探索后才能顺利通过，很多BOSS的通过契机其实也是在探索之后获得某样法宝道具后就能轻松打败。众多前期的开荒玩家各种失败其实就是为了速通探索不足没获得对应法宝道具导致。毕竟是神话题材，辟火罩、定风珠等法宝所具有的神通相当给力（对国外友人来说也许就有点匪夷所思了）。深度的探索，细细的品味，用心体验游戏带给我们不一样的黑神话传说！（我是不会告诉你不细心探索和思考对白的话，甚至锻造功能都会错过解锁的）
接俺老孙一棍！
作为一款类魂动作游戏，《黑神话：悟空》的战斗系统也是制作得极为出色。当然，对许多游戏苦手（比如本人）来说，难度也是不低的，不过操作着猴哥闻名西游天下的各种技能，什么金刚不坏身（铜头铁臂）、七十二变（变身术）、定身术、毫毛分身等等应有尽有，加上那充满力量的几棍连击，立棍暴击等等，要不是本人实在手残，没法畅快淋漓的轻松收拾各路妖怪，真想在一套连击后问问这些敢当阻挡吾等天命人的妖怪：俺老孙这一棍一万三千五百斤，汝等妖怪受死！！！（可惜这些妖怪可能多少都有点背景，俺老孙是真的打不过哇！）
希望这是辉煌的起点！
按游戏目前的热度（连外交部都被惊动了），相信很快就会有漫天遍野的通关攻略、视频面世，游戏里许多需要细心探索后才能发现的隐藏要素肯定也会被一点点揭秘，一个BOSS卡玩家几天的情况也会因此逐渐减少，也许对许多高手来说会减少许多乐趣，但相对的，对许多游戏苦手来说这可都是利好消息，这里友情提示下哦！《黑神话：悟空》可是一个有多结局的，各位天命人终归需要多来几周目才行的！熟能生巧之下，也许真能成就战无不胜的齐天大圣哦！</t>
  </si>
  <si>
    <t>画面美术场景；音乐音效配音；动作打击手感；Boss战斗节奏；难度挑战；锁定视角；探索隐藏支线；优化帧率；Bug兼容硬件；整体完成度；西游悟空符号；中国文化宗教语言审美；外部资料依赖；角色期待意义偏移；国产3A身份期待</t>
  </si>
  <si>
    <t>CN-M-028</t>
  </si>
  <si>
    <t>不是，哥，加个地图吧，真不认路。我对着地图左拐右拐都找不到该找的地</t>
  </si>
  <si>
    <t>地图路线</t>
  </si>
  <si>
    <t>中性</t>
  </si>
  <si>
    <t>M</t>
  </si>
  <si>
    <t>CN-P-029</t>
  </si>
  <si>
    <t>十四年前，我还是个小屁孩的时候，接触到了斗战神这款游戏，当时的我不懂什么是配装，哪个职业最好玩，哪个流派最牛逼，只知道每天没日没夜的推进剧情。虽然当时的我对剧情也是懵懵懂懂，但优秀的演出、丰富的配音、动人的故事是支撑着我玩下去的动力。第三章之后，主线剧情肉眼可见的下滑，我便慢慢失去了玩下去的动力......十年之后，游戏科学的第一个视频火爆全网，当我知道这是当年开发斗战神前三章内容的主创团队时，立马引起了我的兴趣，也知道了当年团队存在的苦衷。如果是他们的话，或许真的能弥补当年的遗憾。苦等四年，今日终得发售，白骨之后，重走西游！游戏的质量和体量大大超出了我的预期。我相信这只是中国单机游戏市场百花齐放的第一步，我们中国人有能力做好自己的游戏，有能力讲好属于自己的故事，这就是我心目中的年度最佳。</t>
  </si>
  <si>
    <t>音乐音效配音；演出角色怪物设计；动作打击手感；整体完成度；推荐价值判断；西游悟空符号；原典知识人物关系专名；国产3A身份期待</t>
  </si>
  <si>
    <t>CN-P-030</t>
  </si>
  <si>
    <t>踏上取经路，比抵达灵山更难——冯骥事实证明，只有觉得不够好，想要做的更好，才会有做出好游戏的可能；事实证明，战斗是没法黑的，切手技需要一些理解和熟练，但真的比弹反好玩太多了；事实证明，精妙的BOSS设计，哪怕是连续的大小BOSS也不带腻的；事实证明，传统国乐很多时候适宜且美妙；事实证明，国色古香味的场景，就是山川湖泊的味道；事实证明，剧情还没看完，看完再说！友情提醒DLSS之类的别开低了小心锯齿和穿模可能场景和技能特效的设计，会让战斗视角些微难受，也算是瑕疵了。</t>
  </si>
  <si>
    <t>画面美术场景；演出角色怪物设计；Boss战斗节奏；锁定视角；Bug兼容硬件；推荐价值判断</t>
  </si>
  <si>
    <t>CN-P-031</t>
  </si>
  <si>
    <t>希望国产优质游戏能够越走越远，越来越多，越来越好！</t>
  </si>
  <si>
    <t>国产3A身份期待</t>
  </si>
  <si>
    <t>CN-P-032</t>
  </si>
  <si>
    <t>甲辰岁七月既望，余有故交生辰，幼时尝为余述其往昔之奇闻异事，遂成余心中之首出庶物之英雄也。岁序递迁，而关彼之传说，犹自流传于人，未尝稍息。吾终悟之，彼非独吾辈中华之人之旧交，实为普天之炎黄子孙共仰之英豪也！
谨以此作献给我们的超级英雄。大圣，生日快乐！
　欢迎关注 网易UU鉴赏家培养计划
　关注UU加速器VX公众号，回复“steam”，获得专属玩家群邀请。　
金猴奋起千钧棒，玉宇澄清万里埃
依然记得小时候蹲守在电视机前等待86版《西游记》的美好时光，那时“资源匮乏”，该片成为了中流砥柱般的存在。可谁又能想到，在影视作品琳琅满目的今天，86版《西游记》的播放量依然无可撼动：大闹天宫、三打白骨精、车迟国斗法·······大圣的一段段传奇故事陪伴着每一位炎黄子孙的成长。
2024年8月20，甲辰年七月十七，大圣回来了！随着《黑神话 悟空》开场动画的进行，他再次独自面对天兵天将的围剿，杨戬的三尖两刃枪迎面袭来，大圣再展神通，电光火石间天地撼、乾坤震，我们的故事就此展开。
重拾棍棒，直面天命，探寻昔日传说的真相。
金猴奋起千钧棒，这一棒，定叫世间邪祟灰飞烟灭！
真墨隐现，笔精墨妙
《黑神话 悟空》为玩家带来了一场极致的视觉盛宴，它巧妙地将中国古典美学的韵味与现代游戏技术的精湛相融合，尤其是每一话结束后老者说书式的剧情回顾，配合上精美的画卷，每一帧画面都如同精心雕琢的艺术品。
在场景设计方面，《黑神话 悟空》展现出了非凡的创造力与想象力。无论是云雾缭绕的灵山仙境、还是沧桑古朴的庙宇楼阁，这一个个场景保留传统水墨画的淡雅与留白的同时，又巧妙地融入了更加丰富的色彩层次。游戏中的一草一木、一砖一瓦都经过精心设计与布置：谁又能想到，路边随手采摘的草药竟是妖精伪装。
“黑猴——你适合的初恋”
作为一款动作冒险游戏，《黑神话 悟空》的难度最为直观地影响力玩家的游戏体验。犹记得23年820的试玩直播，众多天命人们跃跃欲试却被虎先锋打得苦不堪言，被众多up主成为“最黑暗的时光”，向我这样的手残党适合玩这款游戏吗？重走西游之路真的是在受苦受难吗？
游戏正式解锁之后这种顾虑烟消云散。基于RPG的核心玩法，玩家通过战斗可以积攒经验，获取技能点并进行相应的强化，碰到打不过的敌人时不妨回去刷刷经验，进行充分的准备后再进行挑战。
第一话难度是最低的，也是玩家的入门第一课。第一话的小妖大家莽就完了，打得他毫无还手之力；头目和妖王虽然略有些棘手，但他们招式固定，找准时机上去一顿输出也可轻松拿下。在这里善意提醒一下大家，切忌贪刀，否则定会生死道消。
除了敌人本身强度相对不高之外，大圣的各项神通也能助玩家一臂之力。首先是棍势，玩家通过有效击打、闪避等操作可以积攒棍势，通过重攻击释放棍势打出高额伤害；同时游戏中的棍法分为劈棍，立棍和戳棍，每种棍法都有独属于自己的重击，合理切换棍法重击可以实现躲避地面伤害、减伤、爆发伤害、打出硬直等一系列奇效。
此外法术、变身、法宝也是战斗利器，定身术给玩家疯狂灌伤的时间，瞬身术则能化解危急情况并打出爆发伤害，玩家亦可进行化身，打出效果伤害的同时避免自身血量的扣减······游戏中的变身系统也是丰富多彩，当玩家击败特定的精英怪后可以吸收其精魄从而获得相应的变身能力：远程雷电消耗，毒势积攒，抑或是更为暴力直接的打出一个硬直。
游戏中的炼丹、装备打造等系统也同样十分出色。根据收集到的材料炼制丹药获得增益buff，或是对装备进行强化，这一些列操作在深化游戏自身玩法的同时也一定程度上起到了降低游戏难度的作用。
路，就在脚下
四年的等待，游客不负众望，为所有玩家奉献上了一封骇世之作，波澜壮阔的游戏画面，大开大合的战斗场景，这就是齐天大圣！
不可否认游戏存在弱引导等不足之处，但精心设计的BOSS，各有特点的小妖，丰富的战斗系统以及角色成长系统，设计组的良苦用心让《黑神话 悟空》成为了游戏史上浓墨重彩的一笔。
路遥人困驴嘶，觅机惆怅徘徊
“黄粱一梦非真传，三藏只在此中求”，取经路之艰险无需多言，那时的唐僧师徒只知要前往西天取经，具体的路线根本无从得知。
《黑神话 悟空》中没有场景地图这一点为许多玩家所诟病。确实，对于我这样的路痴尚且分不清东南西北，更不要谈在游戏中记忆路线了；一路妖怪阻挠不断，在第一话中小怪的伤害不高，尚且不会成为前进的障碍，待到第二话小怪实力陡增，稍有不慎便会“死于非命”，复活到上一个土地庙重走来时的路；同时游戏中山路宛转，岔路横生，稍有不慎便会迷失方向。不过值得庆幸的是游戏中的场景虽然大多波澜壮阔，但悬崖、山峰等地方存在许多空气墙，“撞了南墙”便可回头。一次次的探索、一次次的战斗，到头来却又绕回了起点，最初的我也多少有些恼火，可这是西游啊，取经之路困难重重，谈何容易？此次的游戏主题又是探寻昔日传说的真相，若是地图在手，真相何须探索。
游戏虽然精彩，可别让游戏外的事情扫了兴！无论是换电脑玩时存档误覆盖，还是各种问题导致存档损坏。相信这样惨痛的经历依然时常发生，但这次决不能。所以，使用「UU云存档」来为你的存档上个保险吧，使用起来简单方便：打开UU，一键开启就能用全程自动保存，无需手动操作，不干扰你的游戏体验不影响原平台正常存储档，UU与平台云存档同步运行一键备份存档，一键锁定存档，重要的档要保存好。
没有场景地图，较弱的游戏引导，这些因素固然会导致游戏难度的增加，但不断探索，发掘宝物、秘密，从而发现真相的过程不正是此次“重走取经之路”的浪漫之处吗。
路，就在脚下！这一棒，定叫世间邪祟灰飞烟灭！</t>
  </si>
  <si>
    <t>画面美术场景；演出角色怪物设计；动作打击手感；Boss战斗节奏；难度挑战；锁定视角；地图路线；空气墙可达性；探索隐藏支线；引导迷路单线；优化帧率；推荐价值判断；西游悟空符号；童年记忆情怀；本国媒介路径；中国文化宗教语言审美</t>
  </si>
  <si>
    <t>CN-P-033</t>
  </si>
  <si>
    <t>因为黄风怪的司马投技所以你游只值这个评分。虽然你游不是魂，但你你游有远超魂游恶心的0帧超绝投技，人均数值碾压主角的快慢刀无限连，逆天故意遮挡视野，SUPER超级索敌系统，低能地图设计，以及扣扣嗖嗖疑似要把你母杀了才能给的蓝量，太优秀辣，这就是我们国游之光。·······················································很喜欢猿批的一句话"黑猴不是魂“，确实不魂，因为哪怕在魂里也不会出现主角挨不住同期BOSS三下这种蠢猪数值，晦月魔君把杨奇的妈杀了？数值填这么高？？？许多BOSS的各种HIT BOX 还有低能动作设计的细节完全看的出来游科这帮人只顾自己做的爽，根本没考虑玩家哎，国游之光·······················································我买了，玩的应该比大部分人时间长，结果被猿批闻着味儿追过来指导起来了，我们国游单机圈的人也是找到了属于自己的原神捏·······················································这沙比王灵官一分钟飞五十秒，给游科幽默完了·······················································喜欢我二郎神侧身躲隐身重滚吗？你读你吗的指令呢杨奇？</t>
  </si>
  <si>
    <t>动作打击手感；Boss战斗节奏；锁定视角；地图路线；优化帧率；推荐价值判断；西游悟空符号</t>
  </si>
  <si>
    <t>CN-P-034</t>
  </si>
  <si>
    <t>免费获取的产品
																就一个字：好！！！瑕不掩瑜，比预期的好很多，暂时没遇到闪退的问题，动作设计boss关卡设计挺好的，就是有点容易迷路。个别场景有些掉帧，问题不大。This is a great action game, and if you're interested in Journey to the West and Chinese culture, purchasing and playing it is an excellent choice.</t>
  </si>
  <si>
    <t>画面美术场景；动作打击手感；Boss战斗节奏；难度挑战；地图路线；引导迷路单线；优化帧率；崩溃闪退</t>
  </si>
  <si>
    <t>CN-P-035</t>
  </si>
  <si>
    <t>一年后仍未推出 DLC 的现状，彻底撕下了开发者和黑神话悟空的遮羞布，连最忠诚的拥趸也开始动摇。《黑神话：悟空》的溃败不仅在于设计层面的诸多缺陷，更在于创作态度的投机取巧。当情怀营销取代真诚创作，当流量至上碾压艺术追求，这款本应成为国产 3A 里程碑的作品，最终沦为了一场营销狂欢与舆论操控的注脚。时隔一年，褪去当初通关后被愤怒的情绪，再审视如今的这款游戏，那些被首发热度掩盖的致命缺陷，早已像溃烂的伤口般暴露无遗。地图设计的摆烂程度堪称业界罕见，所谓的开放探索不过是用空洞场景堆砌的骗局。开发者游科直接将现实景物扫描进游戏充当地图，玩家在游戏中看到的场景毫无设计感，更像是现实场景的粗糙复刻。所谓的 “探索引导” 完全沦为摆设，地图上标注的点位混乱且无意义，玩家在其中摸索时如同置身迷宫。更令人窒息的是无处不在的空气墙，明明肉眼可见的路径却被生硬阻隔，那些本应充满巧思的地形设计，最终变成了用加载界面强行分割的破碎空间，走两步就撞墙的体验，让探索的乐趣彻底湮灭。动作系统的僵硬感更是从始至终的噩梦。官方大肆宣传的三种棍势，实际操作中却像三个孤立的模块，轻击接重劈的卡顿感如同生了锈，连招之间的衔接断层严重到仿佛在玩三款割裂的游戏。所谓的 “行云流水” 不过是宣传片里的剪辑魔术，真实战斗中要么是招式衔接的真空期被敌人暴打，要么是按键反馈延迟导致的操作失误，连最基础的动作流畅性都无法保证，更别提什么战斗深度了。剧情的混乱程度更是让人摸不着头脑，每一章的切换都像硬生生斩断的锁链，前一章的伏笔还没展开，下一章就突然跳到毫不相干的场景，人物动机毫无逻辑，叙事节奏忽快忽慢。所谓的 “神话重构” 到头来不过是堆砌廉价阴谋论的烂俗套路，把经典神话拆解成狗血的权力斗争，既没有文化底蕴，也没有情感共鸣。而被吹上天的 “影神图”，实际体验不过是其他游戏里随处可见的怪物图鉴，除了几句干巴巴的设定介绍，毫无收藏价值，却被官方当作核心卖点反复炒作，简直是对玩家智商的侮辱。光影效果的灾难级表现更是让人怀疑开发组是否见过正常的光照。阴影处黑的像地图缺失，明暗交替能闪瞎眼，连最基础的视觉舒适度都无法保证，更不用谈其他。而boss 战的设计更是将 “粪” 字诠释到了极致，抽帧般的攻击速度毫无规律可言，上一秒还慢悠悠的动作突然加速，让玩家根本来不及反应；诡异的 hitbox 更是离谱，近战角色经常打到空气，或者莫名被格挡。第五章用重复的模型敷衍了事，第六章更是演都不带演了，这种明目张胆的偷懒让人彻底心寒。而潦草的后续更新，到最后没有dlc的闹剧，《黑神话：悟空》的每一个环节都透着半成品的仓促与敷衍。开发者用情怀营销画了一张大饼，却连最基本的游戏体验都做不好，所谓的 “国产 3A 里程碑”，终究只是一场用舆论泡沫吹起来的幻梦，当泡沫破裂，剩下的只有玩家对国产游戏的又一次失望，而孝子对营销的又一次沉沦。</t>
  </si>
  <si>
    <t>画面美术场景；动作打击手感；Boss战斗节奏；判定反馈；地图路线；空气墙可达性；探索隐藏支线；引导迷路单线；优化帧率；推荐价值判断；西游悟空符号；童年记忆情怀；国产3A身份期待</t>
  </si>
  <si>
    <t>CN-M-036</t>
  </si>
  <si>
    <t>开服十点就蹲了，当天就连玩十小时干碎虎先锋，通关第二章。国产单机之光，优点什么的别人都说的差不多了，说说缺点吧：打BOSS时有掉帧情况，还需继续优化。不是太开放，各种各样的空气墙，有看着能跳上去的根本跳不上去，走的稍微边缘一点就各种耍猴，防坠触发的太频繁了。没有任务指引，地图指引比较差，没有M大地图，没有做支线的动力。现在一款3A大作没有任务指引和大地图的比较少见，任务太单一了，不是打BOSS就是找BOSS的路上，就感觉纯粹为了赶路杀BOSS。箱子给的东西太少，这也没办法，本身游戏也没多少材料资源，主要是动作闯关游戏。第三章地牢有点阴间，冷不丁的蹿出来的飞天夜叉，走着走着突然虚化灯笼头，上来一个A1高闪接抱摔，直接给你摔死，还会闪现，配上音乐咚咚鼓声加嘶叫声，还是让人有点激动澎湃的，就跟法环的王城下水道一样，有宫崎老贼的风格。过第三层独木桥，本想逃课那只弓鼠，直接跑过去，没想到被一箭射下去了，真是焯了。关键这个地牢太让人迷路了，让我转了半天，没有指引很难受。雪山救猪八戒，老龟很震撼，有点当年玩战神4看到世界之蛇的震撼感，巨型老龟的建模太酷了。小雷音寺做的很真实啊，就跟亲自进了寺庙的感觉，美工特别棒啊，省了参观门票钱，确实是比较身临其境的。第四章盘丝洞可是真绕啊，又又又迷路了，又绕了半天，真是优秀的地图机制。洞穴探索还是很刺激的，昏暗的环境还带点恐怖，吊着的蜘蛛卵还会打你，有个洞穴甚至吊满了蜈蚣，有点令人惊悸。过蜘蛛桥的时候用2技能身法过去，不会被打到。第四章讲了猪八戒和蜘蛛精的爱恨情仇， 剧情篇幅太少，刻画的感觉一般，有些坑都没填。第五章才是黑神话主题的升华，极具有讽刺意味。1、猴子牛头曾携手反天庭。2、猴子招安去取经，换牛头等妖精安身立命。3、铁扇被喝子母河水，生红孩儿。牛头以为被绿，与铁扇不合，不认红孩，找了个玉面狐狸。4、因此牛头在取经路上与猴子对立。猴子为保全牛头，故意打了牛头弟、夺了扇子、红孩儿送给观音（入编）。5、猴子封佛后不得自由，再反天庭，被杨戬指挥取经时打过的大怪联手剿灭（天庭招安的匪类纳投名状），眼耳鼻舌身意六根被分。牛头分得身。猴子死时牛头方悟。6、牛魔悟得大圣所做皆为保手足兄弟不至于落得自己一样的下场后再上天庭，被连斩头颅数次，无功而返。7、从此牛头保留“身”苟且偷生。红孩儿向牛头要“身”反天庭，被天命人推了，而后不屈自尽。第六章打了个坏结局，上了贼船，戴上金箍，回不了头了。没做支线寄了，但不好意思，这是游戏，胜败乃兵家常事，少侠请重新来过。作为第一款国产3A单机还是不错的，符合预期，美术，打击感，boss设计什么的都很不错，中国元素融入的非常好，绝对是里程碑式的代表作，为今后国产单机带来了希望，任重道远，砥砺前行，越做越好。</t>
  </si>
  <si>
    <t>画面美术场景；音乐音效配音；动作打击手感；Boss战斗节奏；难度挑战；地图路线；空气墙可达性；探索隐藏支线；引导迷路单线；优化帧率；推荐价值判断；西游悟空符号；中国文化宗教语言审美；原典知识人物关系专名；国产3A身份期待</t>
  </si>
  <si>
    <t>CN-N-037</t>
  </si>
  <si>
    <t>这就是大国游戏该有的样子，只是可惜没看到集美们有点失望</t>
  </si>
  <si>
    <t>CN-P-038</t>
  </si>
  <si>
    <t>非常好，使我的金箍棒旋转，爱来自中国。</t>
  </si>
  <si>
    <t>动作打击手感；西游悟空符号</t>
  </si>
  <si>
    <t>CN-P-039</t>
  </si>
  <si>
    <t>出门在外旅游拿着1660ti的笔记本都能畅玩 那些sb差评如果不是收钱了真的活全家了</t>
  </si>
  <si>
    <t>CN-P-040</t>
  </si>
  <si>
    <t>当过苇名城的修罗，也当过交界地的褪色者；当过战国时期的美少女阿秀，也当过克拉特的匹诺曹；当过痞里痞气的但丁，也当过成熟稳重的绝地。但是这次，我想当回猴哥</t>
  </si>
  <si>
    <t>整体完成度；西游悟空符号</t>
  </si>
  <si>
    <t>CN-M-041</t>
  </si>
  <si>
    <t>伟大，无需多言。IGN不要脸的东西，游戏好不让投是吧，你们自己玩去吧</t>
  </si>
  <si>
    <t>CN-P-042</t>
  </si>
  <si>
    <t>更适合中国宝宝体质，玩到这忍不住评论一手，打完金池给我小高潮了，在我看来他完全不输于任何同类型作品，硬要说的话就是优化和关卡设计上有些小瑕疵，但是依然挡不住它本身的优秀，完全有资格入选tga</t>
  </si>
  <si>
    <t>地图路线；优化帧率</t>
  </si>
  <si>
    <t>CN-N-043</t>
  </si>
  <si>
    <t>作为一款boss战为核心买点的游戏蛮好的  就是地图设计缺乏构思  空气墙太频繁</t>
  </si>
  <si>
    <t>Boss战斗节奏；地图路线；空气墙可达性；推荐价值判断</t>
  </si>
  <si>
    <t>CN-P-044</t>
  </si>
  <si>
    <t>爽！真的太爽了！开头序幕的演出就已经给我刺激到了，后面正式开始以天命人的身份游玩之后，爽感也没有怎么降低，从动作到画面再到配乐，在我心中都已经是顶尖水平，游科在四年前为我们展示了一场美梦，而在四年后的今天，美梦终于成真了。这只猴子曾拯救过花果山，拯救过取经路，现在，他又来拯救中国游戏界了。</t>
  </si>
  <si>
    <t>画面美术场景；音乐音效配音；演出角色怪物设计；动作打击手感；整体完成度；西游悟空符号；国产3A身份期待</t>
  </si>
  <si>
    <t>CN-P-045</t>
  </si>
  <si>
    <t>确实好玩，配乐和美术都是顶级。战斗比仁王好，绝对算的上好玩。地图设计有点绕，但瑕不掩瑜，毕竟主要内容是打BOSS，反馈和手感都不错。</t>
  </si>
  <si>
    <t>画面美术场景；音乐音效配音；动作打击手感；Boss战斗节奏；判定反馈；地图路线；推荐价值判断</t>
  </si>
  <si>
    <t>CN-P-046</t>
  </si>
  <si>
    <t>发售前看评测视频说指引不明确，我玩第一章这个感觉不明显，第二章有点明显了，第三章 上了龟背之后 感觉更强烈了，直到 变成白狐 ，我就有一点点玩不下去了，游戏是真的好游戏，听着国语配音、感受中国文化是真的舒服，，但是于我个人而言有两个需要改进的：第一点是确确实实需要指引，第二点是小怪的名字希望可以显示</t>
  </si>
  <si>
    <t>音乐音效配音；引导迷路单线；推荐价值判断；中国文化宗教语言审美</t>
  </si>
  <si>
    <t>CN-P-047</t>
  </si>
  <si>
    <t>古色古香的好游戏，适合中国宝宝的体质，看小怪图鉴真好玩</t>
  </si>
  <si>
    <t>CN-N-048</t>
  </si>
  <si>
    <t>也是终于在垃圾氪金手游荼毒的国游环境中玩上国产3A了</t>
  </si>
  <si>
    <t>画面美术场景；推荐价值判断；国产3A身份期待</t>
  </si>
  <si>
    <t>CN-P-049</t>
  </si>
  <si>
    <t>除了容易迷路和一些sm小怪（鼠鼠我啊 真的要红温了）堪称完美战斗超爽 风景优美 美术到位 猴哥性能拉满甚至感觉有点简单 前两章头目和妖王的体验都很好千言万语化成两个字：好玩 只恨我的电脑比较差 不能更好的体验黑猴这次预购没上当------------------------------你说的对！但是：叶隐朔风如刀飘零扫尘冲天！接住了！六丁六甲，从不吃素！比其他你还是差远了</t>
  </si>
  <si>
    <t>画面美术场景；Boss战斗节奏；难度挑战；引导迷路单线；优化帧率；推荐价值判断；西游悟空符号</t>
  </si>
  <si>
    <t>CN-M-050</t>
  </si>
  <si>
    <t>第一章已过，没有什么可说的，画面电影级别，动作不是完美，但已经可以和其他3A差不多，剧情不用说了（中国人都看哭）大国正在崛起，前方路虽遥远，我辈直面天命。</t>
  </si>
  <si>
    <t>画面美术场景；动作打击手感；国产3A身份期待</t>
  </si>
  <si>
    <t>CN-P-051</t>
  </si>
  <si>
    <t>我把虎先锋喂饱了(༎ຶ⌑༎ຶ)</t>
  </si>
  <si>
    <t>CN-M-052</t>
  </si>
  <si>
    <t>终于不用进游戏找setting-language了</t>
  </si>
  <si>
    <t>CN-P-053</t>
  </si>
  <si>
    <t>游戏科学牛逼！玩的太爽快了！不知不觉8个多小时了！你们继续。我休息一下。</t>
  </si>
  <si>
    <t>CN-P-054</t>
  </si>
  <si>
    <t xml:space="preserve"> 64.7 小时</t>
  </si>
  <si>
    <t>2024-09-07</t>
  </si>
  <si>
    <t>未竟  看了影神图，听完结尾曲，这冯骥莫不是游戏界的姜文和许嵩？  试问有谁，再打破顽空，不堕轮回万古传！  一千个人眼里就有一千个哈姆雷特，游戏优点很多我这边就不说了，只讲讲个人主观上认为的不足之处：一、因制作经验的不足，大型BOSS战视角锁定体验不是很好；二、因制作工期赶，游科对原规划删减后，妥协做出的第六章，地图内容真的空洞；三、比较怨念的掉落物收集（特指采集植物所得）；四、不能自选存档位置，如果可以自选，那便可在自己喜欢的BOSS房前存好档，供日后多多把玩。  以上四条仅是我个人目前所感，日后若有新的想法，日后更新出来。  毕竟这是游科第一次涉猎大型单机大作的制作，有不足之处不是很正常？难不成那些国际大厂的作品各个都是无暇之物？有缺点我们努力改正，日后赶上不就行了。也有人拿《黑神话：悟空》对标那些一流大作，说这也不行那也不行，问题你是想看到一个属于国人的，一个带有冯骥团队色彩的《黑神话：悟空》，还是纯国外风格的《黑神话：悟空》？都说打破顽空须悟空，总在别人的框架下怎么施展自己的拳脚。“曲唱成歌，最怕平凡”警惕把《黑神话：悟空》往神作捧的，这就如同当年教员被人捧的高高的，结果就是现在把你捧的高，把你奉为“无害神像”，日后便把你摔的粉碎，因为你已经是完美无瑕的了，怎么会出现这些问题呢，肯定是你也不过如此，拒绝你的平凡后，你做的事对与错不就成他人一念之间的事。  乾卦六爻皆阳，上九爻爻辞却是“亢龙有悔”，坤卦六爻皆阴，上六爻爻辞却是“龙战在野，其血玄黄”，凡是事物发展到极端了，必要向着反面发展，只希望多多理解游科的不足，能给予这个团队回转的余地，而不是一味的捧高，要接受“你我原是有情有欲人”，是人那就一定有缺点，或多或少、或大或小，但只看缺点不看优点，那不就成了泼皮无赖了吗。  还有近期网友吐槽的大圣形象问题，从《西游记》的诞生到现在，大圣的形象是慢慢丰满起来的，真闹完天宫后善终的，怕也只有1961年上美出的这部《大闹天宫》了，其余时候都是在取真经得果位的路上，游科这次创作的大圣形象是经典的延续，更有自己的想法，有影神图中与八戒的问答还有自身设局，以身死换后人继承意志跳出轮回，这不是一个好的现象吗，怎么会是乱编呢。我觉得《黑神话：悟空》就是一款瑕不掩瑜的作品，是冯骥团队献给我们国人的一份大礼。总之思绪万千写的很乱，这条评测观感肯定不甚舒服，希望读者见谅。</t>
  </si>
  <si>
    <t>Boss战斗节奏；锁定视角；地图路线；探索隐藏支线；推荐价值判断；西游悟空符号；原典知识人物关系专名；角色期待意义偏移</t>
  </si>
  <si>
    <t>CN-N-055</t>
  </si>
  <si>
    <t>你买了游戏，大圣很开心，因为他知道你很喜欢他。你开风林月影，大圣很高兴，因为这本来就是他的本领。你没买，大圣也理解，因为他知道你也有自己的八十一难。你玩盗版，大圣也只会淡然一笑，毕竟哪个猴子猴孙没有一个齐天梦？ 如果你花钱玩盗版，大圣会开心，因为他感觉看到了他的二师弟…但是如果你以一个购买者去嘲笑，贬低，谩骂，道德绑架其他人，那么大圣就会不高兴了，因为他仿佛看到了，西天和天庭那帮道貌岸然，以强权压迫弱小的那帮家伙。</t>
  </si>
  <si>
    <t>推荐价值判断；西游悟空符号；中国文化宗教语言审美</t>
  </si>
  <si>
    <t>CN-P-056</t>
  </si>
  <si>
    <t>非常好玩，空气墙问题没有想象中的那么严重，甚至有的时候我个人感觉都无伤大雅。玩了8小时没碰到bug也没有闪退，优化很好。但是我怎么打不出劈棍法示里那么帅的连招马上前两章全收集了，说一下游戏不足的地方，希望后续能改进，一个是视角锁定的问题，boss战太容易丢失锁定了，好几次都要重新手动锁定。第二个就是希望内置一个收集度提示的功能，这样就不用玩家一个个去比照攻略网站看有没有收集完了，没有这个功能真不太方便</t>
  </si>
  <si>
    <t>动作打击手感；Boss战斗节奏；难度挑战；锁定视角；空气墙可达性；探索隐藏支线；优化帧率；崩溃闪退；Bug兼容硬件；推荐价值判断；外部资料依赖</t>
  </si>
  <si>
    <t>CN-P-057</t>
  </si>
  <si>
    <t>终于出现这么个游戏值得我写有生以来第一个STEAM评测了无敌好吧我此刻无比骄傲自豪</t>
  </si>
  <si>
    <t>CN-M-058</t>
  </si>
  <si>
    <t>我曾有过很多身份，我曾驾驶过泰坦BT7274，在反抗军中是一名以一敌千的铁驭，我也曾在北美西部的荒野里燃起篝火，一把左轮，除暴安良。我还在古老的江户时期，成为“独臂之狼”的忍者大师，不畏死亡。我也曾在洛圣都中，快意恩仇，一辆超跑，无限嚣张。在诺曼底海岸成为一名普通士兵匍匐冲刺，一身破军服，浴血荣光。在中欧大地我是刺客大师藏起袖剑，隐秘角落，杀人无形。但是这次我谁也不是，我只想回到我的家乡。这一次，我只想在属于我们的神话世界里，当一回齐天大圣。——来自小黑盒用户春日野_悠的评价</t>
  </si>
  <si>
    <t>难度挑战；西游悟空符号</t>
  </si>
  <si>
    <t>CN-P-059</t>
  </si>
  <si>
    <t>作为国产第一部3A来说，做的比较优秀了</t>
  </si>
  <si>
    <t>CN-P-060</t>
  </si>
  <si>
    <t>4年啊！我等了4年！不说了，猿神！！！！启动！！！！！！！！</t>
  </si>
  <si>
    <t>CN-P-061</t>
  </si>
  <si>
    <t>比战神好，没解密，有打击感，牛逼</t>
  </si>
  <si>
    <t>CN-P-062</t>
  </si>
  <si>
    <t>“当你想做一个能打动自己的事情的时候，他大概率能打动跟你相似的人”“第一次做，完成比完美重要”“你可以试试”“吴承恩和莎士比亚没有那么大差别”“不光关注孙悟空，还会关注对手，能不能把敌人也塑造好”“经典的东西并不是一个束缚""国内出现75分产品的时候，只是因为我们承载了大家对这个国家这个民族朴素的热爱”“从自己出发，务实一点地考量，只作为一个不带这些标签（国产3A）的产品的时候是不是也能达到那个标准”“产品应该是先自然地打动本地的文化族群，当品质足够高，会自然辐射到海外”“不是因为盖了国风的标签就有了免死金牌或者可以低品质，而是应该要有更大的责任感，应该如履薄冰”“老祖宗赏饭吃自己不肯吃”“踏上取经路，比抵达灵山更重要”——游戏科学创始人冯骥天都这么冷了，多一件袈裟，它也不嫌多</t>
  </si>
  <si>
    <t>整体完成度；西游悟空符号；国产3A身份期待</t>
  </si>
  <si>
    <t>CN-P-063</t>
  </si>
  <si>
    <t>个人感觉文化氛围浓郁，作为中国人很喜欢这样的画风，就是难度偏高，希望游戏有难度选项，照顾一下魂类新手玩家。希望加入对超宽屏 带鱼屏的分辨率支持，加入更多的养成DLC要素。</t>
  </si>
  <si>
    <t>画面美术场景；难度挑战；国产3A身份期待</t>
  </si>
  <si>
    <t>CN-P-064</t>
  </si>
  <si>
    <t>爽玩了第一章，应该说这游戏达到了我的预期。猴哥性能太强了，各种神通，血还很厚，挺容易上手的。第一章打完后的cg让我想起了小时候看的动画，希望国内以后能有更多这样优秀的作品</t>
  </si>
  <si>
    <t>演出角色怪物设计；难度挑战；优化帧率；西游悟空符号；童年记忆情怀；本国媒介路径</t>
  </si>
  <si>
    <t>CN-P-065</t>
  </si>
  <si>
    <t>金猴奋起千钧棒，玉宇澄清万古埃
毫无疑问，黑猴打破了这些年发售前呼声高昂，发售后掉轨的魔咒。
有一说一，文化争夺想在西方语境下的围剿进行突围，是有难度。
话说回来，今年的对手将将。咱就说：“什么年度不年度的，天命人无所畏惧！”
　欢迎关注 网易UU鉴赏家培养计划
　关注UU加速器VX公众号，回复“steam”，获得专属玩家群邀请。　
前言：
问题①：《黑神话：悟空》让国人玩家们狂热的根本是什么？
问题②：《黑神话：悟空》到底是一款什么样的游戏？（跟预告片有多大差异？）
对于观望的玩家，这篇内容是推荐文，也是“祛魅文”，还是一名玩家的游玩心得。
推荐：为何痴迷，为何上头？
我们知道本作并不完美，有些地方还显得稚嫩。可为什么我们依旧为其痴迷，玩起来那么的上头？
答案很显而易见，只是被大家忽略了。情怀只是其中很小一部分，只是初因。而玩起来上头，上头后为其打Call点赞，这主要原因还是“打铁还需自身硬”。
游戏玩家们并不会只因为情怀而买单，这一切都需要游戏本身够硬，它不需要金刚不坏（不需要完美），但它要足够硬，硬到经得起玩家们的三味真火的考验。俗话说，真金不怕火炼。
推荐：预告片可靠吗？
预料之中，这几年的预告片中的少许内容并未全部出现在游戏中。其中些许演出环节，还有明显的变动，如果你对过去的每一个视频都看过，在游戏时你会发现这些变动的。
情理之中，游戏实际质感与预告片中的效果保持一致，不存在所谓的“预告骗”。你在视频中看到的那种成熟游戏气质，在实际游戏中依然如此，游戏的视听体验令人满意。
 推荐：黑猴是款什么样的游戏？
《黑神话：悟空》其实更像是包含了角色扮演元素的动作冒险游戏，也是一款含有魂元素的Boss rush游戏。
注意：魂元素，不是类魂。就像一部电影包含惊悚元素，这并不能代表这是部惊悚电影。
游戏中的部分魂元素：“缩地青符”的效果。还有土地庙（类似篝火），当然黑猴在这方面做了创新优化，玩家与土地庙互动不会立马刷新地图，玩家可以自行整备物资，选择“调息”后才会刷新地图和恢复状态。
Boss rush：游戏每个关卡提供了大量的Boss战，其中好些Boss是国人玩家耳熟能详的存在，同时也带来全新的解读与设计，某些Boss更是从外观到战斗设计都非常有特色。
游戏难度综合而言尚可，极难的Boss少见（推荐手柄游玩）。对于没有动作游戏经验的玩家来说，多少得受点苦了，当然稍加练习后，也可以较快上手，因为战斗的操作逻辑并不复杂。对于有动作游戏经验的玩家而言，只要热热身，就可以战个痛快了。
“祛魅”：遇到的问题，未来的成长
这部份内容是以客观的视角来看待品质。
正如前文所说，《黑神话：悟空》不需要金刚不坏，但它要够硬。是的，黑猴它够硬，只是不完美。其中游戏时你会遇到一些可忽略的小问题，也可能遇到一直伴随着你的问题。
一些小问题，暂举几个例子。
初次跟二郎神对战时，蓄力攻击（按Y）有丢失特效和音效的情况。偶尔打坐时的配乐跟打坐结束后的环境音衔接不到位，导致两种音乐的冲突。跟土地庙的互动，土地庙显示了互动图标（右扳机RT），但按下时却是释放技能和使用物品的窗口。以上问题非必现。
可能一直伴随你的问题。
遗憾的是，游戏地图的表现成为最大的短板。一方面是设计原因，使地图路径的编排不够巧妙。二方面或许是开发周期紧张，又或许是经验不足，让地图上的可活动区域与非活动区域的界限不够清晰，同时（可能）为了避免场景bug，开发组在场景中放置了大量的空气墙。这让一些区域看似可以前往，其实并非可探索区域，为了避免错过重要道具，玩家会在每个类似路径处尝试探索，于是更加容易碰到空气墙，最终让玩家的体验体验遭受到挑战。显然这是开发组在未来需要成长的环节。
幸运的是，场景设计是完美的。那种氛围感只有中式美学才能办到，那些到实地取景的佛像与建筑，非常令人震撼。今年上半年还提前看了其中的某取景地，怕的就是黑神话大火后景点迎来旅游高峰。
当前的部分大小问题，未来应该能够得到处理，这一点个人不太担心。实话实说，这些问题基本在可接受范围内，游戏发售至今，没有大量极其恶劣的优化问题或者BUG问题，例如：像2077首发那样的灾难。能做到这一点，属实不易。
游戏体验和心得
 个人游玩方式 
比起速通，个人更喜欢事无巨细的探索，把章节里的每个BOSS都打败，每个蒲团都收集到，还要尽可能的拿到各种成就。这种情况下额外的云存档就显得格外重要，无论是换电脑玩时存档误覆盖，还是各种问题导致存档损坏，UU云存档能给你的存档上个保险。
主要是操作方便，启动即用，不会影响原平台正常存储档，UU与平台云存档同步运行。而且全程自动保存，无需手动操作，不干扰你的游戏体验。还能一键备份存档，一键锁定存档，锁定剧情分支点关键存档，一周目也能打多结局。到时也别错过UU存档市集，为你提供多种存档，多种攻略，如：知名主播存档，做成就做收集的各种存档，还有手把手教学的攻略。最重要的是免费！现在还能参与活动赢奖品。
敌人数值选择
敌人数值采用的是固定数值，而非动态数值，例如：前期有难度的敌人，在后期对于玩家来说就是杂兵，顶多是算是个精英怪。
固定数值与动态数值，有优劣但并无对错，这只是一种选择。是选择固定数值，还是选择动态数值，这在于开发商想给玩家什么样的体验。个人是两者数值体系都能接受的，但对于一款包含了角色扮演的动作冒险游戏而言，敌人是固定数值的好处，让玩家的成长体验更好，可以利用属性成长来弥补技艺上的欠缺，不至于持续处于吃闭门羹的状态。
死亡惩罚刚刚好
角色死亡后，大多数敌人会重新刷新，除特殊敌人或特殊地点敌人外，如：土地庙处或重要物品处的敌人初次击杀后不会再刷新。最重要的是玩家角色死亡后，重要资源不会掉落，使玩家战斗压力最小化。重要资源如“灵韵”，游戏中的一种重要类货币要素。
角色死亡后的跑路设计也很人性化。特别是一些需要转场，需要载入才能抵达的隐藏Boss区域，玩家在这里被Boss击杀后并不需要跑很远，也不需要重新载入区域。玩家会在区域入口处复活，这里会有一个临时复活点，这大大降低了玩家战败后的挫败感，以及节约了玩家反复挑战的时间成本。
推图驱动力足够
场景中会有放置的灵韵，涉取灵韵不仅增加灵韵点数，还能恢复若干酒葫芦使用次数，这无疑是增加了玩家在探索地图时的续航能力。
地图很大，敌人数量不算多，好在敌人与道具的放置摆放合理，在探索的过程中乐意继续往前推进。这些重要道具正是在探索关卡中拾取，或者击杀关卡中的Boss获取，这是一种正向的游戏体验。例如：酒葫芦，不仅仅是一种恢复手段，也是游戏BD的玩法之一，这让酒葫芦相关的道具成为了探索搜集的重要驱动力之一。
关于游戏BD
套装BD：套装非恒强，装备不一定要穿整套。是否要凑套装效果，要看效果情况。只要数值相差不是特别大，在最多保证2件套装效果下，优先穿戴有“独门妙用”（也就是装备特性）的装备，一般这类装备都有战斗强化，如改变招式或增伤等特性。
酒葫芦BD：葫芦本身有被动效果，获得的酒类也带有特殊效果，其中泡酒的道具还有特殊效果。所以当酒葫芦一口下肚就能有3种buff加成，好不快活！
为何没有提起招式BD，因为迟早你是要水桶号的。
写在最后的话
由于文化差异原因，文化话语权争夺的原因，《黑神话：悟空》想要在西方语境下的围剿进行突围，可以说还是很有难度的。
从当前在海外的媒体评测与MC综合评分来看，正是如此——“难”。外媒是很难理解西游记这一文化对于国人的影响，何况中式文学在翻译后会流失大量原本的的韵味，他们更难理解这款游戏的诞生对于中国单机游戏圈（开发者和玩家）代表着什么。所以他们更多是只能关注游戏玩法和开发技术，在褪去那一层层的情怀光环下，还顶着他们对多元化要求的有色眼镜的苛责下，综合评分能够达到80分往上，可以说这一成绩不可小觑！
话说回来，今年的对手将将够看。黑神话这样的品质和热度，争取争取年度提名问题不大。至于其它的事情就复杂很多，这是文化话语权的争夺，最终角逐如何，交给天命吧！
最后感谢各位天命人的阅读！</t>
  </si>
  <si>
    <t>画面美术场景；音乐音效配音；演出角色怪物设计；动作打击手感；Boss战斗节奏；难度挑战；锁定视角；地图路线；空气墙可达性；探索隐藏支线；优化帧率；Bug兼容硬件；整体完成度；推荐价值判断；西游悟空符号；童年记忆情怀；外部资料依赖</t>
  </si>
  <si>
    <t>CN-P-066</t>
  </si>
  <si>
    <t>十分确实吹的太过了，这个游戏要是满分十分，那他的地图设计扣一分还少了。这游戏的地图主打一个让你不知所措。很多地方喜欢把死路做的又宽又大又长，把正确的路做的又隐秘又窄。很多岔口还是互相绕远路串起来的。基本没有引导怎么走全凭感觉。走远了你连你自己在哪都不知道了。还有这个游戏地图大多数情况下都得和空气墙打交道，不是说这个游戏空气墙有多么多，而是他的地图做的你根本无法判断到底能不能走，必须去得去试探一下才能确定这个区域的可活动范围。没错空气墙没有挡你路而是给你排除了个错误选项。尤其是第二章地图简直就是得摸墙走。游科赶紧把地图指引功能给安排上吧，要不然指南针也行。就目前这个地图设计就是纯纯的折磨，打完第二章不觉得爽反而是感觉终于解脱了。10分还是不客观了，8分确实合理分割——————————————————我平时没怎么加好友突然来了那么多好友申请我还奇怪，原来是我被团建了。先说第一，这个评价仅仅是我认为这个游戏体验上不足的地方。评分也是我的标准评的，我不是任何媒体机构，评价也仅仅代表个人。其次，我寻思我也没给差评吧。如果是因为我打了差评来团建我还能理解，好评还来团建我真不理解。有些人拿法环和黑魂的地图拐我，其一我不是魂类玩家，也不喜欢魂。我也听说过魂类有多折磨，但我不是抖m也没有斯德哥尔摩。你让我去玩魂我只会给比黑神话更低的分数，你拿别的游戏拐我证明不了其他游戏有多优秀，只能让我知道那个游戏体验可能比这个还烂。其次，我说地图有问题可没说其他的地方都不行，相反其他的都很行。但是这个地图的设计带来的负反馈基本上摧毁了相当多其他优点建立的正反馈。空气墙的问题根本不在于多而是你根本没办法判断到底哪里有空气墙哪里没有，基本上是逼着你模墙探索才能对可活动范围的大小有概念。在整体都很优秀的情况下，严重的缺点会把问题暴露的更加彻底。我专门提地图问题就是因为这个地图设计基本把我的探索欲望和正反馈给干了个稀碎。至于我没提到了那基本就是我认为这个游戏都没有问题的地方。再来，我判断游戏该不该买的的时候一般都优先看一些刺眼的缺点再看优点。一个游戏再好也存在有一些玩家无法接受的地方，我强调地图恰恰是我最不能接受的地方就是这个地图设计。我的评价只是告诉打算买的人这游戏存在的缺点有个清晰的认知而已。再来团建我对你们也没好处，会影响这游戏的好评率吗？还是影响你去拿tga大奖？影响这个游戏的销量？还是你们我谈缺点扫了你们的兴让你们看着不好受？我的评分就那么重要？</t>
  </si>
  <si>
    <t>判定反馈；地图路线；空气墙可达性；探索隐藏支线；引导迷路单线；推荐价值判断</t>
  </si>
  <si>
    <t>CN-N-067</t>
  </si>
  <si>
    <t>我目前玩到小西天，总结目前为止，浮屠界你们设计的是认真的？什么屎啊？就这个边缘机制能统一吗？自主移动包括奔跑跳跃，到了边缘空气墙。被攻击可以落下，自主攻击也可以落下，到底会不会做边缘机制，然后一个强力近战兵旁边来一个高台上的弓箭手，请问你给了角色远程处理敌人的能力了吗？就一个棍花防御，最傻逼的顶着弓箭的强硬直杀气近战兵之后，也完全没手段上高台击杀远程，然后你还要在旁边放个宝箱。其他游戏也有这种阴间的屎图，但是又臭又香，你这个纯臭，说不会做游戏，游戏做得还可以，说会做，让这个关卡设计师n+1滚蛋吧。</t>
  </si>
  <si>
    <t>动作打击手感；地图路线；空气墙可达性；探索隐藏支线</t>
  </si>
  <si>
    <t>CN-P-068</t>
  </si>
  <si>
    <t>抛开国产滤镜也能给9分的品质，但游戏中的文化氛围那代入感是别的游戏给不了的。满分！！！</t>
  </si>
  <si>
    <t>整体完成度；推荐价值判断；国产3A身份期待</t>
  </si>
  <si>
    <t>CN-P-069</t>
  </si>
  <si>
    <t>打差评是为了提醒想入手的兄弟们，不要相信某些up主说“闭眼买”，“最值得一玩的游戏”，你得掂量掂量自己，自己是不是手残，自己喜不喜欢这种有点难度，手残起来还是会坐牢的“简化魂类”（他们都说这不能算是“魂类”游戏）游戏，boss的难度更像是怪物猎人世界（单人）。这游戏是arpg（他们如是说），上手有一点门槛，有难度，不喜欢这种类型，可以去支持自己感兴趣的优质国产独立游戏，例如，喜欢推理选《山河旅探》，喜欢经营建造可以选《戴森球计划》，喜欢悬疑恐怖的可以选《烟火》、《三伏》，不要脑子一热就来原价买一个自己不一定喜欢玩的3a游戏，好的游戏不只是3a。</t>
  </si>
  <si>
    <t>Boss战斗节奏；难度挑战；推荐价值判断；国产3A身份期待</t>
  </si>
  <si>
    <t>CN-P-070</t>
  </si>
  <si>
    <t>你是一名猿神玩家，最喜欢的事就是去steam和各大论坛看有没有诋毁猿神的评论，双标是你作为猿神玩家的独特体制，因为每次刷到有关猿神的视频和帖子，你都会发了疯一样冲进评论区，搜查辱骂猿神的言论，逮住一个就说：“你买游戏了吗？云玩家，这么高的销售量还堵不了你的嘴吗？”遇到关于游戏性的问题便会嗦起那几个赛博奶嘴说到“xx也干了。“此时你就像猿神附体一样铜头铁臂，仿佛任何人都不能伤你半分。在评论区维护玩你那销量高的、剧情好的、被打压的猿神后你便美滋滋的打开另一个帖子如同寻血猎犬般继续搜寻下一个猎物。”wow！这种犹如疯狗一样的打法，让人根本无法反应，即便的陷入劣势也能通过身外法身召唤其他猴子猴孙瞬间将局势逆转，你才是新一代孙悟空。有没有一种可能他只是一款82分的游戏却被你们当成宗教一样成为赛博华为，销量高只是因为很多人去支持”村里第一个大学生“。而这赛博奶嘴则是你最后的一道防线，除了画质也许猿神都没问题了吧。所以你才是游戏领域大神，对吗？孩子。</t>
  </si>
  <si>
    <t>画面美术场景；推荐价值判断；西游悟空符号；中国文化宗教语言审美</t>
  </si>
  <si>
    <t>CN-P-071</t>
  </si>
  <si>
    <t>唱唱反调先说说结论，我个人对黑话空的评价，是一群全球顶尖的技美经过志同道合的讨论后弄出来的自娱自乐的大项目。其实这个评价有失公允，假定了他们不想把其他部分做好，但这个评价描述的画面描述是准确的。首先，美术评分上，技美能打100分，并且是因为满分只有一百分。但其他地方就乏善可陈了，不论是光脚的大圣失去了他的藕丝步云履，还是天兵在云端平铺列阵，场景美如画却很难在游戏中捕捉到一个与流程交互起来的惊艳画面，看起来这些顶级的美术资源制作能力被很多都被浪费在了蹩脚主美功力了，这就是我想说的，主美欠缺带来了审美灵魂缺失，主美为整个作品提供审美水平与审美灵魂，他能把开头的天兵天将编织成画，能将画面与流程串在一起，能变废为宝，更别说这么多宝贵的顶级资源。但遗憾的是，没有这样的主美。然后，游戏性上，勉强能踏过平均线，在一些设计上可以拿到不错的成绩，但整体问题太多了，甚至一个短评描述不完，除了boss战本身，其他几乎只要是一个系统就存在致命的缺陷，这其实同样也反应在制作人员的问题上，玩法策划数值策划关卡策划水平远远不行。根本支撑不起来这么多技美带来的顶级素材，在这种水平下这些东西难以用游戏性串联起来，更别提融入玩法里去了。最后，是剧情，从开篇尴尬的台词就能看出来，是个游科绑在一起，也难以写出小学超纲的台词。整个游戏像没有主编剧一样，故事过于简单，哪怕是找b站水平最差的阴谋论西游up，都不至于蹩脚至此。与魂叙事对比，他的话太多了，与其他演绎型线性游戏对比，他的话又太少了。如果你有心能看我骂骂咧咧写到这里，那么你一定值得我给你描述真正的问题。以上这些问题，是很典型的技美组成的团队会诞生的问题，他们技术好，但审美能力有限，又因为技术全球领先而看不起其他工作者，很难听进去他们的意见，我不少技美朋友都有这样的问题。但是，这依然不是问题的根源。你觉得，游科不想把它做好吗？他不想尝试解决这些问题吗？他不会克服技美的自身局限吗？这个问题，回归到一个本初问题，为什么是一群技美攒在一起做了这么个游戏，答案已经呼之欲出了，因为我们只有技美，中国游戏行业，只有技美能达到全球领先水平。所以他们积累了财富，有了能力去实现自己想做的东西，上述所有问题，只有一个原因，游科如果想找一个能胜任的人，在国内能找到吗？一个能力匹配他们技美水平的主美？一个能力能驾驭这些素材的玩法策划？一个能做好叙事与玩法结合的主编剧？这样的人如果存在，那么也早与这些技美一样，积累了财富与技术资本，去做自己想做的事了。问题如此之多，但黑话空绝对是一个非常好的开始，我们开始做了。给游科一些小建议，试着去培养一些上述问题中缺位的从业者吧，也许能有一天看到中国真正3A，真正的齐天大圣！</t>
  </si>
  <si>
    <t>画面美术场景；Boss战斗节奏；难度挑战；地图路线；引导迷路单线；整体完成度；推荐价值判断；西游悟空符号；国产3A身份期待</t>
  </si>
  <si>
    <t>CN-P-072</t>
  </si>
  <si>
    <t>直接爆论年度最佳，手残不要怕，非常简单，已114514周目</t>
  </si>
  <si>
    <t>难度挑战</t>
  </si>
  <si>
    <t>CN-P-073</t>
  </si>
  <si>
    <t>满分 虽然我才过了第二章 但是那个陕北民谣一响我就知道满分</t>
  </si>
  <si>
    <t>CN-P-074</t>
  </si>
  <si>
    <t>写在《黑神话：悟空》发售首日：金猴奋起千钧棒，玉宇澄清万里埃
你是我儿时认识的第一个英雄。
你是那个神气无比，头戴紫金七星冠，脚踏藕丝步云履，身披锁子黄金甲，手持如意金箍棒的齐天大圣。
而这一次，你又将挺身而出、力挽狂澜。
　欢迎关注 网易UU鉴赏家培养计划
　关注UU加速器VX公众号，回复“steam”，获得专属玩家群邀请。　
“国产游戏终于迎来了出头之日，我们自己终于拥有了真正意义上的3A游戏，几代游戏人前仆后继、终于实现了同国际顶尖作品同台竞技的夙愿。”在《黑神话：悟空》的发售首日，实际体验游戏内容过后，真的会让人情不自禁地产生如此的感叹。
从中小学必读书目四大名著《西游记》，到每逢过年必定播出的《86版西游记》，大圣终于跳脱出书籍、跳脱出影视，以最直观的第九艺术的形式，来到了每一个他曾经陪伴过的孩子面前。
中式风格美轮美奂，天命之路博大精深
作为国内首款3A游戏，也是首款宣扬中华优秀传统文化的大作。《黑神话：悟空》以《西游记》为蓝本，主要讲述《西游记》结束之后的故事。游戏中融入了海量的中华文化元素，将中式美学彻彻底底做了波对外出口。
可以说，游戏科学在本作制作之初，就立下超越而不是追赶国外游戏的目标，足以见得他们对于《黑神话：悟空》这个项目的自信和野心，他们在虚幻五引擎的使用上投入了大量的经历，也因此获得了肉眼可见的丰富回馈。不知道有多少玩家都是被《黑神话：悟空》中贴近现实的预告片吸引入坑，由此陷入了翘首以待一年一部预告片、等黑猴等到疯的不归路。而本作实际的画面表现力也绝对能在全世界一线大作中位居前列，小到猴子身上的毛发、水面光泽的反射这些日常细节，大到天兵天将逼近、大圣与二郎神打斗的激烈特效，《黑神话：悟空》都把握的恰当好处，贴近现实的环境模拟让每一位天命人在这趟旅途中如痴如醉，毫不吝啬的大场面强特效战斗又让玩家时刻保持在热血贲张的状态。
《黑神话：悟空》的布景绝不仅仅停留在美、拟真这个层面，因为游戏基于古典文学作品制作，所以大部分场景设计都经过了严格的考据。古朴而又香火不旺的土地庙，看一眼就肃然起敬的佛龛，神态各异的雕像，每一处都相当对味，并且如果玩家足够有心，也许就能在网上搜索到与之对应的资料，游戏中相当多的布景与物品都是基于现实制作。漫步于《黑神话：悟空》的世界，玩家能体会到满满的中华文化认同感，一切布置都没有半点违和，也只有国人所制作的游戏才能达到这个地步，这在其他游戏中是前所未有的体验。
棍法出奇制胜，大圣妙显神通
不论玩家在文化认同上多么买账，但是《黑神话：悟空》想要走出海外，无疑还是要靠自身硬性实力。最需要考验的就是《黑神话：悟空》的战斗设计。对于游戏科学来说，想把九九八十一难做的妙、平衡好，可谓是难于登天。
一方面，他们缺少以往开发大型动作游戏的积淀，如何去营造打击感、打击音效、受击效果等等都是玄之又玄的问题；另一方面，《西游记》中每难的妖怪形象出身各不相同，如何在游戏把他们的形象复现，如何为他们设计各自风格迥异的招式，也都需要考虑；还有一点，《黑神话：悟空》中只有棍可以当作武器，如何在这看似单一的攻击手段上衍生出千变万化的攻击花样，是摆在游戏科学面前的巨大困难。
但《黑神话：悟空》就是如此的不可思议、如此的让人惊喜，游戏科学为所有的问题都找到了答案，甚至在我眼中交出了超出满分的答卷。
在动作手感上，《黑神话：悟空》具备出色的反馈效果，玩家在视觉上能最直观地观看到敌人飙血，同时也能在听觉上细细听出棍直接敲打和劈下所带来的声效差距，甚至一招一式的出手都会引起环境的变化，以至于有些隐藏的敌人都需要玩家如此互动才能触发。
在妖怪设计上，截止目前的游玩体验中，我并没有感受到一些媒体所提到的敌人种类单一的问题。恰恰相反，《黑神话：悟空》可谓是满足了部分玩家见识了解《西游记》中不知名小妖的愿望——无论是持枪耍刀的狼与虎，还是死而复生的骷髅，游戏科学对每种敌人的设计都相当仔细，它们都有独立的攻击手法。不仅如此，在战斗之外《黑神话：悟空》还为这些小喽啰们安排了各自的故事。某种程度上来说，翻看妖怪图鉴的过程，就好比阅读迅哥心心念念的有图的“三哼经”，只不过天命人们还能与它们亲自战斗。
在招式玩法中，游戏科学一定对《西游记》作了深刻考究，提到孙悟空我们就能想起如意金箍棒和七十二变，那么这些特性在《黑神话：悟空》中就化为了各式的技能与战斗流派：玩家能在游戏中解锁劈棍、立棍、戳棍，恰当的变幻流派就能对不同类型的敌人起到奇效，比如立棍就能大大减轻面对地面攻击的压力；战胜一些头目可以获得精魄，那么玩家就可以一路收兵买马，挑选合适手下败将的技能变身使用；在此之外，天命人还拥有诸如定身法与安神法的奇术。出奇制胜的棍法与千变万化的技能，一齐让玩家在战斗中游刃有余，面对同一种敌人，自然有数般手段将之拿下。不过游玩《黑神话：悟空》的过程中还有少许的闪退现象，也许是游戏科学在优化上的问题，严重的话可能会出现云文档bug丢档。针对这点，其实可以试试顺带打开UU的云存档功能，能自动备份和查找类似进度的存档，试了下还蛮好用的。
里程碑式3A作品，从无到有的工业奇迹
《黑神话：悟空》自立项之初，就承载着无数国人的期望。它的成功，不仅对普通的游戏玩家有着莫大意义，也对国内的游戏行业起到了振奋作用。
身为世界上电子游戏消费市场最大的国家之一，我们有着数量庞大的游戏爱好者，生活在网络娱乐如此发达的时代，似乎每个人提到电子游戏都能侃侃而谈。有些人喜欢身为刺客信步于巴黎推动历史进程，有些人热爱在洛圣都街头摸爬滚打，有些人则乐意漫游世界各地深入古墓寻觅真正的宝藏。不过一旦提起带有中华文化符号的作品，很多人可能没什么印象。身为现存至今文明从未中断的唯一的文明古国，我们拥有如此多的文化瑰宝，却受限于技术和历史问题，始终没有在游戏领域讲好属于自己的中国故事。
国产游戏行业同样不乏前仆后继、饱含赤诚之心缔造伟大游戏的前辈，在他们的努力下，我们在《仙剑奇侠传》见证了李逍遥的催泪江湖，在《风之旅人》品味了令世界为之动容的第九艺术，在《古剑奇谭三》中体会到中华文明的薪火相传与天下大同。如今的国游百花齐放，却唯独缺乏能在国际上比肩诸如“战神”“神秘海域”等等的高规格作品。
不过随着《黑神话：悟空》的出现，这些都不再是问题。在这款游戏上，我们所见证到的，是国产游戏几个世代以来的厚积薄发；是游戏科学从零到一、敢为人先的历史性突破；这是一部真正意义上的国产3A游戏，是中国故事、中华文化与第九艺术的完美融合。再多的溢美之词也不足以表达《黑神话：悟空》带给国人的兴奋。
这一次，我们无须被迫聆听异国的陌生语言，也不必被动接受他乡的晦涩文化。
这一次，我们目光所及之处，皆是《西游记》场景的完美重现。
这一次，我们耳畔回响之语，皆是朗朗上口的中华诗句与中华佛经。
这一次，我们终于玩到了朝思夜想、魂牵梦萦的国产高规格作品。
这一次，我们终于当了回自己的齐天大圣。
《黑神话：悟空》的出现，毋庸置疑将载入中国游戏的发展史，它所作出的突破，也象征着国产游戏真正意义上以大作姿态在国际上高歌猛进。它回应了国内广大游戏爱好者的殷切期待，以超乎想象的水平交上了一份让人喜出望外的答卷。能玩到如此兼具可玩性与文化价值的国产游戏，可以说是所有玩家的荣幸。
金猴奋起千钧棒，玉宇澄清万里埃。身为一名游戏玩家，衷心希望《黑神话：悟空》能一扫过去的阴霾，期待它所带来的讨论度能改变当下人们对于第九艺术的认知，期待它对唯利是图的国游行业产生一点波澜。我们也当然憧憬未来能有越来越多像游戏科学一样身怀理想、充满干劲的厂商踏上这条取经之路，尽管注定要历尽艰难险阻，尽管要克服九九八十一难，但倘若胸怀热爱、一心赤诚，那么足迹所至，即为灵山。</t>
  </si>
  <si>
    <t>画面美术场景；音乐音效配音；演出角色怪物设计；动作打击手感；Boss战斗节奏；判定反馈；探索隐藏支线；优化帧率；崩溃闪退；Bug兼容硬件；整体完成度；推荐价值判断；西游悟空符号；童年记忆情怀；本国媒介路径；中国文化宗教语言审美；外部资料依赖；角色期待意义偏移；国产3A身份期待</t>
  </si>
  <si>
    <t>CN-P-075</t>
  </si>
  <si>
    <t>好评够多了，那我说说缺点。地图设计真是一坨狗屎，好看是好看了，你做的是nm呢？之前天天吹藏东西藏东西，你藏是藏的好啊，把地图做成一坨狗屎确实没人找得到。三岔路，四岔路，五岔路，说自己是线性游戏，你家线性游戏引导烂成这个B样子？还有那几乎用空气墙填充的每一块空地，你家线性游戏不告诉你主线是哪条路，然后分叉四五条路，还有场景几乎没有任何阻挡，结果走到头才发现是空气墙。尤其是第二章第三章，真是一泡大的。你别说还真有不是空气墙的地方，那里有什么呢？什么也没有哈哈，这下质疑、理解、成为黄金树了。一张图一个风格，你细节倒是做的好啊，但是总体看下来就是一坨，这里丢个建筑那里丢个建筑，但是跑图的时候一点标志性没有，nmb的，这地图打得头晕眼花，玩得累死了。我不是剧情和风景党，我是个游戏玩家，我爱好搜刮，也爱好战斗，但这地图设计让我的游玩体验直降谷底，只能说国产3A进步空间还很大。</t>
  </si>
  <si>
    <t>画面美术场景；Boss战斗节奏；难度挑战；地图路线；空气墙可达性；探索隐藏支线；引导迷路单线；国产3A身份期待</t>
  </si>
  <si>
    <t>CN-P-076</t>
  </si>
  <si>
    <t>一款游戏只要带有魂游的设计，那么它注定就不适合多数人游玩。  真实游玩体验与开篇噱头和期待值拉满的演出大相径庭，关卡设计与剧情几乎没有关联，交互体验趋近于零。是一个单纯的boss战集合。大体型boss移速过快会导致脱锁，这是一个常见的问题。设计了一套完整的动作系统但是几乎不存在给你连招一整套的机会，更多的时间是在攻击间隙蹭刀积攒棍势；玩家没有远程手段去处理某些敌人。实际体验对于非魂类游戏玩家十分不友好，玩法的单一堆叠也无法与传统魂类游戏的体验相提并论。 格挡与弹反的机制相对薄弱，存在完美闪避判定，但是正反馈和奖励过低，部分boss连招在弱反馈的机制下过于离谱，难以打出硬直。大型boss的闪避判定不太合理。法术cd长并且不能补给，说明游戏不鼓励玩家使用技能，更专注于升级加点的近战，但是前期没有太多的技能可以购买，导致boss战时在复读平a接重击。地图是箱庭串联，但几乎没有过场衔接动画，地图服务于boss，也就是boss房生硬地串联而成。空气墙过多，即便是线性游戏，几乎没有引导以及岔路过多，地图大而空没有明显的参照物，显得设计得过于粗糙。题外话，豪华版套装无法升级，出了新手村数值就已经跟不上了，与其他游戏的豪华版装备相比诚意不足，并且在游戏内有点意义不明。——作为中国第一个3A单机游戏，不足之处还是挺明显的，当然这也与开发者游科的经验不足相关，制作与宣发的成本和努力我们有目共睹，也不辜负首款3A的名号。但是游戏是否完美，评论权在广大玩家手里。    道阻且长，行则将至                行而不辍，未来可期                踏平坎坷成大道              斗罢艰险又出发</t>
  </si>
  <si>
    <t>演出角色怪物设计；动作打击手感；Boss战斗节奏；判定反馈；地图路线；空气墙可达性；引导迷路单线；整体完成度；推荐价值判断；本国媒介路径；国产3A身份期待</t>
  </si>
  <si>
    <t>CN-P-077</t>
  </si>
  <si>
    <t>伟大，无需多言。希望能成为国产游戏里程碑</t>
  </si>
  <si>
    <t>CN-M-078</t>
  </si>
  <si>
    <t>总的来说这游戏是真上头，就觉得指令输入延迟有点大。</t>
  </si>
  <si>
    <t>优化帧率</t>
  </si>
  <si>
    <t>CN-N-079</t>
  </si>
  <si>
    <t>太他妈牛逼了！不想睡觉！想一口气通关</t>
  </si>
  <si>
    <t>CN-P-080</t>
  </si>
  <si>
    <t>踏上取经路，比抵达灵山更重要。怀揣单机梦想，再绎西游神话！</t>
  </si>
  <si>
    <t>CN-P-081</t>
  </si>
  <si>
    <t xml:space="preserve"> 75.9 小时</t>
  </si>
  <si>
    <t>2025-08-10</t>
  </si>
  <si>
    <t>奶GN：8/10 +画质上乘（3060卡），但是很多精美的地方无法放大仔细揣摩细节+打完第一章，过场动画和故事相辅相成作画优良，打完后反而有种圣人模式的感觉+卓越且符合中国审美的游戏百科，以山海经画风勾勒，加以小诗简介，最终伴随一则小故事来简述来龙去脉，给玩家带了无与伦比的沉浸体验+优秀的配音，配乐±以动作游戏而言，难度略高，以魂系游戏而已难度略低，但是对于手残的玩家来说还是略有挑战难度±丰富的怪物设置，每个boss和小怪拥有多样的技能与模型，无疑给西游之行带来很多沉浸感，但是对手残玩家而已无疑容易带来挫败感，需要多次尝试来通关，甚至需要做好无法通关准备-空气墙的处理让人失望，空气墙的处理方式应该是制作组并没有太多经验，一下子会让人出戏，像部分地区完全可以做到让猴哥摔下去然后再用尾巴把自己拉起来，而不是急刹-全屛无大UI的方式让人感觉到沉浸感十足，但是没有地图只能靠不断地碰撞空气墙来找路，如果能添加一个自定义地图UI显然是不错的，目前游科已经添加沉浸感拉满的地图，故此隐藏-个别小怪机制存在问题，典型远程怪，隔着十万八千里开始射杀玩家，架势如果不点技能完全只能站在挡箭雨，而前期技能点稀缺完全不应该放在这里，导致玩家不得不硬冲过去强杀-游戏指引堪忧，在缺乏地图和指引的情况下，玩家容易成为无头苍蝇乱窜错失许多支线以及boss-较差的奖励机制，玩家在游戏中并不能发现许多装备（逃课用）加之地图缺失无疑降低探索热情，进一步无法体验更多隐藏的剧情，而在战斗中，闪避机制奖励反馈略低，攻击连造无法快速闪避（第二段攻击会有僵直）简而言之，如果以3A游戏的标准来衡量，《黑神话》仅为中间水准，许多地方可以优化以及后续改进，价格完全对得起268元，不以道德绑架为基础，个人是推荐购买，如果你是不以魂系游戏为长项，请需谨慎购买。私货环节，就上文而已，黑神话以新晋公司第一款且国内唯一一款3A，能做到bug较少，画风优质，配乐满分，战斗精彩，设定沉浸，怪物众多实属不易，游戏科学冯骥、杨奇等先生以殉道者之势撬开国产3A能成大门，无疑告诉后来者此路能通，让更多资金与人才投入其中。在游玩过程中，个别剧情并没有看到画面而是仅听语音都可以感受到浓郁的氛围，尽管如此，3A制作周期长，资金压力大（尽管有腾子和游科手游等支撑依旧不得不砍掉项目），可见未来五至十年，国产3A可能仅黑神话一只独苗。因此牛奶个人感情评分最终为10分。</t>
  </si>
  <si>
    <t>画面美术场景；音乐音效配音；演出角色怪物设计；动作打击手感；Boss战斗节奏；难度挑战；判定反馈；地图路线；空气墙可达性；探索隐藏支线；引导迷路单线；优化帧率；Bug兼容硬件；整体完成度；推荐价值判断；西游悟空符号；本国媒介路径；外部资料依赖；国产3A身份期待</t>
  </si>
  <si>
    <t>CN-P-082</t>
  </si>
  <si>
    <t>可能不是动作游戏的里程碑，但绝对是中国游戏的里程碑，人生中玩过最好玩的“类魂”游戏。作为第一款国产3A游戏，他完美的不能再完美，影视级别的配音，充满文化魅力的UI，十分还原的故事，引人入胜的动作表现，电影级别的画面，优秀的剧情，黑神话悟空简直是我玩过最震惊我的游戏，当然了，这份震惊当中有一部分BUFF叫“同文化带来的浪漫” 以及魅力。每个中国人都知道齐天大圣，它是属于我们中国人的“超级英雄”，但是用超英来形容大圣简直就是诋毁，大圣是神，不是普通的超级英雄。我从来没有在任何一款游戏里见过把一个国家的文化展现的如此的淋漓尽致，浪漫切富有魅力，黑神话悟空绝对算的上我心目中的2024年度最佳，只有玩过其他同类封神的游戏，战神 艾尔登法环才能理解，黑神话悟空这个游戏的底层逻辑和底层元素非常清晰明了，所有的底层攻击和游戏设定都是一环扣一环，天赋可以无限重置，意味着每一个boss都有不一样的打法，这是我在其他游戏从未见到过的。  在其他同样优秀的游戏对比看来，例如战神4 艾尔登法环 只狼，我能给黑神话悟空85—90分，而上述我说的这些具有里程碑式和引领同类游戏的优秀游戏，在95—100分。  黑神话悟空已经封神，哪怕作为玩家在游戏层面，并非一味的吹捧，站在游戏公司的角度考虑，黑神话悟空已经完完全全的封神了，而且是大获全胜。  首先，为什么我上述提到了战神4 艾尔登法环 只狼，因为我多多少少在黑神话悟空里是看到了这些游戏的影子的，最起码主创和游戏公司是有意想吸取这些游戏的优点的，黑神话悟空大体像战神4，战神4是完完全全的线性剧情半开放世界，黑神话悟空并没有像艾尔登法环一样有如此庞大的地图，其次黑神话悟空的打斗跟招数我看到了有战神的的影子，毕竟当年的战神的打斗已经足够封神，所以说在玩家的视角里，黑神话悟空就应该像战神一样，足够爽，足够痛快，毕竟大家都知道题材是西游记，大家都想扮演齐天大圣，但是到了8.20号早上10点大家才意识到，我们玩的根本就不是齐天大圣，我们玩的只是一个平平无奇稍微有点修为的普通猴子，就像当年齐天大圣大闹天宫一样，十万天兵天将全是精英中的精英，但是只有精英中的精英才配见到齐天大圣，玩到现在我就感觉我只是一个稍微修炼了十几年的一个小土神仙一样，我原本以为会像战神一样痛快的杀，但是并没有，黑神话悟空融入了法环的风格，他的打boss底层逻辑就是像法环一样砍一刀翻滚闪避一下，所以这点跟玩家对黑神话悟空的印象是冲突的。这就是为什么我觉得有点失望的原因，如果黑神话悟空出一个难度选项，他可能不会跟战神一样多牛逼，但是他绝对可以跟杀的跟战神一样爽快。  黑神话悟空从来都不是魂类游戏，他甚至不是类魂游戏，他只有类魂的元素在里面，打怪升级养成，自己去探索招式之间的配合，自己去研究打法，正是黑神话悟空的魅力，同时还能感受西游世界的魅力，在国人玩家眼里，他绝对是超越艾尔登法环 战神4的封神游戏，因为他所讲述的故事是我们自己的故事，我们能够去感同身受的故事，不要开风灵月影，慢慢去体验，感受。两天二十四小时游戏时长，20号玩了15个小时，21号10个小时，他已经足够有魅力了，起码对于我来说。现在是2024年8月23号晚上9:56，历时四天39小时完美通关黑神话悟空，所有隐藏关卡隐藏boss全部都打了，也是顺利的达成了好结局，也是我比较满意的一个结局，我个人玩到现在，对结局有一些个人的看法和猜测，毕竟现在网上众说纷纭，有许多没玩过游戏的，甚至连电脑都没有的都在造谣，搞一堆黑神话悟空烟雾弹，以下是我个人通关后对黑神话悟空的理解和后续预测，会有剧透，谨慎观看。=====================================================================================首先剧情方面，网上众说纷纭，但是我可以告诉你，结局就只有两个，没有所谓的联妖破佛，大闹天宫，大圣复活，剧情方面从一开始序章所有人都认为大圣只是败了，后面才知道是死了，此时大部分玩家会本能的认为是二郎神杀的大圣，好结局跟坏结局唯一的不同就是戴上紧箍咒，和去找二郎神决战然后二郎神会告诉你真相，首先原著里二郎神跟悟空的关系还是很好的，实际上，二郎神是跟孙悟空演的一出戏，黑神话悟空的故事是在师徒四人取经过后，悟空被封为斗战胜佛，但是想回花果山还乡，但是却被整个天庭忌惮，甚至派出天兵天将围杀花果山，悟空无奈二次大闹天宫，跟二郎神商量好演一出戏骗过天庭，如果后面你打赢二郎神了，二郎神会说，没人能杀死齐天大圣，就连我也不行，能杀他的只有他自己，我个人主观理解，首先孙悟空是有配音的，但全游戏流程走完悟空的配音几乎不到20句话，而天命人全程没有配音，天命人就是孙悟空转世又成为的一只猕猴，但是丢失了所有的记忆，天命人天命人，不仅被上天选中，也被齐天大圣本人选中，其次第一章的土地公在详情介绍里有讲，教给土地公定身数等小魔法的是一位道士，通过详情得知，那位道士就是菩提老祖，特地教给土地公让土地公传授给天命人，也就是说跟二郎神演这一出戏就是孙悟空为了摆脱天庭的掌控，轮回就是为了脱下紧箍咒，要不然永世沦为天庭的奴隶，而坏结局就在于天命人没有去找二郎神，不知道是跟二郎神演的一出戏，打败齐天大圣怨气化为的躯壳后又被老猴子戴上了紧箍咒，又一次轮回，并且这次就连大圣转生成为的天命人也被再一次戴上了紧箍咒，也就是一结局大圣是失败了的，但是如果你打了二结局，天命人不会戴上紧箍咒，虽然再一次轮回，但是这一次，天命人不再是孙悟空，而是齐天大圣，戴上紧箍咒永远是孙悟空，而脱下紧箍咒才能成为齐天大圣。好的，剧情聊完，我个人往后的推测是，天命人就是大圣的转世，因为二级局打败二郎神后，二郎神把所有大圣的记忆全部还给了天命人，天命人本身就是大圣的转世，不存在夺舍之说，所以我推测往后的剧情，天命人会逐渐找回曾经齐天大圣的自己，大圣，会找回他自己。二结局非常震撼，绝对值得上天命人这次的旅程，我非常期待游科的DLC或者是悟空的续作，我知道一部分玩家对结局相当失望，大圣没有复活，没有大闹天庭，但是实际上现在的二结局是非常非常合适了已经，如果连妖破佛，天庭那么多神人，那接下来该如何收场？续作将如何讲述，黑神话悟空没有留下悬念，反而是给了玩家一剂定心丸，结尾的老猴子说了，大圣绝无复活的可能，代表了大圣的肉身，从话中也稍微有点隐喻，其实天命人就是大圣的转世，大师兄就藏在天命人的身体里，所谓的继承，不过是大圣为了重新做自己而去寻找上一世的肉身，并且游戏闪回时二郎神还说，你现在做这一出戏，天命人未必能有你现在的修行。</t>
  </si>
  <si>
    <t>画面美术场景；音乐音效配音；动作打击手感；Boss战斗节奏；难度挑战；锁定视角；地图路线；探索隐藏支线；引导迷路单线；推荐价值判断；西游悟空符号；本国媒介路径；中国文化宗教语言审美；原典知识人物关系专名；角色期待意义偏移；国产3A身份期待</t>
  </si>
  <si>
    <t>CN-M-083</t>
  </si>
  <si>
    <t>黑猴YYDS——来自小黑盒用户随风飘扬123的评价</t>
  </si>
  <si>
    <t>CN-P-084</t>
  </si>
  <si>
    <t>美术顶音乐顶战斗顶地图设计不顶浮屠塔太恶心人了但是瑕不掩瑜，佳作！！！章节后的小动画和帛画真的太有意境了！！！绝对的好游戏，希望国产游戏越来越好</t>
  </si>
  <si>
    <t>画面美术场景；音乐音效配音；演出角色怪物设计；Boss战斗节奏；地图路线；推荐价值判断；本国媒介路径；国产3A身份期待</t>
  </si>
  <si>
    <t>CN-P-085</t>
  </si>
  <si>
    <t>啥也不说了，牛逼就完事，就喜欢看黑子跳脚</t>
  </si>
  <si>
    <t>CN-P-086</t>
  </si>
  <si>
    <t>真的特别好玩，就是艺术——来自小黑盒用户玩家25007924的评价</t>
  </si>
  <si>
    <t>CN-P-087</t>
  </si>
  <si>
    <t>今日欢呼孙大圣，只源妖雾又重来。村里第一个大学生，好好培养！美术表现、文化沉淀、动作设计、就连小怪故事都诚意满满，在我心里就是当之无愧的十分，当然问题也有，比如空气墙不明显，没地图一直迷路，没引导错过一堆隐藏，部分场景光影渲染有问题。但是，瑕不掩瑜，上乘佳作，情怀加持下直接化身满分神作，这就是文化认同的力量吧</t>
  </si>
  <si>
    <t>画面美术场景；动作打击手感；地图路线；空气墙可达性；探索隐藏支线；引导迷路单线；整体完成度；推荐价值判断；西游悟空符号；童年记忆情怀</t>
  </si>
  <si>
    <t>CN-M-088</t>
  </si>
  <si>
    <t>空气墙是较多，小地图啥的，个人反而无所谓，剩下的，全是优点吧</t>
  </si>
  <si>
    <t>地图路线；空气墙可达性</t>
  </si>
  <si>
    <t>CN-P-089</t>
  </si>
  <si>
    <t>游科做到这个地步真的厉害，美术顶级，演出效果非常好。</t>
  </si>
  <si>
    <t>画面美术场景；演出角色怪物设计</t>
  </si>
  <si>
    <t>CN-P-090</t>
  </si>
  <si>
    <t>什么？劈棍？什么劈棍？这游戏不是只有立棍吗？🐒丨丨丨   呔！ 🐯妖食我一棍！！！唉 🤓👆  我还有定身 😏        定！！！🤪  再接两棍丨丨！！！唉 🤓👆  我还有大头！！  大头重击😡😡😡！唉 🤓👆  我还有广智！！  将大局逆转吧😤😤！被虎哥打了一拳😨     不慌，我还有酒😠😠！！虎哥拔刀了😰😰😰   我躲😜 我躲🤪 棍气满了😦 ！ 立棍！！！！🥵🐒丨丨丨    呔！ 💨🐯   被躲了😨？🐯🤜🤜🤜🐒🐯：🐵留着下酒。。</t>
  </si>
  <si>
    <t>CN-P-091</t>
  </si>
  <si>
    <t>打了一晚上很上头，跟朋友挂着语音，一边打一边聊游戏，虽然两个人进度不同，但相同都是对国产游戏未来的美好愿景。</t>
  </si>
  <si>
    <t>音乐音效配音；国产3A身份期待</t>
  </si>
  <si>
    <t>CN-P-092</t>
  </si>
  <si>
    <t>2024-08-22</t>
  </si>
  <si>
    <t>若干年后游戏科学经过不断发展终于成为了世界顶尖ARPG开发商，当颁奖主持人呼唤杨奇上台领奖的时候，杨奇流下了激动的泪水向前走去，结果发现面前的台阶有一堵空气墙，于是打算绕一圈从幕后进，结果因为台上的灯导致过大的场景明暗对比度把杨奇闪晕了，最后兜兜转转终于走到后台，结果发现门不能从这一侧打开（——来自小黑盒用户她的女友的评价</t>
  </si>
  <si>
    <t>画面美术场景；空气墙可达性</t>
  </si>
  <si>
    <t>CN-P-093</t>
  </si>
  <si>
    <t>目前通关了，说真的除了第一回还可以，到了第二回的后半段就开始犯病，各种恶心设计交相辉映啊。先说这游戏优点吧，首先美术和画面很顶，其次塑造的文化氛围感很浓，游戏本身体量很大，一些boss设计的还可以，演出还可以，剩下开始吐槽缺点：1.堆怪：很多地方都是几个地面配一俩个甚至更多的远程敌人，这些远程敌人很多都是上不去的地形，这种情况下本身也没远程打击手段，只能跑路，如果附近有东西还不能停下来捡东西，仇恨导致拉火车，而且有时候会在一些狭小的地形安排这套配置，且后边一些小怪的血量和机动性提升的很明显，这种情况下只能隐身，什么？你说在之前舔图过程中已经和敌人消耗的蓝量见底了？那对不起，你只能开始“享受”制作组精心给你设计的惊喜啦。2.地图设计：本身就没有地图，还是弱引导（仅能从npc那获得只言片语），加上制作组没有设计此类游戏的经验，导致地图结构设计的也很糟糕，景色没有很明显区分，还有离谱的空气墙等等，从而导致各种迷路问题。3.土地庙放置问题：本来想放到上边地图编辑那一条，但这个问题很恶心所以单拎出来说，很多图两个庙之间距离很远（如果只是偶尔存在那么极个别的情况我也就不吐槽了，但事实相反存在很多这种情况），加上上面提到的两个问题他们混合在一起产生的这一坨东西真是给玩家的赛博“福报”，还有为什么要在快探索到下一座新庙的地方跟前放几个敌人，而且越到后边越严重，这游戏本来就存在着地图烂+堆怪的问题，有些想探索舔图且技术一般的玩家到达一个新的土地庙之前可能就没啥资源了，想赶紧恢复资源保存进度，这下到好成了葬身地了（上边提到了后边一些小怪血量和机动性都提升不少，没资源硬刚不了一点），而且在庙前挂了负反馈拉满，从上个庙复活以后又开始365里路长途奔袭……真的建议看一下其他做得好的竞品是咋设计的，建议学习一下。4.战斗体验：系统方面有一点像卧龙，战斗交互方面本作之前宣传的是非魂类游戏，但游戏有些怪打起来还是回合制（ps：这游戏为啥搞低精力槽+低法力槽绑定，你可以限定但是限定太多了，这也是导致有些怪很粪的原因之一。魂系这么设计是为了迎合系统，魂系动作相对来说简单，大部分战斗节奏偏慢，它主要玩的就是资源分配，我选择躲避、攻击、格挡要大概考虑一下剩下的血量、精力或者法力条消耗，这些是促成魂系列使用回合制打法合理的原因）。这游戏靠大多数时候要靠aaaa段子攒豆子，当定身用过进入cd时，而且已经消耗掉通过第一次aaaa积攒的豆子的情况下，就要进入boss回合了（有些boss定不了而且进p2会消减精力条上限，不带法宝难上天，说的就是你百眼！），到boss回合后，没豆子情况下你只能通过aaaa、喝药攒豆子或者找时机劈棍（立棍）蓄力，但一些疯狗boss连绵不绝的攻击让你蓄力机会很稀少，更多情况是普通轻攻击，但问题是普通轻攻击除了最后跳劈那一下有些boss会踉跄一下，剩下的打在他们身上真的不痛不痒，你本质上还是要靠消耗豆子的棍技去打血量或者踉跄以及积累倒地值，轻攻击第四段动作完成前取消不了反击，还有在你耍棍的途中大概率打不到最后一下跳劈，甚至可能因为有时候取消不了翻滚挨打，轻攻击前几段好像也无法积攒倒地值，而且单靠系统的话，攒豆和反制boss手段很单一，导致在你的视角里你和boss回合制，但在boss视角里一直是我的回合，还有就是打断boss出招的手段很多都得用攒的豆（蓄力也是攒豆子一种），所以很多玩家基本选择就是开局定身攒豆子或者进战斗前蓄力来一棍，定型文一样，当然也有别的套路比如禁字流之类的，但真正能用的流派与同行相比真不算多吧。其次这游戏反击也是有点问题，反击收益会不会太小了，头两次成功反击以后怪会踉跄但这时来不及补上后续伤害他就恢复了，这踉跄时间难道不可以长一点吗，让玩家稍微喝口药或者恢复一下精力，哪怕能普通aaaa连段打一套让自己资源变得有优势也行啊，现在来看除了做出来踉跄这个动画告诉你怪被你打踉跄了还有啥意义？这游戏反击多次命中积累倒地槽才能进入倒地硬直，虽然卧龙很多方面也是一坨，但它那个化解成功的爽度和收益绝对比黑猴强。黑猴动作模组数量一般，所以花活玩法偏少，游戏越到后面玩家方的手段越发固定越单调，加上上述所提到所有缺点杂糅在一起会让一些玩家产生疲劳的感觉，最后战斗系统总结就是门槛低，但深度一般；说到战斗体验了就顺便提一嘴boss战，游戏内boss数量很多，但大部分你打你的我打我的突出一个各打各的没有交互，一些boss真的堪比黄金树的粪怪，很多boss投技0帧起手无视距离，无前摇动作或者说很隐蔽，即使你集中注意力很多时候也躲不了。让boss战体验感进一步下降的问题是在第三回后开始存在大量boss频繁读指令（例如读到你蓄力完成打出劈棍一刻直接后跳）以及hitbox判定框反直觉（觉得能经常打到，由于受击框窄而打不到）。玩下来感觉制作组对boss战视觉效果比较注重，而玩家与boss战斗过程中的游戏体验却很少顾及。还是游戏中后期开始大量boss存在全屏或大范围的地板技能或者飞行道具，说白了就是机制检测，拥有这种机制的boss数量比远比同类游戏多，机制检测持续时间也比同类游戏久，而且游戏的视角锁定本来就有问题，这让玩家在过机制时候失误率大大提升，如果躲避失误一次，轻则半条命，重则从头再来（主要原因除了伤害高，还有挨打后硬直很久，很容易吃到boss的后续技能，同样的问题在远程小怪身上也存在，飞行道具打到你会硬直很久，如果他有同伴，那么接下来他同伴的飞行道具接踵而来，这时候只能罚站硬吃），一次失误可能就下一回了。然后说一下劈棍，中期开始的运动战中劈棍你不用隐身蓄力很容易空，越到后边越发现立棍和戳棍适用场景的数量遥遥领先劈棍，这样导致战斗手段又变得单调了一些。boss剩下的问题但不限于中后期人均霸体快慢刀，光污染场景和大招，锁定视角在乱飘（高机动性和大体积boss表现的尤为明显）；吐槽完上面两个战斗点最后说一下最为重量级的点，就是当属我们按键问题，按键是有延迟帧的。还有翻滚等操作没有预输入，进而让躲避时机变得随缘了起来，很多时候你不知道提前多少按，还有这按键判定是不是有问题？我接的ps5手柄，按幽魂技总是出不来原地罚站，最后就是手柄这法宝的按键布局战斗紧张的时候很容易误触，希望改一下。5.家园系统解锁时机：这一点很好改，先说问题吧，六六村这种类似传火祭祀场的功能性的场地是不是解锁的有点晚？并且有一部分玩家不舔图不看攻略可能都找不到，一些玩家得知有这样的地方时候已经第四、第五回了。然后是为啥说他解锁晚？很简单里面有一个铁匠，可以升级防具的品质，这个游戏用来给装备铸造、升级的高品质材料比较少，地图设计和某些隐藏的任务奖励不看攻略导致很难拿全材料，最主要的问题是中前期为了提升防御，或者看到了套装效果，并且一看这个防具品质很高就直接锻造了，这样就给人一种错觉，防具是随用随造，过了特定时间段就扔然后锻造下一件，但是像刚才提到的那样，这游戏是有给低阶防具升阶的系统，但是给的时间太晚，结果就是中期前很多玩家用一些稀有素材造了几件临时的过度装备来应付当下关卡的战斗场景，随着游玩的深入觉得自己输出、防御越发疲软，开始翻找攻略，就产生了组bulid的这个概念，这时遇到bulid中所需的防具材料不够，材料都消耗在锻造临时过度的装备了，试错成本有点高。给制作组一个建议，如果你们不想改变解锁家园系统的时机，可以给铁匠加一个分解防具的功能，钱不用返还，材料多少返还一些吧，这样让玩家起试错成本少一些，方便他们找到更适合自己的build。6.剧情体验：在不剧透情况下说一下，剧情非常迷的（稍微云了一下后面的剧情），发售前采访中说是遵循原著设定，真的是吗？尤其是这第四第五章，如果发售前没有一直强调原著的事，你改编成啥样即使我不喜欢也尊重你，但现在这处境只能说自找的，现在还有很多黑猴粉丝说真结局反转之类的，如果真像这一部分粉丝所说非得达成很多条件或者很苛刻的条件才能开启隐藏真结局，那有多少玩家会达成这些条件？你做出来前面这剧情不就恶心正常普通结局的玩家吗？这不纯纯设计问题？隐藏结局肯定可以有，但他的作用是拔高作品立意的，是站得住脚的，是用来锦上添花的，起码我是这么认为。以上是我作为玩家非常主观的评价，人和人的体验肯定是不一样的，人人都有发表自己看法的权利，可能有些人不认同我的观点，不同观点这很正常，我尊重你的观点，但不应该通过各种手段网暴从而堵嘴。最后我再说一点主观的看法，消费者花了真金白银买了游戏没有退款这难道不是对支持厂商吗？提出问题是为了让他变得更好，如果我真想让厂商死我就惯着他，时间久了自然病入膏肓，死的更透彻，所以为了他好建议就别当厂商孝子（那些拿钱办事的人除外），那真的小丑好吧，而且再伟大的作品他也有不喜欢的人不是吗？写的有些乱，都是想到哪写到哪，如果制作组以后通过更新解决掉这些问题会改好评。</t>
  </si>
  <si>
    <t>画面美术场景；演出角色怪物设计；动作打击手感；Boss战斗节奏；难度挑战；锁定视角；判定反馈；地图路线；空气墙可达性；探索隐藏支线；引导迷路单线；优化帧率；Bug兼容硬件；整体完成度；推荐价值判断；本国媒介路径；中国文化宗教语言审美；外部资料依赖；角色期待意义偏移</t>
  </si>
  <si>
    <t>CN-P-094</t>
  </si>
  <si>
    <t>以为会凭着国产吃情怀，但实际玩下来只能说amazing great game 可玩性实在太高了 机制十分新颖 无论是跑图还是BOSS的场景都是史诗级的 每一丝一线都能够看出制作的良心用苦 简直细节狂魔好吧 ！并且正因为没有地图的缘故 使得游戏可以隐藏巨多东西 也都影响着诸多史诗级剧情的分支发展 非常好玩 非常有趣 都来玩！ 玩！  玩！   玩！</t>
  </si>
  <si>
    <t>画面美术场景；Boss战斗节奏；地图路线；探索隐藏支线；推荐价值判断；童年记忆情怀；角色期待意义偏移；国产3A身份期待</t>
  </si>
  <si>
    <t>CN-P-095</t>
  </si>
  <si>
    <t>奔着中国人自己的第一款3a拿下的预购豪华版，没想到四年磨一剑磨了这么个玩意。先说优点，美术 音乐 文案全是一等一水平，每一条单拿出来都可以获奖的那种，大到妖王小到小怪，每只怪物都有自己的神话风立绘 故事介绍和高质量配音，就连背包里的采集物 装备材料 饰品都有介绍，并且保质保量，文案编辑的文学造诣一定相当高。美术方面独树一帜，西游之后的破败景象，重走西游路，重看西游人，颇有韵味。其次就是战斗动作设计，很难想象一款以猴类角色为主角的游戏能把动作做得这么帅，又帅又干练，各种招式和技能虽然不花哨，但创意无限，三种棍法各有其可圈可点之处，值得称赞最后就是原著还原了，第一章一上手就感觉西游回来了，那股神怪又庄严的感觉，文案美术和音乐全部紧扣原著，就连各种神通都有还原，不过听说游戏后面改编也不少，所以这方面见仁见智了现在来谈谈这款游戏的缺点，首先就是游戏内没有内置活点地图，我想知道我现在在哪里，不行，只能去存档点查看自己当前的大致方位，并且这个方位非常大致，你旁边有什么建筑物有什么东西还是不知道，并且基本没有引导，我下一步该去做什么不知道，这种迷茫感与没有地图一结合，就诞生出了一款玩家走着走着迷路好不容易找到路发现自己缺少钥匙打不开门只能回去继续迷路的游戏，就是退一步来讲，没有地图和引导是为了鼓励玩家自由探索，那么好，你这个傻逼空气墙是要干什么，看着能过去的地方我给你拦着，看着明显就过不去的地方放几个隐藏关卡，很幽默是吗，一面要开放探索，一面又要线性通关，知道的是在做3A，不知道的还以为哪家根本不懂游戏的公司做出来卖情怀圈钱的然后就是这游戏的战斗系统，作为一款动作游戏，你不集中一个点做好做出特色而是老想着缝那几个大牌动作游戏干什么？想研究搓招你就学鬼泣搞得花一点，想上难度你就学黑魂只狼，几个游戏缝来缝去缝出一个四不像，打怪爽感也不够压迫也不够，攻击大前摇大后摇，唯一值得称道的就是你那BOSS战氛围还算好最后要谈谈这游戏的玩家群体，游戏有问题不让说？天天像个傻逼一样维护你的厂商跌，抛开国产滤镜这黑神话最多拿75分，还有一群傻逼在那狗叫，什么第一次做没经验，什么你不喜欢可以不玩。你没做过游戏还没玩过游戏？我国作为游戏copy大国平时猛猛抄到了为国争光的时候又要自己乱搞创新？最后，我付了钱并请了一天假来玩，我有权利提出意见，这个质量完全可以继续优化打磨，把引导系统做的更好，把地图加进来，别成为中国人自己的赛博朋克2077修改至2024年8月22日12：43  留言每条都认真查看并思考过，有正常人也有猴孝子，有理智者也有无脑骂，恶意留言不会改变这游戏是三流作品的事实，只会使你那可悲的极端民族主义和开除国籍的行为持续膨胀，直至压过你的大脑和理性</t>
  </si>
  <si>
    <t>画面美术场景；音乐音效配音；动作打击手感；Boss战斗节奏；难度挑战；地图路线；空气墙可达性；探索隐藏支线；引导迷路单线；优化帧率；整体完成度；推荐价值判断；西游悟空符号；童年记忆情怀；中国文化宗教语言审美；角色期待意义偏移；国产3A身份期待</t>
  </si>
  <si>
    <t>CN-P-096</t>
  </si>
  <si>
    <t>1.黑神话的现象级大热是中国游戏史上最重要的里程碑之一，它代表中国已经具备比肩国际一线水准的，供游戏制作的资源。社会主义初级阶段的中国是社资混淆的中国，在自由市场的环境中，黑神话的现象级爆火大热无疑已经给自营资本清晰测出了单机游戏的市场潜力。所以黑神话是一部非常重要的作品，它的成功预示着中国单机游戏产业正式踏入国际竞争行列，同时它的成功又不完全来源于游戏科学一家制作公司的努力，而更多来自10余年来中国游戏制作环境的进步与社会环境（对游戏看法）的改变。2.“天地不仁以万物为刍狗”的意思是，自然界没有好恶倾向，因此对人对狗对万物都一视同仁，人与狗平等，万物不分高低尊卑贵贱，而非游戏中蜘蛛精师兄所取的隐喻等级之意。这算是个经典谬误了，所以大概提一下。3.反传统、反主流的目的是批判旧的不合理的东西，不是因为成王败寇今天好运没轮到我所以鼓吹“我命由我不由天”。石猴大闹天宫是出于对天庭蔑视自己，自我价值被他人否定，潜能被浪费，不被人尊重的愤慨，这与黑神话中佛道相争，天界动荡于是三界四洲不得安生的封建史观是南辕北辙的两码事。历史是由多数人书写的，不是极少数的几个英雄/精英，推动时代改变的也是历史的趋势，而非英雄/精英史观下一神几人的四两拨千斤。人有欲，有贪嗔痴，欲望是驱使人行为的源动力，是人的自由意志，是“因为无聊，所以想要做点啥”的具体表现，所以欲望本是中性的，可为什么人又会有贪嗔痴呢？如果人性是恶的，人性中就没有善的部分了吗？人本来只是在特定方面才有所长的高级动物，是社会塑造了人，人性就是社会性，是社会关系的集合共同塑造了人性。无论是金池长老的贪、黄眉与金蝉子的赌注，又或是沟槽的玉帝嫦娥偷情这种宫廷史观的市侩野史；只摒弃后西游时代能让妖魔当道的社会黑暗现实，不批判造就如此后西游时代黑暗现实的社会结构、社会制度，反把一切过错全部简单归因到“人性”这个虚无缥缈的概念上，就是黑神话这部作品对严肃议题的敷衍与谬论了。人为什么革命？因为分赃不均；为什么朝不保夕？因为人性使然。解构解构，抓不住后现代稀释权威性还权利于大众的精髓，只学了个资本主义下消费重点元素进行扁平矮化娱乐化的臭皮囊。封建时代的农民起义大呼王侯将相宁有种乎，是对自身不平等待遇的愤慨，上个世纪政治领袖感慨王侯将相宁有种乎，是对封建制度吃人现实的反思与批判，而今天黑神话质疑天、反对天、与天斗的主旨，却又绕了个大弯重新回到封建时代屠龙因为自己不是龙的陈词老调上来。只有干翻天庭才能安生，拳头大的才配说话，三界四洲到处是家破人亡的零和博弈。起义因为自己不是当权者，革命因为自己不是既得利益者。革命的正义性被消解，现实的不合理被接纳，达官显赫里也有好人，穷苦贫民窟里钻出来的多是人心不古的贱民，一切问题回答到最后又重复落入老生常谈且低能的人性论，这样的糟粕就是从二十年前就已经盛产的文化遗毒了。戏说不是胡说，改编不是乱编。中美合拍说的这句话理是不糙的，可人是糙的，因为中美合拍将自己与孙悟空的形象绑定，垄断了形象，所以任何对孙悟空形象的“二次创作”，无论好坏其实都在把观众心中孙悟空形象与中美合拍解绑，这是砸人饭碗了，于是有了他 “~戏说~胡说~” 的名言。这个事例也同时说明，影响力本身是中性的，而具备影响力事物的好坏，也同时可能在其触及领域造成长久的好或坏的潜在影响。人糙理不糙，如果就事论事，中美合拍说的 “孙悟空到底谈了几个妖精女朋友” 这样的市侩庸俗描述确实是对《西游记》这样一部集合了元明两代百姓创作智慧结晶的庸俗矮化。当把“无关好坏，只有立场”这种折中主义+功利主义的论调拿来当成理论中心，故事中正义性的确立、好坏的区分也不再是必要的了，反正站在我这边的就是好的，挡我路的都是坏的，对具体事物的批判自然也名存实亡，剩下的就只有 “你到底站哪边” 如此的二极世界。标新立异真不是这么标的。民族的就是世界的，对外文化输出如果是输出的糟粕，那该改个名叫文化入侵、文化污染。黑神话的黑如果只是黑深残的黑，是厚黑学的黑，是对“存在即合理”，客观现实造就的具体情况的唯心主义反对+批判，说实话这样的黑神话也真不是我等了4年的中国式3A单机了。4.我自己个人是一直这么看：一部作品受限于创作时代、作者身平，必定会有相当的局限性。而作为未来的作者（对比作品创作年代），职责的其中之一就是突破过往的限制，在原有的基础上突破局限性给出新时代视角的答案。所以客观来说，一部作品在未来的改编，必定是受到所在未来的时代（环境）因素所制约的，但同时突破这两层制约与限制（原作品的时代局限，当下的时代局限）又正是改编作者的重要历史担当。革命的重点从来都有两个，一个是暴力的革命，一个是暴力革命后第二天的从新建设。可惜全世界的文艺作品从来大都只突出第一个问题而忽视第二个问题。黑神话开了个头，无论好坏与否这个头是及其重要且必要的，至于下一章如何，只有未来才能见真章了。</t>
  </si>
  <si>
    <t>画面美术场景；难度挑战；锁定视角；整体完成度；推荐价值判断；西游悟空符号；中国文化宗教语言审美；角色期待意义偏移；国产3A身份期待</t>
  </si>
  <si>
    <t>CN-P-097</t>
  </si>
  <si>
    <t>非常棒的画面和游戏剧情，流畅的操作感，值得购买！</t>
  </si>
  <si>
    <t>画面美术场景；动作打击手感；优化帧率；推荐价值判断</t>
  </si>
  <si>
    <t>CN-P-098</t>
  </si>
  <si>
    <t>一句话评测：大圣已死六根散，天命轮回西行人。眼耳口鼻心意念，妖魔能否成仙佛？
原以为我是大圣归来，实际上我是马喽菜鸡。
别人打我如赶小鸡，我打别人似推憨牛。
麻蛋，究竟谁是天命人呀！我看你们才是！
　欢迎关注网易UU鉴赏家培养计划
　关注UU加速器VX公众号，回复“steam”，获得专属玩家群邀请。　
里面的怪物形态各异，女妖精那更是个顶个的可爱。
这游戏的妖更像是妖，仙更像是仙，就是人都不是人了，全都成了尸骸了。
整体来说，作为一款国内3A大作来说，前两天媒体吹得太过了，优势劣势都很明显。
先说优势：很明显，钻入骨髓的西游故事游戏化的展现，视觉冲击，动作打斗，环境塑造与妖魔理念，甜不甜那都是家乡水，什么叫基因唤醒，《黑神话》算是在游戏界里的基因唤醒器。
它的理念、故事与音乐绝对值得你一玩，尤其是那种常年沉浸在国外游戏大作的玩家来说，你不差钱，又见多识广下，你更能体会到什么叫做基因唤醒，你一拿上手就知道，只有中国人能做出这样的游戏，外国人绝对不懂，这不是技术原因，这是文化根基。
再说劣势：关卡设计与地图展现，是他宝贝的一塌糊涂。
一共六张地图，你会发现所有的地图都展现出来了，人神共愤的大范围的同色彩沿用，无与伦比的超大范围的又遮蔽性质的物质出现，比如雪天，比如黄沙，比如地穴的黑暗。
虽然游戏作为关卡制，但地图极大，在缺失地标元素，没有全景大地图，甚至无法做地图自主标记的前提下，迷路加迷路加迷路的爆炸心态直接让22°的空调都无法降温了。
在我看来，黑神话也正是国内游戏的短板问题：
美术OK
剧情OK
角色OK
但场景设计不OK
关卡设计不OK
尤其是在大地图的情况下，如何对场景进行有效的识别，关卡的设计让人玩起来在紧张与轻松里互相交替，不至于过于劳累，绝对需要沉淀的技术工种，有些可以拿钱砸，有些真的是拿钱砸也砸不出来，就是需要项目与时间来培养。
这些人对游戏而言，是绝对的大宝贝，培养出来一个，都是中国游戏界的集体贡献。
把整体态势说完后，我们说细节的内容
战前的大圣，战后的马猴
战斗采取一个棍子打天下的方式，充分发挥只要长处够长，就能填补短处的方式。
我见到怪，那就是捅捅捅捅捅捅，左捅捅，右捅捅，上捅捅，下捅捅。
正好棍子分为了三个不同的姿态，每一次都是上下左右四面捅，三个姿态可以无缝切换，根据怪物的出招方式来进行瞬间地改变，从而打出对应的硬质。
这游戏的重击绝对是伤害的主要手段，合理利用绝对会让你顺利清怪。
除了棍子外，第二个攻击的手段就是法术，法术的方式包含了：
定、分身、隐身以及钢筋铁骨甚至更多。
法术的CD还是挺长的，一场BOSS战大概一个法术能用2次，最多装备3个法术，也就是说，我们有机会使用6次法术。
而第三个输出手段就是黑猴里最有趣的变身了，你可以收起其他精英怪物的武器，然后化身成为他们的样子，进行变身攻击。
变身后，战斗招式与血条与本体独立，也就是说，等于你操作了完全不同的一个角色，绝对是十分的亮点！
血染的西游，永远的大圣
很多的时候，大圣的含义代表了一种不屈服，对强敌的不屈服，对强权的不屈服，也是对自己的不屈服。
《黑神话》虽然里面带了一个黑字，故事里对神佛也确实有点黑的意思，但是整体的构造依旧保持着，绝对的不驯服，如果强权要让你屈服，要让你低头，我们一定会抬起头颅，用命抵抗。
整个故事的主旨同样也是再次，大圣虽然在开头就已经告诉我们死去了，天命人的目的是复活大圣，但是天命人在寻找回大圣的遗物的过程里，也让自己逐渐地靠近大圣，靠近理想中的那一个至高的存在。
而里面的BOSS怪物或者神仙都有自己的目的，这些目的有些太过腌臜，有些则隐晦不堪。
黑神话的时间线虽然是西游后的故事，但是其实在我看来理念并不只致敬西游，而是构建出来了自己的一套叙事逻辑，大家可以自己看。
但是对西游的致敬就很明显了，明显到了，甚至是直接文本的复刻，连标点符号都不会改变的那种。
如果你熟悉西游原作，绝对在游戏里能够看到太多的致敬了。
这个游戏里有众多的剧情分支与隐藏的角色，需要你在关键的时刻进行存档，而游戏内的存档并不多，如果你把自己的存档多样化的保存的话，可以使用UU云存档，给你的存档上个保险。
游戏虽然精彩，可别让游戏外的事情扫了兴！
无论是换电脑玩时存档误覆盖，还是各种问题导致存档损坏。相信这样惨痛的经历依然时常发生，但这次决不能。所以，使用「UU云存档」，来为你的存档上个保险吧！
使用起来简单方便，打开UU，一键开启就能用
全程自动保存，无需手动操作，不干扰你的游戏体验
不影响原平台正常存储档，UU与平台云存档同步运行
一键备份存档，一键锁定存档，重要的档要保存好
不用会员，好用免费
雕塑的佛像，至臻的瑰宝
黑神话里的雕像，真的是采用了众多的显示里的佛像古迹。
对众多的玩家而言，与其说享受制作组的在现实基础上构建的美术，我们历史上众多的精美遗产其实还没有电子化的展现。
对制作组而言，冥思苦想的美术基调，很有可能走歪，在现实的基础上，重新加工与润泽历史瑰宝绝对值得一试。
更何况西游的本质是是佛道儒三家的一个融合的作品，里面不论是出现佛家元素，道家元素还是儒家元素都完全的搭配至极呀。
我认为制作组在美术这一方面的发挥，真的是取长补短，弘扬历史，再现瑰宝与互相融合了。
说句玩笑话，单纯你就是欣赏里面的雕像与景色也能够让你回本了。
最后祝愿
通关了，我可以说，这个游戏的剧情没有讲完，游戏科学还有第二部，说不定是三部曲。
如果真是这样，很有可能黑神话会是一个延续十年左右的长期IP。
但从这几天的售卖信息来看，游戏科学应该是回本了。
我不求别的，只希望，这个游戏的出现，能让国内出现更多的优秀作品，更多才华横溢的制作组，更多让玩家们喜欢的游戏。
伴随着国内的经济快速发展与国际地位的提升，我相信接下来的几年会是中国各个方面巨大膨胀的时代。
黑神话看似是一不留神走到了风口，看似走上了政府支持的一个快车道。
任何的历史机遇都是可遇不可求的，黑神话遇到了这个机遇，也是我们国内的所有单机游戏爱好者的一个基于。
我们用着自己的金钱，向所有的国内制作组发出最高的呐喊，你们不需要怕好游戏做出来没人买。
国内的用户群体早已能够支撑的气一个3A游戏的内部循环了，而这一次的黑神话的成功，自然是个再明白不过的例子。
游戏不再是洪水猛兽，游戏是如今电子化的历史潮流里，根本无法避开的东西，扫码点餐、网上购物，早已成为了我们经济消费里的一环。
电子游戏，也一定会成为我们精神娱乐的一环。
最后祝，中国的单机游戏，再次一的崛起成功！
接下来的三四年是一个机遇，希望更多的制作组大步尝试！</t>
  </si>
  <si>
    <t>画面美术场景；音乐音效配音；动作打击手感；Boss战斗节奏；难度挑战；锁定视角；地图路线；探索隐藏支线；引导迷路单线；推荐价值判断；西游悟空符号；中国文化宗教语言审美；原典知识人物关系专名；国产3A身份期待</t>
  </si>
  <si>
    <t>CN-P-099</t>
  </si>
  <si>
    <t>2024-08-23</t>
  </si>
  <si>
    <t>叠个甲吧，差评并不是为了否定这款游戏，而是希望游科能够看到我的评价，能够正视自己游戏存在的一些问题。
开篇先谈谈我自己的成分，我（自认）作为一个普普通通臭打游戏的，我认为黑神话的品质只能算是“合格的3A”而不是“优秀的3A”
毫无疑问黑神话是一款非常有“潜力”的游戏，虽然它作为国内第一款3A要走的路还很长，但不可否认黑神话充满了潜力，在吸收了现有的错误和缺陷后，有了足够资源的游戏科学会在dlc（或下一作）将这种“潜力”转变为品质，所以加油吧（但这并不代表游科不需要为黑神话现有的问题买单，这也是我给出差评的主要原因。）
当然，这一切的前提是不要捂嘴不要捂嘴，有问题该提就提，感到不合理了就客观讨论，不要动不动就扣帽子/人身攻击/举报，哥们steam今天都被某些成分不明的人干成社区红信了，还好客服通情达理，看出是恶意举报帮我解了。
接下来进行游戏本身的讨论，大家都是来玩游戏的，所以在讨论游戏时不要带有“国内第一款3A大作”“四大名著之西游记衍生的游戏”等滤镜来美化这款游戏。实事求是，优秀的地方就夸，有问题的地方就改，只有直面问题，正视问题，才能够解决问题，得到提升。
首先，我认为这款游戏最大的问题是目标锁定：
1，锁定目标异常，你除了可以锁怪，还可以在身边有两只怪的情况下锁黄风岭地上的虫子，锁小西天的果树。
2，锁定视角异常，当怪物比你高的情况下很容易出现你的视角看向地面，或者是你只能看天上，完全看不到地面，这里点名各种会飞的小怪（视角看地），近战锁黑熊精（视角看地），亢金龙BOSS战全程（视角看天，亢金龙释放落泪时如果不和boss拉开距离，你甚至看不到雷的落点）。毒敌大王更是优秀设计，攻击前摇看的不是动作而是手和尾，但你们自己玩的时候贴身目标锁定能看见它的手吗？怎么，虽然没给其他玩家远程手段，但你们自己有远程手段不用近战是吧？ 百目魔君（锁中间打两边）这大哥脚下空气墙，能被打中的是左右两边的腿，但锁定又锁在boss正中央。天才，你们游科一百来人个顶个的聪明，就这玩意成品能放的出来？你们一百来人发售前游玩的是黑神话？真的不是黑棉花？
3，视角移动异常，当怪物移动速度过快或移动范围过大时，玩家的锁定视野会丢失（怪跑到屏幕外）然后镜头会慢慢拉过去（点名灵虚子，亢金龙，魔将·妙音）
————————————————————————————
其次是地图设计问题：
1，地图空气墙，这个问题已经被很多人提过了，只能说每个人都是从第一章开始撞着空气墙玩下去的。
2，地图假路口，众所周知这类游戏是很需要玩家进行“探索”行为的，但每张地图都有很多很多（不是一个两个，是每张地图五六个的程度）看起来很像能走的假路口/假山洞/假山崖，这就导致玩家更加频繁的遇到空气墙，偏偏制作组又真的在各种地图塞了小路口（比如打完妙音出门左转的山崖可以跳下去拿道具），这就逼迫玩家必须用头去一遍又一遍的撞墙。
3，地图分支道路过多且辨识度不高，这是很多线性流程地图都有的通病，不予讨论。
-------------------------------------------------------------------------------------------
只是关于防具的设定（全段划掉，是个人游戏进度不足没有解锁防具升阶功能）
--------------------------------------------------------------------------
2024/8/23新增，在序章结束我的游戏就发生过闪退，重新启动后要再打一次序章。第二次发生闪退是在打死魔将·妙音的击杀CG时，闪退后就无法启动游戏了（启动就会闪退）在重启电脑并验证游戏完整性后可以正常进入游戏（虽然解锁了成就但需要重打BOSS）。第三次闪退是在刚战胜不能的时候，也就是现在...又出现了再次启动游戏会闪退的情况，希望尽快优化吧。
--------------------------------------------------------------------------
2024/10/04新增，关于BOSS设计与玩家战斗体验方面，评测者个人非常推荐各位去看B站UP主“Pen盆ぺん”制作的《【可以锐评吗】你那黑神话，从来没那么圆满——黑神话：悟空》这期视频（BV14BtYePEfC）基本把我能想到的或我想不到的相关问题都说的很清楚。
2024/8/24新增，本来我是不打算在通关前评价战斗部分和boss设计的，但这个不空给了我当头一棒（x）我就简单说一些吧。
识破，这样一个高风险高收益的操作，却因为各种抽象设计和离谱的boss的设计吞掉了收益，只剩下风险。
1，亢龙星君，本身不是一个很强的boss，但有一项独特的“天赋”，识破反击命中后亢龙星君会被击飞很远，导致识破衔接的二段下劈打空（我连续识破三次，二段下劈空了两次，第三次下劈才中，有视频为证，不服的可以来管我要）
2，以寅虎为首的大部分高韧性boss，在面对这些boss时玩家就要思考识破的风险和收益是否对等了，因为玩家哪怕是使用识破接住了对方的攻击，也会在反击时被下一击打中，更不要说后续派生的二段下劈了（总的来说就是识破反击前摇太长且造成的削韧不够将boss打入硬直）
3，根基天赋中的翻滚不会打断普攻天赋（别问为什么点，不点无法解锁后续天赋），这个天赋和识破组合起来形成了负面的化学反应，让玩家在与boss战斗时不但要考虑boss的出招，还要考虑自己普攻到了第几段，翻滚后是第几段，这个时候是否可以使用识破接住boss攻击。
4，小黄龙，因为小黄龙大部分攻击模组带有位移性质，可能会导致识破反击打空，直接断掉玩家节奏（当时这个反击打空直接把我心态打崩了）（好吧，不止是小黄龙，后面很多boss都会经常让玩家的攻击打空，我不清楚这是锁敌有问题还是游科故意设计的，总之打起来很怪，玩家既要背板躲技能，又要应付各种意外情况，不太好评价）
5，百目魔君，喜欢我boss脚下是一块空气墙的设定吗？boss面前能被攻击到的是两条腿，但无论是重击还是识破反击都很容易打到boss中间的空气，幽默设计。
定身术瞬机，这样一个极高风险，理应也有极高收益的操作（判定帧极短，用早了无法触发瞬机天赋，用晚了会吃伤害并且被吞技能）却因为一些boss无视定身/弱化定身效果的设计变得毫无收益，说的就是你，寅虎（被定身后吃一段伤害就会破开），不空（完全不吃定身）。我个人并不认可将瞬机定身和普通定身一概而论的设计理念，毕竟前者要求极为严苛，甚至可以说是极端严苛，后者只要是个健全的人类（哪怕是部分不健全的人类）都能释放。
2024/8/28更新，幽默瞬机的延长定身时间机制导致我连打两套轻击硬是没破开定身，这也导致没吃到破开定身的回蓝效果（x）所以我个人还是更支持瞬机触发就回蓝
这螳螂攻击时被我瞬机定身，打破定身后螳螂没有被打断攻击？？而是可以继续之前的攻击？？不是，哥们，那这瞬机定身的存在意义是什么？打破定身后的回蓝奖励是钓鱼用的是吧？现在我感觉游科只是一拍脑袋想出了定身瞬机这个设定，但根本没想着完善这个设定。
铜头铁臂，和普通定身术类似，只要是正常的玩家都能够找到合适的时机释放，有风险但不高，但我认为收益依旧不如风险（耗蓝也是风险的一部分）。这两天经常有Boss被铜头铁臂反震后没什么硬直直接跑掉的情况发生。
2024/8/25新增，看到留言区有人说是游科为了让玩家选择其他流派，所以把定身瞬机和劈棍识破设计成这个高风险低收益的样子。对此我的观点是：
1，劈棍识破是要消耗一层棍势的，而戳棍退寸并不需要消耗棍势（同时玩家要面临没弹到/反击打空断节奏/反击打中没硬直等各种负面情况）
2，我能理解boss免疫/耐受定身的情况，但我不能理解的是定身触发瞬机这种极高风险的操作却换不回任何收益的设定，既然定身瞬机的设计就是为了让玩家“见招拆招”，为什么优先级还是和普通定身相同呢？（怪猎盾斧gp都有额外防性，大部分游戏盾牌格挡和弹反区别都极大，为什么到了你游就要将无风险有收益和极高风险极高收益一概而论呢？）
3，我自始至终都不认可削弱式平衡，如果真如你所说游科是为了让玩家选择其他流派而选择性的削弱了劈棍识破和定身瞬机，那我认为这个差评是游科应得的。
--------------------------------------------------------------------------
2024/8/25新增，战胜小黄龙后在土地庙查看兵器锻造时游戏卡死。到达黄花观土地庙后电脑死机。（我是A卡，几年前配的电脑了，CPU5600x，GPU6700xt，32G内存）（希望大家在说“怎么我不闪退，就你闪退呢？找找你的原因”之前，想想“为什么我别的游戏不闪退？只有这个游戏闪退？”这种话，大部分人的电脑配置都是不同的，每个人都有自己的情况，你自己没有闪退就能代表所有人都不闪退？以后这种屁话见一个删一个）
--------------------------------------------------------------------------
2024/8/27新增，游科你可真是那个啊，动作游戏几十年的糟粕被你四年学完了是吧？火焰山土地公召唤那条鱼是人能设计出来的？难打吗？不难打，甚至我打到一半直接不碰左摇杆了，只需要翻滚和普攻就能打死。但你问我恶心吗？太恶心了，打一套轻攻击就拉远朝你吐口水，吐完回来在你面前晃悠一下甩尾两次又拉远，这不是恶心人吗？经典的boss不主动近战攻击玩家，玩家就只能看着boss表演。
火焰山打完土地后遇到的那个B火车，那么大模型给那么小个战斗场地？设计者是蜗居在上海两平米小单间做出来的是吧？让玩家都体会一下你的痛苦？还有这个B火车屁股喷火攻击也有大问题，单次喷火中能造成四次伤害（你以为是只打四段伤害？是我满血只能吃四段伤害）上一个这么抽象的设计还是环DLC野猪骑士的冲刺（因为攻击判定bug两段超高伤害，能秒人）和野猪骑士的后蹬腿（同因为攻击碰撞bug导致两段伤害，能打玩家五分之四血）但你一个静止的喷火动作怎么也能设计成这样？
--------------------------------------------------------------------------
2024/8/27新增，这次我终于弄清楚为什么有些boss打起来这么难受了。
先举个例子吧，游戏科学一位员工的办公桌上有个装满水的水杯，当这位员工想喝水时，他的第一步是把手伸向水杯（第一帧），然后跳过手摸水杯，把水杯握住，把水杯举起来，送到嘴边和几个动作，第二步直接开始喝水（第二帧）。
到这里可能有些的人不太懂我举的例子，我举几个例子（不是踩一捧一，只是方便各位理解）寅虎的投技，玩家在初见寅虎转身消失并且一言不发时能想到这是投技吗？躲开的概率又有多大呢？小黄龙的飞天，初见时谁能想到这招爆气后直接冲脸？然后飞起来用不同的节奏连冲三次？甚至收尾都有三种情况？（重要的是根本不给临时反应时间，上一帧摆poss，下一帧冲脸了）斩龙（怪猎，重复一遍只是方便理解）360°拔刀，同样是摆出一个姿势，初见时谁能知道攻击方式和攻击范围还有出招的时机？约定之王的光斩（法环DLC，二阶段陨石之后接的那个）在造成伤害前初见的人也完全无法想象会受到怎样的攻击，又该怎样躲避。
这种设计不是不可以存在，而是大部分情况下都拿来做“压箱底”的招式，毕竟玩家试错是需要“时间成本”的，还要记出招动作，记攻击节奏和攻击范围/模式，对玩家操作要求很严格。但黑神话boss的设计违背了这一点，频繁且大量的加入这种招式只会让玩家疲于应对的同时深感折磨。
后面这些个boss都有这个毛病，无论是红孩儿还是杨戬又或是王灵官，区别只是这种动作有多有少罢了。
1，红孩儿，一阶段和二阶段都有这种动作，但只有一点点（大部分动作哪怕是初见也能凭借反应速度闪避）
2，杨戬，连贯的攻击动作和这种1帧出刀各占一半（导致各种招式并不是只靠反应能力就能躲，要一次次熟悉招式寻找节奏躲避）
3，王灵官，这位更是重量级，在1帧出刀中少量加入一些普通招式（比如挥剑第二段）上一帧远在天边，下一帧直接踹我脸上。（几乎无法通过反应/肌肉记忆来躲避攻击，只能靠预判..也就是猜，或者是慢慢熟悉攻击节奏，等能够读取到对方“想喝水”这个想法时，才能成功躲开这些招式）
其实不止这几个boss有这种问题，从小西天开始这类boss一直在恶心玩家（游科您是不会做从挥刀第一帧到最后一帧的动作吗？非得上一帧抬手，下一帧已经砍完了吗？）
最后拿石子举例子吧，石子有一招跳起来砸地，正常的BOSS跳起来砸地动作应该是匀速的吧？但游科设计的BOSS不是，这石子跳起来会有一个短暂的“悬空”动作（停在空中），隔几帧后直接落在地上（至于隔几帧，完全看游科想让它隔几帧，完全无法在吃过这招之前猜到）
本条的存在意义是为了辩证为何有些boss打起来很舒服（爽），而有些boss打起来很难受（粪）而不是什么能不能打过。
--------------------------------------------------------------------------
最后的最后，目前国区黑神话的舆论有些过于恐怖了（二极管，非黑即白，而且大部分都是二极管且白）但凡有人说黑神话哪里哪里做的不好都会被扣上各种帽子，包括但不限于“你不会是云玩家吧”“外媒的狗”“你更适合玩米家游戏”，我的评价是有些过于极端了。我认为黑神话作为一款面向全球的游戏，最需要的并不是无脑的吹捧，而是有价值的建议和对错误的指正。希望大家能够不掺杂任何“政治因素”和“国单滤镜”的讨论这款游戏。如果我的评价有错误也欢迎指正。
2024/8/31新增，该账号因恶意举报导致社区红信，虽然联系客服后解除了红信，但评测者不想再冒着“你号没了”的风险进行相关讨论了。该评测就此停更，未来将不会再进行编辑或新增内容。（视情况是否关闭留言或筛选可见性）</t>
  </si>
  <si>
    <t>演出角色怪物设计；动作打击手感；Boss战斗节奏；难度挑战；锁定视角；判定反馈；地图路线；空气墙可达性；探索隐藏支线；引导迷路单线；优化帧率；崩溃闪退；Bug兼容硬件；整体完成度；推荐价值判断；西游悟空符号；童年记忆情怀；国产3A身份期待</t>
  </si>
  <si>
    <t>CN-P-100</t>
  </si>
  <si>
    <t>本人已经通关，所有boss都打了一遍，第一次在steam写评论，说说对黑神话的看法。作为国产第一个3A，黑神话悟空无疑是开天辟地的一个作品。地图美术、boss种类和设计在我这里都是将近满分的水平，虽然地图引导和关卡设计略显平庸，但在我眼里都是啥大问题，下面重点聊剧情。前三章的剧情很不错，至少没啥阴谋论的影子(反正我没看出来)。第四章就开始变味了，非要加那个b爱情戏，在游客主创眼里西游记必须得包含爱情戏是吧？第五章更是逆天，一整个大型家庭伦理剧，牛魔王被牛了？牛魔王居然还有个私生女？红孩儿是喝了子母河的水生下来的，子母河不是只能生女儿？这就是杨奇眼里的尊重原著，自己口口声声说改编不是乱编，就编成这个b样子？最后的孙悟空塑造的什么b样子，什么三爱白骨精，动画里抱着六耳猕猴伤心，真的给我看笑了，这几个都是孙悟空最讨厌的几个妖怪了吧。那可是齐天大圣，是中国几百年塑造的神话英雄，是聪明、机智、悟性高、有反抗精神的英雄人物。打败了他就能成为孙悟空？就能成为斗战胜佛？没有西行取经算什么斗战胜佛。阴谋论这种几十年前都烂大街的题材，你们制作组还视若珍宝，真的是low到家了。制作组采访时口口声声说自己尊重原著，说不能随意改变，既然改编成这个b样子能不能不要碰瓷原著？怎么有脸用86版西游记bgm的，又想标新立异，又要去蹭原著的流量，真是狗改不了吃屎。还好外文翻译的不是很好，要不然ign的8分给高了。以后外国人一想到孙悟空，就会说他三次杀了他的爱人，想想就令人恶心。当时听那些sb自媒体吹什么不看原著看不懂剧情，剧情立意很深，我特意去重温一遍西游记，现在看来自己纯纯小丑。一群恶臭文青意淫出来的剧情，居然有脸碰瓷原著和86版西游记，真是为了营销脸都不要了。最后引用六老师的一句话：改编不是乱编，戏说不是胡说。</t>
  </si>
  <si>
    <t>画面美术场景；音乐音效配音；演出角色怪物设计；Boss战斗节奏；地图路线；引导迷路单线；整体完成度；推荐价值判断；西游悟空符号；本国媒介路径；中国文化宗教语言审美；剧情叙事理解；原典知识人物关系专名；角色期待意义偏移；国产3A身份期待</t>
  </si>
  <si>
    <t>CN-N-101</t>
  </si>
  <si>
    <t>目前玩下来，可能动作和怪物设计是绝佳的水平，本来我对这块的预期倒不是很高，心想这ACT能做出来什么新的玩法嘛？ 虽然没有什么多的玩法，但是光是战斗的玩法，黑悟空这块做的挺足的。
下面说两个部分，可以【优化】的部分里面有【问题】和我自己提出的【优化方法】，后面是令我【失望】的部分，也是我从一开始好评到打“差评”的原因：
【优化】
键鼠、手柄，我都试过了。 相对来说键鼠更好用一点，虽然游戏开头标了“适合使用控制器游玩体验更佳”，但是手柄有几点问题。
1、需要增加“视角回正”。
通常来说这类自由视角的动作游戏都会有个视角回正的映射，可以是按下两个摇杆，R或者L，或者是一个防御动作。 里面的锁定因为只能锁定画面内的怪物，导致如果一个很灵活的怪物特别是BOSS，脱锁后屏幕需要大幅度的移动，而这个时候没有视角回正对手柄的操作来说是个很大困难。
优化方法：这点我很疑惑，我看手柄L摇杆按下是空白映射嘛，为何不能增加一个呢？
2、捡取不符合规范和操作习惯。
首先我们每一个键位映射都要尽可能的“独立”，尽量避免一个功能多用，而手柄上使用R2作为捡取，这本身与其释放法术的功能冲突，且UI界面会有较大的变动。这键位通常玩家（正常使用）都是用右手中指按的，也就是映射到鼠标上是右键，这非常不符合玩家的使用习惯，两者应该大致一一对应。
优化方法：最好的方式是将其设计到对应键盘E键的左手边。
当然如果没有位置了，换成R1这个行走过程中的空白键位，也很好啊。
人们下意识使用鼠标左键——也就是右手食指，是一个再正常不过的通用行为。
好，手柄方面的优化讲这么多。
【其他方面的优化】（顺承前面的序号）：
3、辅助提示。
这里的土地庙根据每个地图的场景做了对应的设计，使其符合所在场景的风格，这非常好，并没有什么不对。
但是对应的，这样已经开启过的土地庙，更加难以寻觅，特别是在大型的地图里需要来回奔跑完成支线的时候尤为困难。
优化方法：可以增加一个特效：
当靠近附近的土地庙时候，土地庙会生起一缕烟，表明它已然启用；
或者可以在玩家靠近时，给土地庙增加一道光柱。
4、脚力问题。
猴子的奔跑速度并不快，而且还要消耗气力（在升级之后亦是如此），这使得玩家在进行支线任务或者主线任务的时候，时常变成了“景观里面的仓鼠”，漫无目的地跑着。
很难不去想这是为了游戏的“延时功能”进行的设计。 这使得中间平白无故增加了很多无用的跑动环节。
加上缺少地图辅助和场景缺少参照物，使得这个问题尤为严重，严重影响玩家的游戏体验。
优化方法：增加一个升级或者别的高效移动方式。
比如脱战后奔跑一段时间可以增加移动速度，或者一个奔跑不消耗气力值的升级。
5、剧情动画需要优化。
我相信很多玩家会遇到跟我一样的问题，某些剧情节点（当然玩家还在“尚且不知道的情况下。）玩家正直走，突然角色向另一个方向走了几步，然后进入了剧情动画。这会让人从沉浸式的游戏中脱离出来，脱离到”这不过是一个游戏，我不过是一个受人操控的角色“出来。其实后面一些遇敌的场景并没有做的这么不好，玩家都能大概知道“要进剧情了”。这就是一个剧情动画的引导问题。
优化方法：可以像首次土地庙的那个“导虫”一样，加一个剧情发生线的一个小提示，也符合故事设定。或者就像后面一样，先黑屏一下，然后进动画。
6、跳跃攻击需要优化，以及缺少快速靠近敌人或者远距离攻击的手段。
很多时候快速靠近敌人一般是跳跃+重击或者不想消耗棍势是跳跃+轻击，但是在屏幕上觉察距离够的位置通常不能击打到对手，而距离够了对一些敌人来说已经无法再用这种招式接近了，只能通过挪步靠近。
而面对大体型的敌人，或者特殊地形的敌人，猴子攻击的手段极其有限，甚至可以说没有，只能等待对手接近，或者使用特殊道具（但是使用次数不够和前摇过长。）缺少一个能够冲刺攻击的手段。
优化方法：增加一个冲刺攻击的升级，并且略微增加一点跳跃攻击的锁定范围，也可以作为一个升级。毕竟灵光点还是蛮多的嘛。
7、场景引导。
把场景引导这个大问题放最后一个说，因为它的确是一个很大的问题，并且由于上面这些问题，使得它的弊病极其显著。首先由于剧情设置和关底boss的问题，导致很多场景如果玩家没有找到，度过会非常非常非常困难（点名那根针，我一开始没想起来用，二阶段死了无数次）。
这是对玩家的一种“惩罚”机制。我能明白，这是在督促玩家需要对每个地方好好探索。
但由于地图缺乏指引和显著的方向指引，使得这一做法的后果是——玩家不得不对每一条可能的岔路都进行探索，每一个山门、门庭甚至是坡路都要进行地毯式搜查。
是，玩家是应该为自己丢失的“游戏内容”感到懊恼，而不应该为自己在高压状况下谨慎检查每一寸土地后，依旧有可能为不小心错过的内容而导致卡关而”懊恼“，这是非常令人挫败的。不应该要求每一位玩家都必须完整地玩到全部的内容，何况这并不是一个随时可回溯的类银河恶魔城的设计，它被设计为“不可挽回的”内容丢失。
比较起来，其实前四章在没有交通工具（筋斗云）的情况下，场景引导已经是算是“有点糟”了，然而我没想到，花果山这个章节的场景引导一下子成为了“极其糟糕”！
不知道是不是因为觉得给玩家提供了”筋斗云“这样道具之后，玩家的行动能力得到了极大的提升，便开始缺乏场景引导的设计。
一个巨大的箱庭结构的地图，居然完全依靠玩家扫荡式搜图触发剧情？！（我知道开始两个装备有雷电提示）其本身还有不为玩家所能提前获悉的内在触发逻辑。
使得你不知道你目前来到的这个地方是之后要来的，你会提前抵达剧情上“靠后”的场景。在游戏之外 ，这是对游戏世界本身的又一次解构。
加上花果山地界许多应该能去的山头不能去，处处都是不可提前获知的空气墙，导致这种游戏外的结构和抽离感更加严重。
优化方法：很大的问题，我没法给出目前基础上的简单优化方案。这是需要细细打磨的部分。
下面是
【失望】部分：
1、人物演出不够好。
刚开始，开篇这个序章，与二郎神的打斗，或者对话，我就注意到不对劲：
一个是场景打光效果不够好，我不知道是不是满配置光追下的光照会好，但是我看了网上的视频也没有发现和我的观感有什么大的区别。
二个是人物嘴型和台词对不上。而这个问题我想是被注意到了的，所以除了二郎神、蜘蛛精、这些极其少量“必须”要“露脸”的角色之外，其他角色大多脸上一堆毛毛，从而看不清楚口型动作，或者使用一些错位镜头，场景空镜来规避对说话中的人的描绘。
三个是动作上没活，观众没有着力点。很多时候如果多人出场，一些正在说话的角色没有较大幅度的动作，摄像机也没有对应的运镜或者切镜头，导致你无法判断是谁在说话（因为都是毛毛，看不到嘴巴动作....）有点像配音部分用了很多感情，但是对应的角色没有对应的神情和动作。如果是这样的话，可以少写一点这种“幼稚”为了体现人设的台词。这块先放着，和后面的“剧情”部分一起失望。
2、极其糟糕的剧情走向。
剧情可以说在玩了半天没有。我知道有的人会说，什么剧情在收集物里，在支线里。很好，我是愿意去阅读的玩家，我也是一个比较喜欢bossrush的玩家，当然我没有那么厉害，如果可以的话我希望每次复活时间快一点，让我继续作战。 之前玩《旺达与巨像》（与本作无关，我尽量避免使用其他的作品进行比较，这里只是兴趣提及） 主题很明确，我要杀魔像巨人，我要救我爱的人。
但是黑悟空这里，所有你打死的怪物才会出现跟这个怪物有关的背景故事，这能算剧情嘛？剧情是要有主角存在的。主角是什么？是天命人啊，天命人为什么要这边打，那边杀？ 不告诉你。 为什么要收集根器？复活？不告诉你，天命人还是个哑巴，他是代表了玩家的意志嘛？可是玩家想做的事，他不做，不想杀的怪，他要杀，不想做的选项，他会自己选择。那他明显是有自己的“意志”的，为何要做成一个“哑巴”呢？
每章的一些情节，直到第四章，我都还能忍受，毕竟光是层出不穷的怪物和各类地图设计已经足够让我有继续游玩的念头了。但是许多故事毫无意义和趣味，特别到了关底动画还要特别拿出来“煽情”一次，就更加让人觉得内涵缺乏。
我可以看狐妖，我可以看孙悟空和白骨精谈恋爱，我可以看任何两个人相爱，但是你得告诉我前因后果，经过结果，你不能告诉我他们爱了就爱了，还说这是忠实原著。（哦，现在改口说自己不是忠实的《西游记》了，忠实的是《斗战神》《悟空传》《逆行西游记》等等了。）
你也可以写兄弟情，写一同反抗强权，因为一些观念不同相互别离不对眼。孙悟空老这样了，但是不应该写得gay里gay气的，加上多个角色有麦麸的动画桥段出现，还要涉及什么家庭伦理关系。
拜托！这是齐天大圣，不是地方县官。什么狗屁家长里短，男欢女爱，我们不是刚刚少年，这些狗屁东西值得花几个亿去讲吗？要说也好好去讲述，没前因后果，我只能看到偏离《西游记》本体的崩坏的人物，以及一个不符合长期以来在人们心中合适地位和形象的悟空，当这个作品被这么多人关注的时候，价值观应该少点个性的表达，去做一些普适的，正常的，能让接受的。
换句话说你这么做，在国外政治正确了，在国内反而不正确了，你让塔怎么办？这是一个很麻烦的事情，宣传口径给你了，上下一心，不要做这么糟糕的东西出来，这点东西不值得拿出来说。好嘛？
反过显得之前那群分析剧情得天花乱坠的人一个一个如同小丑一般，本来我就想一个游戏没出怎么分析剧情，从那些有的没的宣传中旁敲侧击，大开脑洞。结果确实是意想不到的了。。。
开篇这猴头，已成“斗战胜佛”却不敌“十万天兵”，叫嚣“单挑无敌”，惧怕“漫天神佛”，转身“化作精鸟”，半路“惨叫化尸”，这是悟空嘛？ 他哪怕说“你们人多”也不是害怕，而是使一个手段，减少难度罢了。不是说真的打起来怕什么？
怕什么？天宫早就闹过，被捉起也无可奈何。 狮驼岭，八百里妖魔，妖气冲天，也不见避开一步。怕什么？
剧情之所以有大问题，很大原因是缺少了“人”，这里的“人”就是你我这般寻常的普通人。大唐的百姓呢？一路上的各国的人类呢？那么这些妖怪何以为妖怪，神仙何以为神仙？世间皆是怪力乱神，何人供奉的头顶三尺神灵啊？妖怪不吃人，吃作乱的老鼠精怪，你这猴头为什么偏偏要不分青红皂白地要杀？
人不在，何以为天，为地？人是丈量万物的尺度，没有我们这些人的共同努力，终将难成大圣齐天之姿。然而通篇下来，尽是妖怪精虫，各路神仙魔鬼，这和古偶剧有甚么区别？尽是些“上层阶级”的风流韵事，利益争端，你死我活，怎么不见大圣俯身着眼凡间一下呢？
好，评论区和其他地方让我举例子，我就说几个：
超巨型BOSS 当时说有不少超巨型的BOSS战（在身上跑的那种），但是现在一个也没有，这是我最期待的部分，并且超巨型BOSS的击败难度不高同时演出效果好，玩家成就感强，不过相对来说制作上会困难许多，技术上也会有很多问题，有点像ACT游戏里面一个升阶点。在实际游戏中，大概只有黄眉那一段有这样的演出了。
NPC动线设计 从第一个PV开始，就提出过 地图上小怪会各自做各自的事情，比如巡逻、砍柴、生火等等，现在只有站桩了。连黑风山原本对应演示部分也没有了。
三种棍法怪物受击效果 原本演示中 三种棍法有三种不同的怪物受击效果（主要是小怪） 立棍的横扫，怪物会向受击方向倒下，戳棍的刺棍会让怪物向受击方向击退一段距离，并且不会被空气墙阻隔（怪物不受边界判定）。现在没了，除了几个特殊的场景，怪物无法被击倒下去，而玩家则很容易被打下去。
甩棍游戏里有很多场景里的怪物的触发或者反击方式，明显需要一个远程攻击的手段，由于甩棍的缺失，使得棍花动作即使面对特攻的远程单位，依旧比较鸡肋。 当然会有人说甩棍被保留了，对，你硬要说，是被保留了在六根大圣化之后，存在于棍花的派生动作里。 这和没有有区别嘛？ 总不能我现在说要给你一笔钱，但是得等你不缺这笔钱的时候给你吧？
变形潜入、腾云驾雾 变形潜入本来说和NPC动线设计同时，作为一个特色玩法的，碰到一些精英怪会被识别。结果砍得只剩序章了，流程还特别短。后面也就在盘丝洞出现在剧情动画里面，并没有什么用。 说关卡之间用筋斗云过渡赶路，现在只有第六章的部分场景能用筋斗云了。 而关卡之间的过渡嘛。。。 一言难尽，不是晕倒黑屏，就是突然转移，过程是完全没有的。
内容减少狮驼岭、女儿国、龙宫、五庄观、白虎岭、灵山等等等等。别说什么DLC啊，DLC不要花钱啊？DLC不要等啊？意思是原本出的东西我一次性能玩到，现在我要额外花钱等待，还不让说了？ DLC也应该是加强版的额外内容，而不是补全我本体的缺的剧情。你不能说我买头猪回来，没有内脏，要买另一只才能拿到吧？ DLC本来就是一个让人诟病的东西，怎么还能拿来洗了？
你有困难，你直接说，哪怕你发售时候说一句，我说实在话，就这个造势，说了也不影响销量，也不会遭人诟病，东西憋在手上，在生产线上卡着变不成现金流水，那感觉大家都明白的。
讲白了就是宣传公关不行，跟搞出来什么反女事件一样，自以为是个性。女玩家也是玩家，男玩家也是玩家，玩游戏的和做游戏的怎么就能成对立关系？真是大开眼界。
在加几个剧情令人不适的地方，那猪八戒被蜘蛛群埋起来，没人管，说自己可以。被铁球砸下悬崖，小狐狸说没事，皮糙肉厚死不掉。闹呢？那球真是“挽着些就死,磕着些就亡,挨挨皮皮破,擦擦筋筋伤。”。这天命人跟悟空一个德性，不管不问就跟着小狐狸走了。
又有人在那说什么，啊，不能反抗啊，反抗就是死。是的，你不去战斗，你不反抗，那你只能是奴隶。
“假使我们不去打仗，
敌人用刺刀
杀死了我们，
还要用手指着我们骨头说：
“看，
这是奴隶！”
打不赢就不打了嘛？不打怎么知道赢不赢？最后人家把你削的只剩你自己了，你还不知道反抗，那没办法了，连命都不挣，跟我说挣家人平安？搞笑呢？
很简单，你说了什么你就做出来什么。你没说什么，人们不会那么期待，期待被吊高了，结果被打脸了，玩家嘴上不说，下一次也会靠荷包投票。同时消耗的也是很多国内媒体的公信力。
不求你有“强者为尊该让我，英雄只此敢争先”之姿，只要能有“因在凡间嫌地窄，立心端要住瑶天”的赤子之心就好。
诸君共勉，一起做出更好的游戏吧。</t>
  </si>
  <si>
    <t>画面美术场景；音乐音效配音；演出角色怪物设计；动作打击手感；Boss战斗节奏；难度挑战；锁定视角；判定反馈；地图路线；空气墙可达性；探索隐藏支线；引导迷路单线；优化帧率；崩溃闪退；Bug兼容硬件；整体完成度；推荐价值判断；西游悟空符号；本国媒介路径；中国文化宗教语言审美；原典知识人物关系专名；角色期待意义偏移</t>
  </si>
  <si>
    <t>CN-P-102</t>
  </si>
  <si>
    <t>黑神话悟空通关时长花了49小时，支线全清，通过SL大法双结局已解锁，个人总体评价也就能给到85分，5分扣到探图体验差和资源给的太抠，5分扣到主角拉了大胯的战斗性能，还有5分扣到剧情上，MC的评分其实没啥毛病，游科作为国内第一款3A游戏开发者还是稍显稚嫩，总结一下缺点吧。就探图体验来说，每章的地图巨大又复杂，虽然迷路倒是不至于，毕竟老魂玩家了，背地图能力还是可以的，初见也全靠自己舔图可以做到基本不漏什么重要东西和支线，但是空气墙是真的多，上次玩到空气墙这么多的游戏还是FF15，可获取资源给的多少有点太抠了，中期突然莫名其妙解锁了个防具升级系统，结果一周目下来升级材料给的也就够强化满两套衣服，感觉防具强化系统像是开发到了后期心血来潮新加的，就显得很格格不入，而且到了后期给的防具数值直接爆杀前期装备，就显得防具升级系统更是鸡肋了。战斗系统，算是这游戏扣大分的地方，我觉得如果是作为一个动作游戏爱好者来玩这个游戏，因为动作系统扣这游戏20分都不多，主角天命人的基础战斗性能主打一个丢人，我这里可以把闪避系统和这个体力条系统放到一起说，就我玩过的几款动作游戏来说，但凡有连续翻滚硬直惩罚的游戏，不会存在体力条限制（猎天使魔女，碧蓝幻想relink），但凡有体力条限制的游戏，不会存在连续翻滚硬直惩罚（黑暗之魂，血源和各类魂游戏），然而黑神话却非要打破这个常规，他做出了一个逆天决定，我们既要惩罚玩家的连续翻滚，又要用体力条去限制玩家，这种逆天想法是怎么通过的我都好奇了，游科内部真的有动作游戏爱好者么？就目前我打通关下来感觉这游戏完全移除体力条都没啥太大问题，而且都2024年了，怎么还有游戏脱战情况下跑步还掉体力条呢？同时这游戏完美闪避的收益简直低到了令人发指的程度，别家ARPG游戏完美闪避后一般都能带来巨大收益，从猎天使魔女的魔女时间到碧蓝幻想relink的明镜止水，都是给到了玩家一个高风险高回报的结果，唯独这游戏，完美闪避后甚至连回复一格棍势欢乐豆都做不到，尤其是后期BOSS人均疯狗，几波连闪后，上去两下平A，BOSS又开始发癫了。然后再说说这个逆天的切手技系统，重击无法打断轻攻击，翻滚无法中断攻击是哪个天才策划的主意，你说你技术方面做不到我是不信的，毕竟游戏内有两把枪类武器，唯独这两把都可以做到重攻击打断轻攻击，翻滚中断攻击连段，怎么到了主角的棍子就不行了么，区别对待是吧，这游戏难道叫黑神话：二郎神么？还有就是这个慢的要死的蓄力劈棍，前摇简直比命都长，而且手短，蓄力劈棍打百眼魔君会把这个缺点暴露的淋漓尽致，百眼魔君的BOSS战你甚至可以体验到贴脸三蓄劈棍打空的情况，这BOSS的碰撞体积＞受击体积，三蓄劈棍完美砍空气痛击大地让人当场红温那是不得不品的一环啊。一个好的动作游戏，应该是让玩家体验有来有往，见招拆招的战斗体验，然而这游戏初见要想体验良好，只能上各种法术，然而无论是精魂技，定身术，身外法，隐身术都主打一个拒绝交互纯压制，剩下能用来GP的招式，一个是劈棍切手技，一个就是铜头铁臂，切手技那狗屎前摇无法取消还要花豆子，铜头铁臂又被CD卡着还不一定都能打断BOSS动作,技能CD空窗期间玩家的战斗体验有多坐牢只能说品鉴过的人都感同身受。最后这个剧情，全靠演出和音乐把剧情逼格提上去了，第四回和第五回的家庭伦理剧让我仿佛在看春晚，到了通关还有好多挖的坑没讲清楚，不知道后续有没有DLC计划。虽然游戏剧情要想理解透彻需要熟读西游记原文倒也正常，但是还需要你去了解斗战神的剧情就多少有点过分了（结尾存在斗战神白骨夫人彩蛋）,游戏通篇剧情体验最好的环节反而是影神图部分，每个角色的图鉴都附带挺长一段中式民间传说和寓言故事，但是为了保证阅读体验必须要解锁后及时阅读，因为部分怪物的文本故事存在上中下篇，后期解锁一起看的话难免会导致剧本阅读体验碎片化。</t>
  </si>
  <si>
    <t>音乐音效配音；演出角色怪物设计；动作打击手感；Boss战斗节奏；判定反馈；地图路线；空气墙可达性；探索隐藏支线；引导迷路单线；优化帧率；推荐价值判断；西游悟空符号；国产3A身份期待</t>
  </si>
  <si>
    <t>CN-P-103</t>
  </si>
  <si>
    <t>不管是不是我国的第一步3A大作，只针对作品本身而言，黑神话悟空都是一部很优秀的作品，之前因为工作，断断续续的玩，目前快到黑熊精了，希望这部作品能给我更多的惊喜</t>
  </si>
  <si>
    <t>西游悟空符号；角色期待意义偏移；国产3A身份期待</t>
  </si>
  <si>
    <t>CN-N-104</t>
  </si>
  <si>
    <t>黑神话是一块巧克力，人吃了没事，狗不行</t>
  </si>
  <si>
    <t>CN-P-105</t>
  </si>
  <si>
    <t>这是打完妙音后立刻发表的评论：按道理来说，无论这是一部8分还是9分的游戏，都不应该打出差评的，但是浮屠界实在是tm恶心了，巨恶心，超恶心，极其恶心。我想大部分人能分得清恶心和难的区别。这张地图充满了制作者的恶意和傲慢，魂类游戏的粪坑地图是有他自己的受众基础在的，无论是孝子的抖m心态，还是爱好者的体验感，或者是强行说不难的逆反心理。都是粪坑存在的理由，可是这款游戏为什么在这个地方放了一个粪坑？有必要吗？符合游戏整体设计吗？这是魂类游戏吗？想添加点魂元素？遍地都是的空气墙，在独木桥上消失了，我想这不仅仅是制作者的画虎类犬，更是浓浓的自我感动和傲慢。这款游戏的优点就是那些80分游戏的优点，但是让我说它的美术、演出什么的总感觉怪怪的，因为场景总是统一的单调色，绿油油，黄蒙蒙、白雪皑皑，加上不存在的引导和消失的小地图，撞破额头的空气墙，实在很难说美术是多么突出的优点。至于演出——开场的背景板四大天王和十万天兵，多少让人有些绷不住了。</t>
  </si>
  <si>
    <t>画面美术场景；演出角色怪物设计；难度挑战；地图路线；空气墙可达性；引导迷路单线</t>
  </si>
  <si>
    <t>CN-P-106</t>
  </si>
  <si>
    <t>游戏我给8分，作为国产的第一个大型单机游戏作品很难得了，特别是场景美术，二三章逛了好久了，太喜欢那些壁画雕塑了！哪怕去掉各种buff也是难得的佳作，当然离神作还是有一点距离的。还在第三章，通过视频云了后面的内容，中规中矩吧，对于玩过斗战神，看过悟空传的我来说没有理解门槛。但是为什么给差评呢？无关乎乱七八糟的东西，只因为一点：游科你特么用了大圣的名，借了大圣的势，却不敢像大圣一样踏碎凌霄！我是要用一两年等一个dlc？还是用七年等黑神话2？特么斗战神没做完你黑神话也做不完是吧！哪天大圣踏碎凌霄，我再改回好评！</t>
  </si>
  <si>
    <t>画面美术场景；难度挑战；推荐价值判断；西游悟空符号；国产3A身份期待</t>
  </si>
  <si>
    <t>CN-P-107</t>
  </si>
  <si>
    <t>免费获取的产品
																今日欢呼孙大圣，只缘妖雾又重来</t>
  </si>
  <si>
    <t>CN-P-108</t>
  </si>
  <si>
    <t>第一章很好，后面就开始拉大的，boss设计和地图指引就是两坨大的，真是白瞎了这么好的美术和剧情！通关后补：剧情也是依托史，什么玩意</t>
  </si>
  <si>
    <t>画面美术场景；Boss战斗节奏；地图路线；引导迷路单线</t>
  </si>
  <si>
    <t>CN-P-109</t>
  </si>
  <si>
    <t>2024-08-24</t>
  </si>
  <si>
    <t>50小时黑神话悟空一周目通关纪念！一周目打了个好结局，没有带上金箍。整个过程最有难度的是二郎神，卡了好几个小时。由于太久没看西游记，打黑熊精没带避火罩，打黄风怪没带定风珠，打百目不带针（我说怎么这么难）不过后面又去拿了。整个过程中最大的遗憾就是(剧透)没有救四妹，跑的太快把百目cg触发了，只能等二周目了。打二郎神的过程中，对二郎神的一句台词特别有感触“你自称天命人，可他最不信的，就是天命”八戒也说我不配成为下一个孙悟空，这一点我也这么认为，心目中的齐天大圣，永远只有敢在如来手掌上撒尿，阎王簿上划名的那一位</t>
  </si>
  <si>
    <t>演出角色怪物设计；难度挑战；西游悟空符号</t>
  </si>
  <si>
    <t>CN-N-110</t>
  </si>
  <si>
    <t>免费获取的产品
																直面天命Confront Destiny师傅，你说这世上是善人多，还是恶人多？Master? Are there more good folks in the world, or bad?自是善人多。More good, of course.那为何这世道从未太平？Then why is there always suffering?恶人总是横行无忌？And why do the bad folks always win?因为不分好歹的善 ，不是善;Because goodness without teeth, punishes not;是恶的帮凶。it only foments evil.以霹雳手段，Cleanse the world with blood,显菩萨心肠。and grow lotuses in it.这就是你的......天命。That is ... your destiny.这天命，Such a destiny,你还想要吗？do you still want it?</t>
  </si>
  <si>
    <t>CN-P-111</t>
  </si>
  <si>
    <t>目前打到第六章，舒缓一下写个评测，以下仅为自己观点，看看有没有一样的感受，后续打完了会重新修改评测：
满分十分，我可以选择给到九分，分类说说。
1、NPC方面：NPC外观还基本露脸了，相比黑魂这些到处谜语人铁脑袋大帽檐儿的感官上好太多，行为表现上生动很多，比如打boss的时候还会巴拉巴拉说词儿（说的就是你！狐狸妹子儿，打boss呢！说什么猴哥哥好帅猴哥哥好厉害，害我打的节奏都变形了）
2、剧情方面：跌宕起伏是我对这剧情最贴切的评价，也许是我西游记也看的不多，但像第四第五章剧情不断的翻转真是吃过瘾了。第五话有个名场面，一开始还觉得很奇怪，怎么能这么说话的。后来剧情一变，哦原来这样。目前感觉第四话最好，二次之
3、战斗方面：手感上不错，我技术不行，丹药把防御力拉满（叠甲，过！），走的劈棍流。很爽轻棍噼里啪啦打两层势，直接右键劈，无限复读，正好触发反击血赚，没触发也不亏，打踉跄真的是太强了。再来个回血阵吸血精魄定风珠（哈维尔山羊套：请~）。另外多嘴一句，我确实很喜欢死亡不掉落设定，就很不喜欢魂类那种一贯的死了掉魂再死就没的严重负担
4、BOSS方面：这个我的评价其实相对“同类游戏”只是中等偏上？我觉得大部分boss并没有让人那种特别眼前一亮的感觉，我说不出原因，你让我现在回忆一下也只能想起小部分boss，其他没啥印象了都。虽然能感觉到每个boss很用心，但有些boss也是真的粪（也可能是我没了解机制怎么克制），尤其是一言不合就上天行为，然后看他们表演三十秒技能完全打不着单纯的挨打让我很暴躁，第六章遇到第一个boss险些让我破防，会防御还飞来飞去，动作根本不带停的，我打一棍子它能打我七八下（NMD，停一下啊）
5、场景方面：很好看，但是有两个我觉得不好的点，我不喜欢无处不在的空气墙，你可以做的明显我都能接受，但这个地方跳不了那个地方过不去，疯狂空气墙的感觉实在不舒服。第二个是好像犯了和我玩过的那些国产游戏一样的老毛病，很多东西做的太“空”了，建筑那么大，结果里面空空如也（着重指第三章的那个），说不上来，就那种，真的只能当个背景板？经不起细看，但很多地方又很有细节处理就很奇妙
6、养成方面：我觉得这个比较一般？其他尚可但我不喜欢线性式的装备，这游戏装备没有升级，老的衣服有些很好（我的回血衣永远的神），但是越到后面防御力是真的跟不上了，搞了一套毒伤流装备，立马又只能更新换代换别的，这就导致装备很大程度只能跟着流程设计走，你装备效果再好也不能就十几二十几防御力跟人家打吧。
更正一下，刚刚看了攻略才发现原来可以装备升阶，但得遇到这个npc，我这都打到第六章了才发现这个事情，尴尬。但我个人认为像进阶这样比较基础的.....机制？应该是放在必需路段的，无论是炼丹还是这个都不是必定能遇到的，得做支线得舔图，像我这种每条路都逛一遍的结果没舔到最后看了攻略才发现是不是感觉白受了这么多苦
还有很多没讲完，但先写到这里，我喜欢这款游戏，他在我眼里是一个里程碑的级别，而且更期待着未来，还有更加精彩的游戏出世
2024年8月24日：
通关啦！重新修正我的评分，我选择9.5分。我认为这游戏也许也是在见证着成长，无论是现实，还是游戏。能很明显的感觉得到，剧情发展越来越精彩，质量越来越好。其中很多很多的故事细节都值得反复的去回忆，去思考。
可能我犯病了挺久，哪怕是这种相比其他魂类游戏来说简单了不少的，以前状态还好的时候我打个苇名一心打了一个下午，不用小皮盾打红古达死了五十多次，这游戏哪怕我认为最难的boss也只是死了二十几次过了。
但即便如此，最后的隐藏boss依然在死很多次后让我陷入了几乎抑制不住的暴躁和不稳定，我想过开挂过了，不要折磨自己，但是又不甘心，一遍遍的骂骂咧咧的重打。最后要支持不住戾气极重的时候，却赢了。法相天地开启二阶段，战斗的爽感让之前的暴躁有了发泄的渠道，这战斗场景真的太爽了，以至于我险些把我键盘按烂了。
最后的结局我其实看的不太懂，但没关系，可以看看别人的分析就会豁然开朗。
谢谢各位的评价，我大抵有点玻璃心，我只是个普通玩家，每个游戏都有我自己的感受。我自己已经不想看到更多的负面情绪了，那会让我难过很久或者一辈子，对不起，所以我还是关闭了留言，也没必要加好友来骂我，如果你有你的想法，不妨也自己写个评测，就像我的同学，他选择给了差评，他觉得不好玩，我是非常能理解接受的，大家感受都不一样，这只是个游戏，理解和良好的沟通是生活中最好的调味品。
最后的评价：道阻且长，正如成就的九九八十一难，世界没有这么美好，但总会有在意和喜欢的事物，它们才是咱们人生成长前进的动力。如果你累了，可以休息一下看看风景，没有关系，接下来还长着呢，开心，是最重要的。
所以祝各位玩得开心，以上！</t>
  </si>
  <si>
    <t>画面美术场景；动作打击手感；Boss战斗节奏；难度挑战；空气墙可达性；探索隐藏支线；引导迷路单线；整体完成度；推荐价值判断；西游悟空符号；童年记忆情怀；外部资料依赖；国产3A身份期待</t>
  </si>
  <si>
    <t>CN-P-112</t>
  </si>
  <si>
    <t>游戏总评与个人对游戏外风波部分可跳至末尾
完整游玩并且观看了所有可阅读剧情及文本内容，一般路过游戏玩家与外行游戏设计者，认为完整综合而言只能停留在8分的级别，部分环节单列出来甚至应该到6、7分。
虽然符合瑕不掩瑜一词，但仍给出一个不推荐，目的是想要重点客观地分析游戏缺点。以下内容仅针对游戏本身，分为游戏部分与剧情部分，不含任何游戏外话题的影响。
第一次写这么多，之所以如此，既是希望每个玩家客观地看待游戏本身，也更是希望本土游戏创作者们能够在勉励的同时正视不成熟与有缺陷的地方，能够制作出更强于该作品的游戏。带着好的目的去批判，不是呈口舌之快、泄一己私欲，感谢并尊重每一个身体力行付出了劳动努力的人。
游戏部分
战斗：有较为成熟的动作技术，十分优秀的战斗美学，不错的打击感和足够丰富的系统，上手门槛较为适中，敌人动作招式种类繁多，表现手法与设计的颇有亮点。
但玩家的轻攻击性能平衡并不算好，连段生效时长差距较大，对手感有一定影响；一些远程的怪物设计与安排对没有即时反制手段的玩家会异常头疼和降低体验，同时，大小Boss的诸多战斗内容设计出现了严重的阈值问题，重点体现在敌人招式节奏的反直觉，收招动作的模糊不清，过于长时间的连段甚至空中连段，以上问题破坏了一部分战斗体验：快慢刀、收招模糊与长连段滥用让玩家学习成本凭空增加，挫败感更高，空中连段更是完全在用玩家的时间来发泄演出，中后期妖王级boss该问题尤其明显，好在玩家本身的性能以及支线法宝的设计弥补了一部分，但其中两章不完成隐藏支线战斗难度就直线上升的设计并不能算是优点。
地图探索：地图场景的美术氛围很棒，自然环境的表现很好，对于古建古迹塑像等文化内容的还原和表现也非常好，虽然出现了一部分过于暴力堆砌的设计缺陷，但整体美术水平可以算属于一线的水准，展现古中国文化部分令人欣喜。
但是在游戏层面的地图设计上，有着灾难性的诸多问题，弱甚至毫无引导的分支路线，极其不明显的诸多岔路或极其误导人的空白开放区域，过于开放的探索区域与可探索内容的不匹配，渲染光影下满足了美术氛围却忽略了视觉上的游戏需求。由于空气墙的存在，官方几乎完全没有考虑在一个拥有跳跃功能的探索过程中将任何一个可能产生误导性指引的地图空白部分物理阻拦，玩家在游玩过程中经常需要以身试空气墙来判断前路是不是可以走的地方，同时游戏又设计了很多隐藏的收集放在那些看似不能通过或是没有设计人工地板的小岔路或小角落，令玩家更需要一路碰壁来判断是否有内容。地图设计既缺少魂系箱庭的精巧，又不愿意走战神那样直观的一本道，结果就是常常错综复杂，令人昏头，岔路之后又是岔路，反复让玩家回头，更甚前脚大路主路、小路收集，后脚又变成小路主路、大路收集，在探索过程中时常感到恼火。没有地标性的重复及大量自然素材也让人难以对地图产生深刻记忆，许多道路玩家所能理解的引导意图和实际意图完全不符合。
游戏系统：成长系统设计的平衡性相对丝滑，玩家选择不同的流派专精后都能获得显著的收益，所有的成长加成都可以随便重置，自动升级且死亡无惩罚也提高了游戏体验；武器、装备的收集成长并没有在强度上过度关联探索，正常的游戏流程也能够有相对合理的体验；可收集物在内容和表现上的设计颇有创意，诸如丹药、葫芦酒、酒食、珍玩这种不论从游戏性还是文化氛围塑造上都有很好的体验，打坐点、采集物等也相对增加了探索过程中的有趣体验，法宝同样在补充并完善剧情的同时、也做到了行之有效的作用；作为队友的八戒在探索过程中的互动台词与细节，也可以称得上是在模仿战神的基础上，做到了毫不逊色的生动和贴合，十分有趣。
不过由于地图设计的原因，一部分收集物所获得的回报感往往被探索过程中的糟心体验破坏，隐藏要素的设计有用力过猛的问题，暴露出来的是地图设计与关卡内容策划的双重不成熟，同时，作为关联成就的诸多收集内容竟然被设计在了小概率的敌人掉落中，这样将收集物强加在枯燥的重复劳动中显然并不符合好的设计理念，没有玩家会从中感到乐趣。
美术、音乐：游戏方面的美术设计有着足够成熟的理念和水平，除了地图外，角色、敌人的造型设计也有不错的效果，许多从文字还原并改编、或是原创的美术形象令人印象深刻，游戏中的实际表现效果也很好，作为以中国神话为蓝本的作品做到了在充分发挥的同时保留了韵味，甚少出现落入以往俗套仙侠网游的低水平美学中；并且在影神图图鉴中模仿古本画像的部分令人耳目一新，从美术层面上也充满了设计感。在过场、战斗中的演出部分有一小部分的镜头运镜与镜头内容编排的瑕疵，整体发挥可以说足够优秀，包括动作、特效在内的部分有着够好的设计水平；章节结尾的六个动画部分虽然是外包部分，但配合歌曲表现力十足，效果极好，这也有制作团队在基础内容与指导过程中发挥良好的体现。以上包括地图探索中的音乐、音效的设计，以及角色的配音演绎，做到了几乎没有缺点，并且对宗教、民俗的部分甚至可以说有极高的设计水平。这一大方向除非过于苛责与固执，目前而言挑不出太大的毛病。
剧情部分
故事：该处不涉及文本设计部分，详见下节，与其综合而言才能给故事剧情打到及格以上些的分数。
在此不赘述我个人对故事的理解，但结合我的感受与网络上的他人分析，对于整个主线的主要脉络我认为做到了合格的演绎，但却有着极大的叙事水平问题。包括群像部分，实际游玩后能感觉到创作者想要表达的情感与内涵，但也因为叙事问题，表达出来的东西既不能让大多数人直观地感受到想要表达的情感内核，也不能令人完整清晰地理解背后信息，更遑论再要感悟到背后隐藏的深刻内涵了，可以说从还原古代玄学中谜谜又语语的部分做到了形神具备，但使用的手法和处理结果暴露了叙事水平能力的不足。
从例子上来说，很多人批评的对原著的解构、引申或改编，我认为重点并不于此，例如战神中对希腊神话、北欧神话人物的再演绎，之于该作所使用的手法实际上是诸多作品的常用的思路，甚至从解构层面上，本作甚至没有达到类似《悟空传》《沙僧日记》这类以解构为核心、以原著为基底、实际是完全再造新视角的程度。同时对于改编部分，实际游玩后能够感受到这些内容多是画靶射箭，以表达为目的再作处理的思路，因为其实放在游戏本身中，这些改编内容既没有破坏叙事结构、挤占叙事主体，玩家能够感受到符合于一定逻辑下的这样的编排，它出现在游戏中反而不会产生违和感；但是，这之中任何一个单领出来便会显得尤为离谱，就像大圣与白骨精的旧情、八戒与蜘蛛精的旧情，红孩儿身世，以及最核心的大圣之死被分尸，我也同样认为它们在对比原著后改编程度上的不合理性；然而就像战神中宙斯、奥丁被刻画成为阴谋家的反派类似——只是由于他们的信仰已经不存在于这个世界上了，实际上这种为了演义目的而做出的改编并不鲜少，甚至在三国、西游的原著中，就已经有对真实历史的一设作了诸多大相径庭、张冠李戴的二创了。回过来讲，旧情新编等虽然离谱甚至有破坏原著形象之嫌，但其出现只是为了在游戏中体现与之相关的思考，或关于因果、或关于人性、或关于神佛妖魔、或关于脱胎新生，诸多与之相关的、或旁敲侧击提及或直接演出参与的台词，综合来看才能正视这样的改编，它们有被人单独拎出来作了总结，并传播甚广，我认为是有失偏颇的。不过，仍然需要批评这样的剧情内容，因为即使能够理解它出现的意义，能够感受到它背后的含义，仍然存在着最开始提到的，也就是编剧在叙事水平上的不足。我们不可能要求玩家人人都有对剧情的理解力与包容力，更不可能因为叙事风格的原因而肯定这样的处理方法，编剧有责任即使在不说人话的设计下，仍然将画靶射箭的这支箭射得精彩、射得透彻，而不是以靶为重点，简单粗暴的两点一线。因为你不能既要战神一般的深刻细腻的剧情曲线与配套的体量，又要像魂系一样用碎片与隐藏叙事来增加所谓的信息量与背后巨大的迷网，鱼和熊掌兼得的结果就是要暴露出你叙事的能力不足。
文化内容（文本）：抛开上述的剧本故事内容，仅谈论文本设计层面，实际上该作是做到了十分优秀的设计水平，尤其是以影神图图鉴上的每一个目录的小故事，以及一些台词中。图鉴中的故事十分的充满趣味以及细节，是游戏中一大精华部分，它十分还原了志怪小说中的风格，并同时做到了足够优秀的故事水平，对于世界观及故事细枝末节的补充做到了十分优秀的程度。而人物台词的设计虽然有着谜语的问题，但放下对叙事信息的表达，这之中尤其是一些单纯做旁白叙述的台词，以及可互动npc的人设台词，可以说有着符合古代神话与哲学思考底子的优秀设计，例如每卷土地公的旁白、妖王的独白、六丁六甲的人设台词，集风趣、韵味、氛围塑造、人物塑造多方面的优秀，这是属于中国国产游戏里难能可贵的部分，也是我认为剧本故事即使叙事水平存在问题，也能够给一个合格分数的原因。
综上所述，总结而言，游戏本身客观来讲瑕不掩瑜，优点做到了目前最好，而缺点也暴露的十分明显，给出7、8分及格分十分合理，结合其可能产生的积极影响给到9、10分也并不完全偏颇。游玩价值足够高，游戏体验也足够好，抱着心理准备再尝试、适当使用攻略体验会更好。
最后对于其中产生诸多各方面的负面评价的地方，我尊重每一个人在接触不同信息内容后产生的看法与情绪，我也并不可能要求每个人看完我的测评、或是实际体验甚至完成该作，乃至于一定要做到所谓的客观，我相信人是应该遵从主观为己而行事的。只是从好的积极的劝谏的角度来说，其一我认为不必因噎废食、三人成虎，跳脱游戏而论反而偏颇之面更甚，其二我认为亦不必过度紧张、随浪造势，误伤路人、党同伐异。平心平性，处之泰然，清晰目的方才能避免过度的内耗，否则就个人败坏心情，就群体利微果小，仍落入口舌之快、泄一时火的惯性之中。
但对于过度吹捧，装腔造势，黑白不分的狂热群体，只能说才是最为阻碍行业发展、同时又最为先破坏风评，搅乱环境，恶心他人之辈。乌合鼠辈，跳梁而显眼、群聚而势大，不必劳神费心因小而失大，终究是常人居多，只是一茧之隔。</t>
  </si>
  <si>
    <t>画面美术场景；音乐音效配音；演出角色怪物设计；动作打击手感；Boss战斗节奏；难度挑战；锁定视角；地图路线；空气墙可达性；探索隐藏支线；引导迷路单线；优化帧率；整体完成度；推荐价值判断；西游悟空符号；本国媒介路径；中国文化宗教语言审美；外部资料依赖；角色期待意义偏移；国产3A身份期待</t>
  </si>
  <si>
    <t>CN-M-113</t>
  </si>
  <si>
    <t>从第三章开始肉眼可见的拉跨，第三章与前两章根本就不像一个公司设计出来的。本身这款游戏就没有地图，第三章还把地形做的这么立体。游戏有一堆空气墙让人不想探索，甚至台阶都已经做了，却无法从这里前进，同时游科又把大量的内容藏在角落里。这就导致一个问题，当我看见一个台阶的时候，我走过去发现是一堵空气墙会让人非常挫败，但我不走过去，又有可能会遗失内容。BOSS设计水准也直线下降，亢金龙和妙音这种怪要是放进线下试玩，能把预定销量拉低200w，亢金龙和妙音的伤害判定区域说明游科还没有解决大型怪物的制作问题，还需要优化。制作组有没有想明白，怪是要让人打的爽，不是要让人打的难，加难度只是爽的一种手段，严重怀疑内部大佬是不是做完前两章就跑路了。如果游科的销量是100w，我会给好评，怕把游戏给骂死了。但是现在销量是一千万，所以我如实给差评。整体分数我给7分，美术动作10分，剧情扣一分，探索体验扣一分，粪怪扣一分。ign给8分太中肯了</t>
  </si>
  <si>
    <t>画面美术场景；动作打击手感；Boss战斗节奏；难度挑战；判定反馈；地图路线；空气墙可达性；探索隐藏支线；优化帧率；整体完成度</t>
  </si>
  <si>
    <t>CN-P-114</t>
  </si>
  <si>
    <t>四百年前当吴承恩提笔写下第一个字，四年前当游科敲下第一行代码，时空仿佛交汇了一下终于啊，能在游戏里扮演那个小时候在梦里演了无数次的齐天大圣！</t>
  </si>
  <si>
    <t>西游悟空符号；童年记忆情怀</t>
  </si>
  <si>
    <t>CN-P-115</t>
  </si>
  <si>
    <t>前三章还算可以接受，哪怕是浮屠界和妙音这种毫无互动感的粪怪都是瑕不掩瑜。
但到了第四回基本就把制作组的敷衍展示的淋漓尽致，不管是小黄龙的固定弹切手（除了上劈下的一段能弹）之外，还有晦月魔君这种锁身体但实际能打的部位只有两根棍子的怪，加之其奇怪的打击判定，与二阶段的长马拉松，三蓄空棍之后给人的感觉十分糟糕，让人没有心情去打这个boss，我在尝试第五次打通后留下的唯一印象是其奇怪的打击判定。
如果说晦月是奇怪，那百目完全就是敷衍了，就在刚刚笔者第七次被其斩于马下，在第七次的过程里就空了三次三蓄，只要站在蜈蚣身体的中部，哪怕猴子的模型已经因为模型碰撞无法前进了，在这个距离上劈棍都会空棍，而且这种情况在前面的六次中重复出现，这真的十分让人恼火，不禁让人疑问这种只要玩过就会发现的低级错误是怎么会出现的，制作者的敷衍令人震惊。
另一方面，我一路顺洞而下，被紫色蜘蛛精搭救两次，我也帮她解除封印，我们暂时忽略为什么在探索途中她突然就能称呼主角为“臭猴子”，即使我们忽视感情脉络，那最后突然跑出来两个天官把人抓走更是让人一头雾水，这也叫什么支线吗？
一路走下来，度过了迷路，掉帧，卡顿与空气墙的难关，但现在遇到粪怪和敷衍的制作组这一难关，真的很让人想说，这经，可能不取也好。
---------------------------------------------------------------------------------------------------------
打通二郎神和大圣残躯，通关。
应该说太早下定论是一种极其不好的习惯。到了第五章和之后的花果山，很难想象这种敷衍还能更进一步。
从第五章开始，哪怕是一些小兵都学会了后撤步躲多蓄棍的技能，其实这种情况在第四章的毒敌已经有所体现了，但还不算太明显，比起奇奇怪怪的锁定问题，这种情况不太引人注目。但到了第五章这种情况就完全改变了。
后撤步躲刀这种东西在游戏科学这种没玩过自己做的游戏的制作组眼里，似乎就应该是一个跟化为人形一样每个妖怪都会的东西，连小怪都能做出后撤步躲棍的动作。一般我们把这种神通称之为读指令。
这种情况不是你做了防备措施就能避免的，哪怕你隐身再打，该被读就还是要被读。真的很难理解为什么猴子三蓄那长到能让妖怪自然死亡的前摇需要设计一个人均的读指令来反制。
这种弱智设计在二郎神这个boss上得到了又一次升华，四层霸体架势，免疫猴子几乎所有法术（有架势条的情况下），攻击基本是五刀以上的长连段，血量下降后游戏科学还一贯的给连段加入更多派生。
即使设计到这种地步了，他们还是要给这种粪便加一个读指令躲重棍，很难想象一个boss在对着假身打连段的时候会突然中断攻击来闪避，闪避玩家重棍的优先级居然大于打完一套攻击。这种设计真的闻所未闻，难道在游戏科学眼里躲半天长连段之后上去摸一下boss然后继续躲这种战斗交互是很舒适的？在敌人套上霸体拒绝互动之后你还要让玩家去跟它打立回？
在猴子被头发丝碰到都硬直的韧性下，居然给boss加了一个霸体的盾，让人忍俊不禁。与之相反的，对猴子的指令设计他们却要把喝药放到最前面，闪避指令没法中断喝药，加上没有预输入，打个弹反和平a连击都要按好几下，为什么在猴子上你们就做不出这种有利的指令优先级？当然，从恶心玩家的角度上，他们都是合格的出色产品。
到了大圣残躯，给人的感觉是复制版二郎神，即使丢了盾拿着棒子也改变不了，都是又臭又长的连段加读指令。游科喜欢给boss加速体现力量感的臭毛病在这个怪上更上一层，你就背板吧你。
可以说第五章开始每打一到两个boss就让人想下线一次，让人失去游玩的欲望，一遍过和两遍过又怎么样，我完全无法从中取得什么快感，只觉得自己离开一座牢房。不然呢？在马拉松和后撤步里获得快乐？大体型的怪，什么鹿啊车啊就喜欢跑来跑去，等你追上去他们又放几个动作让你继续马拉松。
火焰山的地图就是几条单行道，一下子就到最终boos房门口。花果山更是又大又空还毫无引导（除了那两道雷）。后两章给我的感觉就是在坐牢，玩下去无非是花了钱求个圆满。
剧情上更是难以言喻，孙悟空是会对牛魔王说那种话的人吗？猪八戒的话是在牛魔王面前说的吗？老猴子撑着船进了悟空意识，非要说什么悟空从来眼见喜，看见好的就要抢来。可能在取经之前是，但取经开始他抢的妖怪兵器，骗的是恶妖法宝，降妖除魔怎么就成了你口中的“偷抢拐骗，杀人放火，毁山灭洞”了？还要写“不为人知的残酷手段”，不为人知，新时代秦桧？是西游的莫须有？你就非要说大圣不是个英雄？小偷小摸反而能与修佛修德相似，私活都溢出屏幕了。
好吧，就是这些都是真的，神佛都是坏的，你猴子头上还带着紧箍，我想杀你随时可以杀，为什么要派人杀你？脱了紧箍又能怎么样？如来还在哪里，难道你能把如来打杀了？打得过吗你？费尽心机脱了这箍有什么用？能不能把最基本的逻辑搞明白。
过了快15年了，还在想着你们那个什么狗屁斗战神，既然这样何必说什么改编自《西游记》，说什么每个设定都要从原著找到出处。芒果冰这个up收你们的钱，说你们的好话，你们自诩取经人，那倒是有句话能送给你们。
“可悲的取经人啊，只要心中还有放不下的偶像，终有一天，它将化作修行路上无解的业障”
这经确实不取也罢。</t>
  </si>
  <si>
    <t>动作打击手感；Boss战斗节奏；难度挑战；锁定视角；判定反馈；地图路线；空气墙可达性；探索隐藏支线；引导迷路单线；优化帧率；西游悟空符号；中国文化宗教语言审美；原典知识人物关系专名</t>
  </si>
  <si>
    <t>CN-P-116</t>
  </si>
  <si>
    <t>很好游戏，无敌音画和演出配上中华文化这块独特题材，带来了一段从未有过的独特体验。全图除了花果山以外基本无雷点，支线只要愿意探索基本都能触发，BOSS战也从来没有枯燥乏味过，特别是杨戬，给人耳目一新的感觉。每章结尾播片的风格一章一换诚意满满，配上影神图的解说作为国人很容易理解剧情的走向。 最后吐槽一下黑手道人的下毒手藏得也太深了，要在盘丝洞背刺打掉手才能掉落，一点提示没有，小彩蛋害我多开一周目跑图。 瑕不掩瑜，大师之作</t>
  </si>
  <si>
    <t>演出角色怪物设计；Boss战斗节奏；难度挑战；探索隐藏支线；整体完成度；推荐价值判断；西游悟空符号；外部资料依赖</t>
  </si>
  <si>
    <t>CN-P-117</t>
  </si>
  <si>
    <t>一款真正属于中国人自己的国产3A大作，画面很精致，如果你买正版，大圣会很高兴，因为你一直支持他;如果你开修改器，大圣也很开心，因为这是大圣原有的本领;如果你没买游戏，大圣也开心，因为大圣知道你还有更重要的事等你去做;如果你玩盗版，大圣也不会怪你，因为每个人都有自己的八十一难;如果你玩盗版还跳脸正版玩家，大圣会很生气，因为你像六耳弥猴一样惹大圣讨厌;如果你买了正版就站在道德的制高点上指责别人，大圣也会很生气，因为你让大圣想起来天庭那群道貌岸然的伪君子如果你在Steam管家买了盗版，大圣会很兴奋，因为他很久没见到二师弟了——来自小黑盒用户按时吃饭的评价</t>
  </si>
  <si>
    <t>画面美术场景；推荐价值判断；西游悟空符号；中国文化宗教语言审美；国产3A身份期待</t>
  </si>
  <si>
    <t>CN-P-118</t>
  </si>
  <si>
    <t>2024-08-25</t>
  </si>
  <si>
    <t>见仁见智意思是，若识相，就能见到我的仁慈，不识相，就能见到我的广智兵多将广意思是当小兵很多的时候，就该将广智拿出来了广厦之荫意思是广智师兄的伟岸身姿像高楼大厦一样为天命人提供庇护聪明才智意思是只有聪明的人才能理解广智的好急中生智，指危急中化身生成广智师兄广开言路，意思是广智师兄出场的时候，怪们会一言不发的让开一条路见多识广意思是见到怪物很多，就知道要换广智师兄上了。</t>
  </si>
  <si>
    <t>CN-N-119</t>
  </si>
  <si>
    <t>打完二郎和大圣残躯了，44h可以评价了吧？
先说优点：美术和音乐，这两点都是做的极好的，尤其是黄风岭那段说书很有意思；
战斗方面，也还算可以，轻击攒棍势，重击打出去，就是派生有些少，不过对我来说无伤大雅，但没有远程手段导致对付远程的小怪时很难受，大圣残躯的扔棍子不知道为什么不给玩家用；
地图，空气墙的问题，也没啥，你美术好我也无所谓，何况探图的时候没对我造成多大困扰。
ok再说缺点，所有缺点最重量级的就是这个剧情，你写的是nm啊？？？前三章做的多好啊，为什么后面直线拉跨了？
从第四章蜘蛛精这里，你给八戒安排个蜘蛛精，可以！原著里濯垢泉洗澡，八戒也确实变成鲶鱼下水往人家裆下钻，行，也合理，更何况每次八戒都是被色戒所迷，这也正常；
再往后简直是nm灾难，第五章火焰山，红孩儿做成了夜叉脸，行，毕竟他妈是罗刹女铁扇仙，有点异国血统也说不准；到后面，逼你吃了子母河的水？nmb红孩儿不是你和老牛doi生下来的？行，这也没事，网上说的什么ntr什么牛蹄子我没注意看，就当红孩儿是老牛亲生的；
第六章，首先有筋斗云好评，虽然只能在花果山用，但后面我曹寺你的马啊！你是人啊这么写？？？坐船到残躯那的路上，就听着老猴子一顿贬悟空，最重量级的来了，“白虎岭上三次打碎过去的爱人” ？？？？？？？你不知道白虎岭是哪无所谓，看过西游记，里面三次都打同一个怪的肯定想到白骨精吧？？？不是猴子能和白骨精绑一起？？？有人说什么大话西游什么斗战神，不好意思，这俩我都没看过没玩过，我是看到宣传视频里写的“依据西游记啊，尊重原著啊......”等等我才买的，你这原著...是tm斗战神啊？那你早这么说我还买个jb！nm你要配cp你哪怕配tm观音菩萨甚至是没怎么出过场的观音的龙女也行啊操！听到老猴子这的语音，还有八戒后面接的“师兄打那次后，情情爱爱消停多了”......牛B，猴子不管是原著还是电视剧，哪里出现过爱情？
看完cg，这整体什么意思呢？故事，没讲完，有很多坑都没填；感觉前几章故事和后面立意完全不一样啊，好似经典的阴谋论，后面又好像不是，打二郎之后，二郎说身死意存，猴子最开始不是为的长生才去学的艺？这不完全颠倒了？把所有章节合到一起看，中间撕裂严重，nmb把这故事放到网文上能不能有编辑要啊？要是真想写阴谋论，那你就全篇都是，最后设计一个猴子带众妖王闹天宫啊或者其他结局，怎样都好；要写有感情戏的，像什么大话西游这那的，那你就写好一点；然后再根据事实说话发视频，老实说“根据斗战神以及大话西游改编” 那不管你什么剧情，我不会说一个字，因为你不是根据西游记改的，我也不是这俩的受众。现在搁这挂羊头卖狗肉恶心不少看你是根据原著改编的过来玩的算什么？你既然那么宣传了，那你货不对板我自然是要骂你。
然后关于杨奇等人的过往事迹，我不知全貌不做评价，最后还是用一首伟人的诗作结吧
七律·和郭沫若同志
毛泽东〔近现代〕
一从大地起风雷，便有精生白骨堆。
僧是愚氓犹可训，妖为鬼蜮必成灾。
金猴奋起千钧棒，玉宇澄清万里埃。
今日欢呼孙大圣，只缘妖雾又重来。</t>
  </si>
  <si>
    <t>画面美术场景；音乐音效配音；演出角色怪物设计；动作打击手感；Boss战斗节奏；难度挑战；地图路线；空气墙可达性；推荐价值判断；西游悟空符号；本国媒介路径；中国文化宗教语言审美；原典知识人物关系专名；角色期待意义偏移</t>
  </si>
  <si>
    <t>CN-P-120</t>
  </si>
  <si>
    <t>原来黑神话的黑是动词当我看到铁扇公主说自己是被逼喝下了子母河的水才生下了夜叉红孩儿，此前的几十个小时蓄力终于满格，像是被四星劈棍暴击砸在了头上，整个人彻彻底底地绷不住了。十年之前在网吧，有次打完一把rank后系统提示我该缴费了，于是我用剩下的这不到半小时随便打开了一个网游，一上来新手操作就是满级孙悟空在天庭溜溜达达，不知道什么原因，我对这个细节印象很深。总之出自相同作者之手的黑神话也保持了跟斗战神一样的开场风格。但一想到斗战神的宣传特色是以《悟空传》为背景蓝本，我大概也想明白了为什么黑神话跟我印象中的西游记，那个每年暑假只要打开电视机就躲不开逃不掉的西游记出入有点大，进而又想到了当年天天在我耳边重复“我要这天，再遮不住我眼”的中二病同学，最后又想到了那个苦恼气愤又动作滑稽，一句振聋发聩的“改编不是乱编”却不幸成为热门搞笑素材的六小龄童老师，我终于释怀地死了。我不知道该把这游戏推荐给谁？最大的剧情噱头扮演孙悟空重走西游路，别说外国友人，我一个中国人打到花果山也没理解主线剧情到底讲了个啥（当然可能在这篇差评发出去之后，我就自动不再是中国人了）。战斗方面，主要是打各种boss，很多boss的技能都是为了演出而演出，能称得上好的可能就晦月魔君、寅虎、龟背雪山上关猪八戒的亢金星君还有青背龙、虎先锋跟黄眉算半个，都是技能前摇明显存在立回拉扯空间，躲不开有血量惩罚，躲开就能抓住间隔空窗打一套combo进硬直的好设计。至于剩下的，超大的人物体型锁脚后只能空挥棍子，在天上飞个不停人物飞到镜头外只能凭感觉原地打滚，零帧起手的投技还带处决动画。再有就是隐身攒暴击，敲一下就跑的零交互战斗。而且游戏没有难度梯度差分，如果是为体验剧情而来但无动作游戏经验的玩家，我估计开场的大头就能卡好久。但设计差并不等于难度高，这游戏一半的boss我都是用劈棍看破初见杀的。但至于为什么46个小时还没有通关，因为过沙漠爬雪山钻蛛网，本就路痴又不肯查攻略的我有相当长的时间都在赛博鬼打墙。我怀疑雪山那里的寺庙都是根据取景地等比例复刻的，但你这么大的场景藏了很多东西，为什么不给张地图？尤其盘丝洞还是上下立体型结构。我甚至都不要活点地图，就给张根据探索区域解锁的地标地图就行。你知道一个搜图RPG玩家在你这里一直撞空气墙有多难受吗？很多一眼看过去就是会藏东西的地形但走过去只能原地踏步，第二章沙虫隐藏地图里那么大一片沙漠，我绕了整整一圈除了进门这边放了几个道具对面居然能什么都不放的，那你设计这么大的意义在哪里？大家打的都是同一个游戏，已经有很多人提到过的内容，我这里就不再重复了。虽然连我身边从来不打游戏的人都开始讨论黑猴子了，但既然大家都说它没有营销，那应该就是没有吧。我从来都是一个主张互相交流观点的人，在能说明白自己见解的前提下，我会尽可能包容你的攻击性。但同时我也非常不理解很多人“拉黑等于怂”的理论，在你已经开始立场先行亮明自己不可交流的态度，拿了一个无法证伪的不可触摸的，甚至你自己内心可能也不太认同的，单纯只是觉得它很好用的抽象理由来发动攻击，在出手的那一刻你的视角就已经判定自己赢了，接下来无论对方说什么都只会是无休止的自证循环，那不拉黑的理由在哪里？看到几个上蹿下跳的个位数等级小号真的很闹麻，但我毕竟已经是对于剥夺别人赛博母亲感到羞耻和无聊的年纪了，所以这波就先龟了。如果你真的很想证明自己来过，就送个小丑吧，如果你已消费的金额足够600点数的话。</t>
  </si>
  <si>
    <t>画面美术场景；演出角色怪物设计；动作打击手感；Boss战斗节奏；难度挑战；锁定视角；判定反馈；地图路线；空气墙可达性；探索隐藏支线；引导迷路单线；优化帧率；推荐价值判断；西游悟空符号；本国媒介路径；中国文化宗教语言审美；外部资料依赖；角色期待意义偏移；国产3A身份期待</t>
  </si>
  <si>
    <t>CN-P-121</t>
  </si>
  <si>
    <t>《黑神话：悟空》：我的意中人是一个盖世英雄，会脚踏七彩祥云来救我
　　2007年，还是一名WOWer的尤卡（冯骥）写下了一篇惊世之作《谁谋杀了我们的游戏》；
　　2024年，已经变身游戏科学掌门人的他或许可以再次写到：《谁拯救了我们的游戏》。
　欢迎关注 网易UU鉴赏家培养计划
　关注UU加速器VX公众号，回复“steam”，获得专属玩家群邀请。　
　　虽然自己来撰文是有些狂傲，但《黑神话：悟空》的确担得起任何赞誉，作为“我们村的第一个大学生”，国内市场真正意义上的第一款3A，不仅获得了举世瞩目的关注，在质量上也狠狠地提振了国人信心。最后的结果是在线爆棚，轻松打破《幻兽帕鲁》记录，下一步剑指《PUBG》，销量、口碑双爆棚，不出意外地成为今年最现象级的作品。
　　有关它也引起了很多争议，有男女对立的节奏，有华为类似的爱国论调，也有游戏性上的根本讨论。但如果让我们把时光的指针往回拨，来到四年前的盛夏，你会发现各大媒体的判词竟然分毫不差。
“所有的等待都是值得的。”——VGTIME
“属于电子游戏的奇迹。”——机核
“世不二出的至高艺术杰作。”——篝火营地
“PS5时代的完美序幕。”——游戏动力CN
“我打满分你们随意。”——UCG
“这是所有玩家最好的幸运。”——A9VG
“迄今为止最好的叙事导向型游戏。”——游民星空
PS：借用各大媒体对《最后生还者2》的评价，用到黑猴之上感觉还蛮适合，博君一笑耳。
基因里的东方神话：演出大胜利
　　其实在黑猴上映之前，玩家就已经被先发评测吊足了胃口——而这或许也是大伙对于媒体评测关注度最高的一次。在整合了多家评测信息以后，尤其是A9VG详细的优缺点介绍，我对于本作的表现也有了个大概估计：比较中规中矩的战斗，但绝对拉到顶级的演出和视效。事实证明，最后的成品表现确实也如此，但即使是最守旧的支持者，也会觉得最初的期待有些保守——它确实有种不一样的美，而这种美是蕴含着东方文化基因在里头的。
　　有多少人跟我一样是被潜藏在游戏各个角落里的民族音乐而欢欣鼓舞？以往我们听着那些澎湃激昂的古典，但这一次是国风音乐的魅力时刻。游戏的演出也花了许多心思，比如标题界面和序幕播片的无缝引导，接着又是紧张刺激的「二郎神战」作为新手引导，或许从一开始便已经奠定了宏大场面的基调，而游科之后的许多环节都不吝堆料，用极致的美工堆砌起一道东方文化的高墙。
做顶级3A，全方面的好
　　前文提到本作的画面、美术、演出等视效层面都做的相当出色，而游戏的动作系统也并没有拖太多后腿。虽然可能达不到业界顶尖水平，但说个业界一流还是没问题的，而游科也非常聪明，技术上做不到顶级，便在差异化上下功夫，就比如「回复」这个最为核心的机制之一，就衍生出了葫芦、酒、泡酒材料三种物件，组合成五花八门的回复品，可以说把回复这个基础机制玩出了花样。
　　另一方面，本作动作模组的派生不算多，但是被套上了许多“东方特色”，应该没有一名炎黄子孙会get不到这些小设计的内涵。简单说就是，变种不算多，不过套上的皮足够新鲜。而游戏的无地图设计则保证游戏有着扎实的沉浸感，让玩家陶醉于这个恢弘的神话世界之中。
也许有瑕疵，但力所能及做到完美
　　尽管，当然游戏里也不可能毫无瑕疵，比如空气墙问题就苦玩家久矣，但作为「国产3A处女作」（古剑3规格不够，严格意义上不算），玩家们对其还是有比较高的容忍度。至于外国玩家们比较担忧的剧情演绎问题，东方人做的讲述东方文化的游戏，让他们自己琢磨去吧！
　　不过呢，游戏科学这次绝对下了苦功夫，也许设计不算顶尖，但通过堆料让玩家感受到量大管饱——而这恰巧是国产单机一款3A最需要的一环。至于游戏的各个细节则更能让玩家感受到诚意，比如说「九九八十一难」的成就，又比如精心设计过的图鉴。
总结
　　总的来说，《黑神话：悟空》对得起四年的期待，在各大评论区已经化身为文学的秀场、情绪的狂欢，但相信你也能够理解——因为我们等这一天已经太久太久。</t>
  </si>
  <si>
    <t>画面美术场景；音乐音效配音；演出角色怪物设计；动作打击手感；Boss战斗节奏；难度挑战；地图路线；空气墙可达性；引导迷路单线；整体完成度；推荐价值判断；西游悟空符号；中国文化宗教语言审美；国产3A身份期待</t>
  </si>
  <si>
    <t>CN-P-122</t>
  </si>
  <si>
    <t>我还是喜欢那个已识乾坤大犹怜草木青的猴子。黑悟空把大圣描绘成了:眼见便喜，不择手段。耳听即怒，恣意妄为。目无尊长，自封偶像。鼻嗅痴爱，目空一切。狠心绝情，三打爱人。黑神话里，空空和精精到底戴了没有啊？一定要戴啊。剧情其实是把传统文化黑了个遍，我们的传统道德观念和哲学思想全被说成贪生怕死、好大喜功、佛口蛇心，主角尽做不是人干的事，却被当成正派宣传，背后的三观腐朽不堪。结果还因为宣发强调忠于原作，吃了正统文化改编的红利。就给人感觉很讽刺。想写黑深残，但是能力不够写不出来深度就成这样了。总结:这是一个小混混在黑涩会做了很多不仁不义的事当上高层后，想洗心革面退隐江湖但被组织杀了，他的后人回收遗产重走一遍他的路的故事。显然玩脱了，首先今何在的《悟空传》就是对厚黑学的肤浅解读，你可以图一乐当低质量很装的网文小说看看，但是不能把他当成是对名著《西游记》的解读。《斗战神》同样如此。别指望是上头以为的那种文化输出。反正我中华文化的 主流价值观 和 人文关怀 是一点没有。缅北西游游戏。后面的资本和开发团队，问题很大。</t>
  </si>
  <si>
    <t>整体完成度；西游悟空符号；中国文化宗教语言审美；角色期待意义偏移</t>
  </si>
  <si>
    <t>CN-P-123</t>
  </si>
  <si>
    <t>黑猴出世立标杆，必掀国产千尺浪，期迎佳作频出潮厚积薄发多年，从历年一次次的宣传片与采访下，时至今时，游戏科学终于将万众瞩目的黑神话端上来啦，被玩家视为近年来国内3A单机之光，这次引起了国内外的诸多反响，写文之时其销量已达千万，好评更是无需多言，黑神话问世，扬咱国文化，既实现了文化输出，更是给国内厂商一大方向，不仅是网游手游，单机亦能有出路，期待在本作带领下能出现游戏界百花齐放的样子!　欢迎关注 网易UU鉴赏家培养计划　关注UU加速器VX公众号，回复“steam”，获得专属玩家群邀请。　游戏内容及体验此猴子非彼猴子，本作中玩家的确是要以重走西游路的方式与妖魔鬼怪们来一番较量并感受基于原著西游记的魔改魅力，是的，本作并没有完全复刻剧情，毕竟主角虽为猴子但是以天命人身份前往各地寻找昔日猴王的六大根以完成使命，一探昔日真相，棍棒在手，神通不断，这便走上一遭，感受这西游魅力。章节式推进下玩家将在诸多区域开始探索，黑风山、小西天、盘丝洞、火焰山等经典之地那是一一安排，游科在这方面取景那是遍布中国各地，从古朴典雅的庙宇殿堂到巍峨壮观的山川河流，每一处都经过精心挑选与细致打磨，力求还原最真实的历史风貌与自然景观。貌似山西省更是占据了一半之多，这些承载着千年历史的古建筑，在游戏中被赋予了新的生命，以更加生动、鲜活的方式展现在玩家面前，更是游戏文化底蕴和艺术价值的集中体现，不得不说这一次文化输出拉满了，正如网友戏言般，国内正欢乐爽玩，国外正钻研名著，以期了解更多，有身临其境之感，毕竟其中除了那各式建筑之外还有诸多人物关系与典故，背景故事内容多多，没有科普那是一玩一个不吱声，仅做动作游戏体验了，殊不知其文化底蕴拉满!当然，游戏背景极限拉满，玩家体验更是不能少，作为天命之人玩家同大圣般手持棍棒一路前行不断探索。玩家手捏诸多神通，定身、禁言、替身、分身、化身等都不在话下，只要法力足够，在敌人面前那是一个招式多样且管饱，尤其在上述技能辅助下搭配本命武器棍棒的派生招式，劈棍、立棍、戳棍等在技能树解锁下打造独属于自己的战斗风格，站撸基本是不可能的，游戏虽非魂但也要时时刻刻把握战斗节奏，敌人招式多样风格不一，如那初见大头，嗜血虎先锋、多动亢金龙等等想必都会给玩家留下不小的印象，多数情况玩家没有掌握他们出招套路迂回牵扯，往往是一个失败再来，不过这也是本作一大乐趣，BOSS是精心设计的，数量相当之多，难度不一下会使得玩家成就感满满，就算失败也会想着前面都能过，这不算什么，多试试就逝世下也能过的，不得不说蓄力永远滴神。此外玩家还能有着变化之能，这可直接等于拥有第二条命了，增加输出空间下还有了更多的容错，可以说除了火眼金睛该领略的都领略到了，一个字爽!在体验之余，玩家如若发现进度没有同攻略般顺利如打败金池，幽魂消失，不妨使用UU加速器来一定程度上规避掉，它不仅提供了高效的网络加速服务，还贴心地内置了免费的云存档功能。这一功能对于玩家而言，无疑是一大福音，有效预防因各种原因导致的存档损坏或丢失，从而让游戏体验更加安心无忧。此外，游戏在地图设计上主打一个开放自由，虽说有大量空气墙一定程度上影响着玩家游戏体验，最好能有所改善，但行至一定区域的各种演出往往会令玩家着眼当下，主线之外还有大量支线，一幕幕都是值得品味，同时章与章间环环相扣，玩家在后拿到关键道具还可以回到前章进行互动，完成许多隐藏任务，把许多未知一一揭晓，正是由于内容多多藏于各处，且没有地图引导，玩家有时候会迷路，在所难免下使得本作要想完成全探索费一番功夫那是必须的，藏的东西太多啦。而值得一提的是本作有一个地方可以加以改进，即锻造功能上由于玩家是一把武器来回改造升级，曾经这个武器锻造过了，变回来就还要材料，毕竟当中材料都是安排上了，希望这一部分可以改改，让玩家避免该部分材料获取的时间，把更多精力花费在这重温西游路的过程中～结语整体而言，本作首发热度完全超乎了预期，玩家对其的热爱从各社区平台、销量媒体上都是一个字绝!其稳固树立了国产游戏的新标杆，深度融合了中国古典文化的精髓与现代游戏技术，展现了无与伦比的艺术魅力与深沉的文化底蕴，力在说明咱国产也能出大手笔佳作，必掀国产千尺浪，期待后续更多其他国产精品作品一一浮于玩家面前!</t>
  </si>
  <si>
    <t>画面美术场景；演出角色怪物设计；动作打击手感；Boss战斗节奏；难度挑战；地图路线；空气墙可达性；探索隐藏支线；引导迷路单线；整体完成度；推荐价值判断；西游悟空符号；中国文化宗教语言审美；原典知识人物关系专名；外部资料依赖；国产3A身份期待</t>
  </si>
  <si>
    <t>CN-N-124</t>
  </si>
  <si>
    <t>fs战斗设计还是保守了，游科的boss在极具想象力的同时各个浑身长刺，在杨戬这达到极限，我不明白为什么现在游戏都喜欢把架势条和回合制结合在一块，你们自己真的打过这玩意没，本来伤害就低的要死，加上格挡以后攻击几乎没法让Boss掉血。一阶段刚破架势就进二阶段，二阶段刚破架势就进三阶段，三阶段以后派生排列组合，没法猜什么时候停手，激光和飞刀都是没有预兆的瞬发。你们对难的理解还是肤浅，这样boss可以用各种手段通过，但是无法让人想要反复打，不是谁都有时间在这玩意上面耗几十个小时而只为了迎合你们慢动作攻击的设计。每个boss都和低能儿一样在抬手时整个身体减速，但是出手又和神经病一样抽帧咋呼，设计完全为了好看而丝毫不考虑战斗体验。作为第一作能有如此体量肯定是惊艳的，而这种差劲的战斗理解实在让我难以给好评</t>
  </si>
  <si>
    <t>动作打击手感；Boss战斗节奏；优化帧率；推荐价值判断；西游悟空符号</t>
  </si>
  <si>
    <t>CN-P-125</t>
  </si>
  <si>
    <t>西游就是这样，爱者不相认，相顾不能言。第四章剧情太好了。</t>
  </si>
  <si>
    <t>CN-P-126</t>
  </si>
  <si>
    <t>2024-08-26</t>
  </si>
  <si>
    <t>这个游戏的意义在我这里已经超越了什么国产3A大作，什么村里第一个大学生。双人成行，分手厨房什么的简直弱爆了。现在我家夫妻两个已经达成了前所未有的和谐与团结。我负责打BOSS，我老婆负责打小怪走剧情。BOSS打不过去，我俩就一起看攻略，讨论。实在刷不过去了，我媳妇就给我刷级，再让我打，在旁边鼓励我，提醒我CD和血量。甚至交公粮的时候也深得猴哥真传，戳棍耍的是有模有样，小蓝片发挥效力之余仍不忘讨论剧情和打法。现在睡前，醒后都是不是第一时间各自玩会手机，都是讨论打法和剧情。头一次感觉到了革命友谊的伟大！！！</t>
  </si>
  <si>
    <t>Boss战斗节奏；难度挑战；西游悟空符号；外部资料依赖；国产3A身份期待</t>
  </si>
  <si>
    <t>CN-P-127</t>
  </si>
  <si>
    <t>靠贬低其他作品来提高自己喜欢作品的做法是最下作的，那些污言秽语绝不会遮住真正的瑰宝所发出的光耀 越来越多的玩家开始讨论起游戏的剧情，BOSS的攻略，而不是一开始的无端的质疑和抹黑，就足以证明这是一款非常非常优秀的游戏，是一件独一无二的艺术品，属于中国玩家的，也是属于全世界游戏玩家的。之前的各种抹黑也无意中把斗战胜佛这个独属中国的英雄推向了全世界。让所有人见识到了中国的文化魅力，着实自豪了一把，之前美国的梦工厂做出 “功夫熊猫” 时，法国Sloclap工作室做出 "Sifu" ......时的种种不甘，在此化作了自豪的喜悦和感动的泪水。终于碰到不再是打着国产OO大旗，诓骗中国玩家的游戏公司，游戏科学（GAME SCIENCE）你们在我心中现在已是最棒的中国游戏公司，你们肯定能做出更多优秀的艺术品，你们无需再让什么媒体，什么游戏博主，什么所谓的社会名流来证明你们是优秀的，你们做出的这第一款游戏，已经深深的打动了很多的玩家！  (o゜▽゜)o☆发售的第一天没能玩到，过了两天才玩到，内心实在煎熬，于是一口气3天玩了40多小时，击败了寅虎，小金龙一众强敌，急急忙忙进入第六章，却还是卡在了步云鹿，想着周一开班前能打完见见游戏结局，怕是不能了，来日且战来日且战，这等臻品自当时要细细评鉴才好。第三章夜生白露的动画，第四章的 背景乐“戒网”，片尾曲 “勿听”  都实在惊艳，绝啊绝啊   o(TヘTo)</t>
  </si>
  <si>
    <t>演出角色怪物设计；Boss战斗节奏；推荐价值判断；本国媒介路径；外部资料依赖；国产3A身份期待</t>
  </si>
  <si>
    <t>CN-P-128</t>
  </si>
  <si>
    <t>地图好绕，不看攻略怕漏内容。看了攻略又没探索性，难受，从游戏性和童年情况的角度，无敌。从弘扬文化的角度，无敌</t>
  </si>
  <si>
    <t>地图路线；探索隐藏支线；童年记忆情怀；外部资料依赖</t>
  </si>
  <si>
    <t>CN-P-129</t>
  </si>
  <si>
    <t>steam没有打分哈，所以我点这个否的目的有两个，一个是不想有人借着高好评率去堵嘴，一个是刚好平均一下现在好评率和我心中打分的距离。一百分制我大概能给到这游戏85分，美术和音乐的氛围感很足，音效打击感战斗体验几乎无可挑剔，在我战斗爽的时候我甚至愿意给满分，但有几个缺点是不得不谈的。就我个人而言主要的扣分点还是在空气墙和剧情，空气墙比较反游戏经验，光就看起来能走的地方大概率是不能走的这一点，我花了好长时间才调整过来，后面的图也不指望能跳上一步能迈上的台阶了，只看有火的地方才走，剩下的查攻略。只能说这是能适应的，扣的分不多。下一个扣多一点的是剧情，第一扣在挂羊头卖狗肉，主创说的尊重原著、吸引我的悟空情怀，实际玩到手发现的委曲求全的悟空，这不是我想要的。只恨他完美藏在了不能退款的地方，让我抱有对大圣美好的憧憬看到了那个为了取经不择手段烧杀掳掠的黑悟空（影神图），我早知现实不如儿时神话，不然我为什么会在这虚拟的世界中寻求片刻的宁静？小扣。剧情的第二点在于不完整，它像六个单元剧，不像一整个故事。每一章作为单元剧都是有对应的起承转合情绪释放的，完全把原作摘开可以当成不错的剧情，但没有一个合理的贯穿始终的东西。或者说它的主要矛盾是一个经不起推敲的阴谋论，它从头到尾没能展开过它的庞大阴谋，他说有一个大阴谋，却从未解释过这个阴谋，只让人猜。所有设定上的不对味，佛的仙的猴哥的黑都能用这个大阴谋解释，却没有细节能支撑起这个大阴谋的运转逻辑，让人思来想去只觉得空洞。我觉得这游科完全是犯了持续运营的病，这种设定一个巨大秘密然后一步步揭开的游戏大多是长期运营，就像他们的前作斗战神一样可以一章一章补全设定。他没想过，单机游戏根本不会频繁更新剧情，没有长期注入新的内容，没有一点一滴的细节补充，就很容易造成现在这样的窘境，游戏中最核心的一个巨大的坑是长期维持空白的，你只能硬等dlc补充。说严重点可以说这268的故事体验是不完整的。你留下了一个巨大的悬念，却没有一个可以聚焦的点（一个解决了一定问题，又留下了新悬念的断章点），也没有长线运营游戏能一点一点放出的内容的办法，这样的阴谋很容易就变成一个空洞，完完全全的只有一个设定却不知道理的空洞，这是很出戏很没有真实感的。综上是我的几个集中扣分点，再次叠甲打不推荐只是因为现在好评率高于我心中的打分85分（百分制），而且有人拿着我打的好评不让我批评，那我确实得叛逆一下不惧他人眼光一下，游戏里不让我做的大圣，我今儿是非要做了，当然如果某日低于这个打分我也会改回推荐，我心中的那个悟空告诉我作对的事，做正义的事，觉得对方错了哪怕是天上的神仙，也要叫他们认错，而自己错也要勇于承认，勇于改正，方能有所进步。即便今天他遇到了个黑悟空，入了我的心中与他大战了几天几夜，我想他仍是打赢了。—————————————————————————分割线——————————————————————————二编，有了boss连战和地图，我觉得在我这绝对是一个九分接近完美的游戏了，但我要给一部分极端玩家差评，看个媒体颁奖没拿到就觉得天塌了到处去攻击别人，何必呢？玩游戏是为了什么？是为了抹杀跟你意见相左的人？是为了取得不被攻击的不败金身？还是为了那个看起来高高在上可以满足优越感的头衔？根本不是啊，从我们还是孩子的时候，游戏就从来不是这样的啊！现在玩游戏不就是在忙了一周后能安静的坐下来享受一个虚拟的世界，感受激动人心的博弈，感受虚构世界的人文关怀，修复那被日复一日的重复工作磨损的内心吗？四处拉踩征战，瞧不起其他游戏，只在赢的时候才承认公平，输了就说黑幕，自己气自己，这不是和我们最初玩游戏的初衷相悖吗？</t>
  </si>
  <si>
    <t>画面美术场景；音乐音效配音；动作打击手感；Boss战斗节奏；难度挑战；地图路线；空气墙可达性；探索隐藏支线；推荐价值判断；西游悟空符号；童年记忆情怀；中国文化宗教语言审美；外部资料依赖；角色期待意义偏移</t>
  </si>
  <si>
    <t>CN-P-130</t>
  </si>
  <si>
    <t>黑神话的剧情完全展现了游科主创的思想内涵：只有声色犬马才是真实的，只有情情爱爱才是高贵的，他们坚信所有人都会陷入其中，永远无法逃脱，孙悟空也是，看啊，他是多么卑微，多么渺小，正如他们一样。这些老文青将“天庭都是坏人“无辜牛魔一家家破人亡"红孩儿是私生子“悟空和牛魔王兄弟情深”等等阴谋论掺杂着他们满满的恶趣味，融在一起，融合出了一个杀妻证道，卖友求荣，活得别扭，死得可笑的孙悟空形象。他们拒绝相信世上有传经授道的伟大事业，对降妖伏魔的孙大圣形象更是嗤之以鼻。他们热衷于什么呢？不过是鸡汤，阴谋论和荤段子罢了。正如戴锦华对同为现象级作品的《八佰》的评语中所说的“当我们对人性的理解出现偏差时，我们对人性的理解就只能是鸡零狗碎，只能是趋利避害或者是贪生怕死，而不是舍身取义”，对人性的理解是如此，对神性的理解也是如此。主创沉醉于神仙强迫铁扇公主怀孕，二郎神和妖怪分尸悟空这些恶趣味“黑神话”情节带来他们的兴奋，却没有看到人设和情节的腐烂和不堪。一代又一代的文艺创作者书写提炼着他们那一代人的思想风貌和他们身处时代的精神内涵，而黑神话的创作团队用高超的技艺和精致的美术，将七零后八零后文艺人士内在的空乏无物完全展露开来，反响热烈，影响巨大。他们声势浩大，极其优异地完成了历史赋予他们那一代艺术家的使命，真是可喜可贺。一款耗费心血，颇有影响的游戏，却唯独在文化层面如此无趣，这也是这个时代的黑色幽默吧。"王之学华，皆是形骸之外，去之所以更远。"《世说新语》</t>
  </si>
  <si>
    <t>画面美术场景；西游悟空符号；童年记忆情怀；中国文化宗教语言审美；角色期待意义偏移</t>
  </si>
  <si>
    <t>CN-P-131</t>
  </si>
  <si>
    <t>非常好，希望以后有越来越多的国产大作出现。例如红楼梦金瓶梅等</t>
  </si>
  <si>
    <t>CN-N-132</t>
  </si>
  <si>
    <t>2024-08-27</t>
  </si>
  <si>
    <t>打完第六章能不开骂的也是神人了，第一章弱引导，场景雷同，到处都是空气墙，我甚至直接错过了广智，小问题，我忍了，去游民星空对着地图跑也没事。第二章逆天光影问题暴露，我也没意见，毕竟第二章的音乐拉大分，光影也不过无足轻重的小问题罢了，黄凤怪的刻画也非常饱满，大大提高了我对这个游戏后续章节的期待。第三章打亢金龙让之前的视角索敌问题更加明显，boss快速移动的时候你摄像头能不能同步上啊？慢这一拍是为了凸显你家boss的高速移动吗？而且但凡boss变个风你就丢索敌是啥意思？这我也忍了，你这来个洗脑恶堕剧情又是个啥啊？算了，“黑神话“嘛，有点暗黑剧情也正常。跑腿体验更是灾难，那么大个雷音寺你就给俩土地庙？中间还有海上僧这个重量级，0帧起手的后跳，再冻你一下，太帅了初音未来。第四章，大体型怪的空气墙问题越来越明显了，之前第三章亢金龙和妙音就有棍子一顿输出，全输出在空气上的情形，而这个问题在第四章及之后的章节越发明显，打二姐，框框一顿敲，终于攒够四段了，啪，打在空地上，本以为这是结束，没想到这是开始，打百目，那么大个怪，你索敌锁胸口？框框打空气，一顿输出有一半能打到身上就不错了，然后结界一开，耐力直接剩一点，翻滚还带延迟，人直接傻掉，再看攻略，行吧，打晦月去，没想到晦月也是个重量级，跟百目一样的索敌和空气墙问题，初见过，但打完只有痛苦，没有回味。第四章剧情有点怪，但也能接受，猪八戒确实好色，而他之前西游不顾蜘蛛精的情谊与最后拿根器而不是看蜘蛛精也首尾呼应，一个好色却把大师兄看的比美色更重要的形象跃然纸上，可以说这章的剧情其实反而是好的，就是老猪这渣男的形象多少有点绷不住。第五章，嚯，boss设计开始神金了，前四章也就沙二郎这一个勉强算得上双boss战，第五章倒好，一下给你整三个，怎么，被猪蛛的爱情打动了？双boss也就算了，输出窗口还少的可怜，一个在天上飞，两个老给你隐身，还有两个乌龟壳，生怕我能好好打。五行战车也是重量级，堵那小口，一夫当关万夫莫开，韧性还高的吓人，红孩儿居然是最正常的一个，受不了了。剧情也是幽默，铁扇公主喝子母河借腹生子就算了，这红孩儿的操作更是令人迷惑，哦，想报灭族之仇，不去打上界，先把自己父母砍了，顶级大孝子，因为不给你根器就直接开砍，把自家势力先爆了？太聪明了哥。那么问题来了，上界图图了夜叉，又是搞个红孩儿独苗，又是告诉他真相，图啥呢？你到时把剧情写写完整啊？感情就是为了黑深残而黑深残喽？第六章，史中之史，粪中之粪，一开始的王灵官就没崩住，飞来飞去，下来打你一套，让你掏俩棍，连一套连招都没打完又开始飞来飞去，演出直接大于一切，你知道自家猴子突进能力有多飞舞吗？整个第六章，我只有打螳螂的时候能攒出四段棍势，真幽默啊。鹿，青蛙，水木兽三坨顶级大分，鹿给你表演个寒冰buff魅力时刻，青蛙更是幽默，石肤状态只能三段棍势打破，但你轻击直接弹开攒不了棍势，重击蓄力更是蓄不了一点，这攻击欲望你让我蓄力？好不容易聚气蓄力完，刚挥棒，直接0帧后撤步让你打空气。水木兽也是幽默到家了，小水木兽你是发了什么颠，非要在打的地方放天兵天将？是觉得难度太低了吗？大水木兽那屁股后面那么大一块空气墙是你天上的母亲吗？而且那么庞大的身躯，结果灵活的像个人形怪，拱你一下就到处跑，拱的时候你还打不了它，因为有空气墙，顶级设计。最后的最后，就是你这我玩了这么多游戏，见到的最抽象的怪，集高机动性，高攻击连段，高攻击欲望，高韧性，高伤害，高血量，可回盾条，弹反，读指令，快慢刀于一身的终极粪怪，二郎神。这款游戏的动作核心就是攒棍势打重击，结果你告诉我你家终极boss直接躲重击？盾条弹反又是哪位高人出的主意？盾条不破韧性太高不能让你好好输出，盾条破了血量又快到下阶段了，然后你就只能看着你千辛万苦打爆的盾条下一秒立马满格，弹反更是重量级，我到现在都没摸清这玩意的机制，更像是随机弹反，好不容易躲完一套连招，刚打一棍子，立马被弹飞出去，然后就是要么眼睛开射，射中就是大半条命，要么就是闪现过了劈斧子，问题是你劈斧子俩套动作，一套立马劈，一套延迟劈，立马劈得立刻翻滚，而延迟劈得等一下才翻滚，而若是你翻滚过，延迟劈是大概率砍中你的，那么问题来了，你闪现过来的我怎么看你前摇？就靠赌呗？赌错了就被劈掉半管血，太帅了哥，太会设计了，一个最终boss，其机制是否定法术，否定重击，直接否定这游戏的动作核心，太有设计了，简直不像人类能够设计出来的怪。最后，则是我打下这个差评前，对国产3a的有关思考。我们为什么想要国产3a？为了更好玩的游戏？游戏终究是消遣，光为了好玩，玩国外3a也一样。那为了什么呢？说到底，是为了玩到符合自己文化审美，符合自己三观的游戏，更上升一点，是为了文化输出。黑神话出来前，大伙都是冲着什么来的？到底是冲着黑神话这个噱头来的，还是冲着大圣来的呢？而这个大圣，到底是那个降妖除魔，我命由我不由天的齐天大圣，还是这个和白骨精谈恋爱，背刺兄弟，被天庭当狗耍的小丑呢？一路走来，我见了黑熊精的故事，见了黄风怪的故事，见了黄眉老妖的故事，见了猪八戒的故事，见了牛魔王一家的故事，可我却没见到孙悟空的故事，只见到了天命人的故事，只见到了黑神话的故事。我想当齐天大圣，但如果代价是大圣成了一个小丑的话，那还是算了吧，我想让中国故事走向世界，但如果代价是连故事内涵和核心思想都变味的话，那还是算了吧。言尽于此，美术是好美术，但游戏，真的是好游戏吗？</t>
  </si>
  <si>
    <t>画面美术场景；音乐音效配音；演出角色怪物设计；动作打击手感；Boss战斗节奏；难度挑战；锁定视角；地图路线；空气墙可达性；探索隐藏支线；引导迷路单线；优化帧率；推荐价值判断；西游悟空符号；中国文化宗教语言审美；外部资料依赖；角色期待意义偏移；国产3A身份期待</t>
  </si>
  <si>
    <t>CN-P-133</t>
  </si>
  <si>
    <t>各位如果是14代CPU的使用者遇到著色器編譯閃退的問題，推薦去下載Intel的XTU來調整，把Performance Core Ratio 調低個2 (我這預設看是57，調成55)，再進遊戲就能順利編譯著色器並順利遊玩了，千萬別選跳過編譯，否則雖然能遊玩卻會有點卡頓，這是你英特爾14代CPU的鍋就不要怪遊戲優化了，看那股價就知道了，懂得都懂，其它各別著色器閃退問題可以透過系統管理員執行可以簡易排除。我現在真的看到著色器編譯，心理就犯PTSD順帶一提我是4090、4K、超取75、光追超高、其他都影視級，FPS落在70~80，個別一些場景會短暫掉到60，但整體來說非常順暢，沒有某"自稱公正且富有多樣性的媒體"說的那樣優化差到不能進行遊戲，不管你們TGA怎麼做政治操作，這遊戲在我心中已經是2024年年度遊戲了，今年有哪款遊戲能把虛幻五發揮成這個樣子的？要創新有創新、要文化有文化、要劇情有劇情，你還要什麼呢？黑人猴子？還是怪物都變成GAY？喔抱歉我不該假定他們的性別取向，對吧?(Doge)2024.08.27 經過120小時左右的遊玩，總算全成就了，上一個讓我這麼沉迷的遊戲，不外乎用手指頭也數得出來，艾爾登法環、巫師3、2077這幾個而已，我現在可以很肯定，儘管有些短版(地圖&amp;引導之類的問題加上工期過趕，最後幾章有點小扣分)，但美術、音樂、文化展現、戰鬥節奏、打擊感、劇情呈現、動畫以及影神圖圖鑑，我都相當滿意，無疑是今年2024的年度遊戲了，如果TGA真的要像2020年那樣迎合政治正確來噁心玩家，那我只能說，你這個號稱遊戲界奧斯卡的東西，公正性跟存在的必要性完全都沒有了，要不亞洲自己弄個年度遊戲吧，省得跟那些噁心的政治正確遊戲扯上關係，我玩遊戲是來享受的，不是來看故意噁心人的東西的，最後謝謝遊戲科學，我真的難以想像你們的項目管理到底有多強，能如期不跳票，六年一百三十人能順利做出這個遊戲，太讓人驚艷了!</t>
  </si>
  <si>
    <t>动作打击手感；优化帧率；Bug兼容硬件</t>
  </si>
  <si>
    <t>CN-P-134</t>
  </si>
  <si>
    <t xml:space="preserve"> 65.3 小时</t>
  </si>
  <si>
    <t>2024-08-28</t>
  </si>
  <si>
    <t>免费获取的产品
																 美璧微瑕难掩乍现金光 《黑神话：悟空》  《黑神话：悟空》是本世代国产游戏中的领军代表，其在游戏质量、技术表现等方面都能与一众老牌游戏厂商平起平坐，而游戏最抢眼的部分毫无疑问的是其优异的美术设计，不但将中国古代建筑、古代雕塑等文化遗产原原本本地展现了出来，还让那些神话中的妖魔鬼怪、神仙大佛与玩家展开交锋，通过游戏这个载体，借助西游这个题材，透过天命人的视角，将中国元素和中国美学展示给全世界的游戏玩家，一场传奇之旅的帷幕就此拉开。 奇光异景飞走兽 碧瓦青砖映嵯峨 《黑神话：悟空》对虚幻五引擎高清材质、场景编辑、物理模拟等方面强大功能的熟练运用，让游戏的画面表现稳居本世代游戏第一梯队。人物模型精致，人形角色分男女老幼、高矮胖瘦各有各的特点，似二郎神风度翩翩，仪容清俊，武艺高强；似黄眉怪腰圆体阔，双目圆睁，贪欲满溢；似二姐檀口樱唇，玉雪冰肌，面带愠怒；似弥勒佛双耳垂肩，坦胸露腹，未改童颜……人物皮肤上的污垢，皱纹扒出的深沟，沾染的血渍，须发生长形态等外貌细节都经过精心设计。非人形角色那更是体态各异，样貌各色。血口獠牙、皮毛犄角、尖刺甲壳、骨片鲶须、巨爪龙鳞真是应有尽有。游戏的衣着配饰各异，锦帛金甲、念珠法器、美玉头簪、粗布粗麻、铠甲纹饰、都呈现出各自材质的独特质感，因使用和穿戴而产生的磨损和旧化都非常自然。 本作在造景方面更是一绝。实景扫描生成的木雕、石像、泥塑、金佛，光是各种雕塑就让人目不暇接了，更不用说那些佛塔古寺和自然景观，简直就是截图党的福音。重山俊秀，松篁桧柏，飞瀑幕后盘龙洞，流水潺潺鸣琴音；黄沙飞石，枯树泥岩，播土扬尘怪风起，貂鼠执叉偷佛头；峻岭巍巍，孤崖陡峭，一袭风雪寒啸过，万方空余肃静白；毒虫鬼蜮，九曲弯折，荧荧微光不可辨，幽幽昏宅蛛网间；焦土焚火，岩浆腾腾，蟭蟟虫儿殿中藏，听得牛魔痛失声；青嶂水泽，雷光乍起，天兵天将尽折戟，灵器化作巨物生。游戏的演出部分采用了即时演算、动画、木偶戏三种方式，富有特色又不失美感，优秀的场景塑造、优美的风光奇景，外加可靠的优化手段，让玩家在游戏过程中实时享受视觉盛宴。 千钧铁棒降妖魔 十方变化破天兵 《黑神话：悟空》拥有一套较为完备的战斗系统，以劈棍、立棍、戳棍三套棍法为核心，辅以定身法、安身法、禁字法三种奇术，聚型散气、铜头铁臂两种身法，身外身法、救命毫毛两种毫毛，虎、狼、虫、石、龙、猿、马、猴、鼠、蛸十种变化。当然最不能忘记的还有棍花这套神技，既能格挡远程敌人的射击，又能快速积攒棍势。以上提到战斗方式，都有相应的技能树可供强化学习，玩家在游玩过程中可在土地庙里随时无痛洗点，非常方便。装备方面除了常规的武器披挂，还可携带能释放敌人技能的精魄、附带增益效果的珍玩和对BOSS有特殊针对性的法宝。根据剧情推进，我们还能收集到大圣的六个根器，进一步强化人物性能。游戏整体难度一般，对于我这种菜鸡选手，除了虎先锋、晦月魔君、二郎显圣真君这几个BOSS让我反复仰卧起坐，其他的BOSS大多都是一两次就过了，最多也不超过五次。多种攻击方式，多种技能搭配，实在是有太多方法、太多组合让你去克敌制胜，实在不行还可以狂喝药水、给葫芦换上不同的泡酒物，总能克敌制胜。这里不得不提一句，本作的BOSS是真的多，大的小的、隐藏的、非隐藏的加起来有几十个都不带重样儿的，操作有限的话，没有什么一招鲜吃遍天，不要一条道走到黑，根据敌人特性适当改变套路，才能保证不坐牢。但战斗并非完美，还有一点也要提。游戏没有格挡系统，想要防御反击，需要选取劈棍棍法，点出棍反技能，在敌人攻击到达前，使用轻攻击接重攻击、消耗一段棍势才能实现。这需要玩家对敌人招式有一定了解，能提前预判，提前攒好棍势，在需要时才不会处于被动状态。有相当一部分敌人会读指令，尤其是读蓄力重击这一招，一开始我并没有察觉到这点，因为我一周目不怎么用蓄力重击，直到我打二周目开始多用蓄力重击快速推进度，一些BOSS会在你打出蓄力重击的时候闪避，即便你用聚型散气隐身出招，他还是会躲，虽然不影响我二周目割草，但见多了连我这种乱拳打死老师傅的菜狗都能察觉，有点难绷。 浮生百面千般苦 何日天堑变通途 《黑神话：悟空》在场景搭建方面的艺术功力前文已有描述，实际游戏探索方面的体验暴露了其地图设计的短板，设计水平还有待提高。踏入游戏的第一时间，你会被那绿意盈盈美景吸引，被带有禅意的宁静感动，被高清的材质高级的画面折服，但不消片刻，你就会遇到和你相伴到通关几十小时的熟人——毫不掩饰的空气墙。说实话在游戏领域空气墙这个玩意儿到处都有，毕竟不是什么沙盒游戏、开放世界，有些地方过不去很正常，但要注意，一个有经验的制作组会想方设法遮掩这些空气墙，不论是利用障碍物、围栏、树丛、断崖还是直接用实体墙封死，都是为了向玩家传达一个信息：此路不通。让玩家少浪费时间乱转。《黑神话：悟空》过于在乎场景的“美”而牺牲了地图设计的合理性，在如此开阔的地图中，放置了如此之多的隐藏要素，不给地图、不给线索也就罢了，跑图还要你处处碰壁，这就让游戏的探索体验大打折扣。为什么会处处碰壁呢？首先，可通过和不可通过的地方从外观上看完全没有任何区别，甚至有些可攀爬的斜坡的倾斜角度比不能通过的还要大，这就造成了直觉和实际体验的矛盾。你想要找隐藏必定要不断试错，在一次又一次地撞到空气墙后，只有圣人才不会产生一点怨气。啊，对了，你要用空气墙你就用到底，别该有的时候没有，不该有的时候到处有。 就你浮屠塔特殊是吗？为了凸显你那“有层次、立体感”的设计，有事儿没事儿就放个阴比怪给哥们儿捅下深渊，太有设计了，太喜欢了！ 其次，素材重复利用和地标辨识度低，这个问题在第二章尤为严重，光一个木头棚子，我就见了不下十次，再加上相似的怪物设置，让我一度以为遇见了鬼打墙，刚刚杀了的怪，怎么又活了？刚刚走过的桥怎么又走了一遍？还有屎黄色的沙漠地形兜兜转转绕了四五个小时，视觉疲劳在所难免。最后，光影变化太要命了，黑的地方伸手不见五指，你得走到墙上才能看见墙，说的就是你盘丝洞！给孩子们点个灯吧，求求了。我很想欣赏你们盘丝洞的立体设计，但我真的看不清楚。等到了室外，阳光当场给你“Flashbang！”，哥们儿，我这看眼科的钱谁给我报一下啊？希望游戏科学在下一部游戏里能好好改进一下这些问题，少一些赶工痕迹，你那空空如也的第六章简直都把赶工写脸上了。另外，那惊为天人的随机掉落率还有植物刷新的时间限制我就不细说了，反正也不是所有人都打全成就。 诚所愿玉宇澄清 怎奈何一意难平 《黑神话：悟空》借用《西游记》的世界观，展现了因孙悟空离开天界的选择而引发的一系列变故，为使大圣重现人间，玩家将作为天命人重新踏上他走过的路，看那些我们曾经熟悉的角色，他们在大圣陨落之后，命运产生了什么样的变化？精彩的动画过场，颇具国风的木偶戏，动人的音乐歌声，让人一刻都舍不得从屏幕上移开目光，甚至每一个小妖都在神影录里有一段故事。多种叙事方法，叫人时刻保持新鲜感。可惜的是游戏剧情并不完整，你能明显感受到故事并不连贯，就和那空旷的花果山一样，一定有情节被砍了。我不在乎改编得多“离经叛道”，我也不在乎谁爱谁、谁恨谁，但故事完整性这种最基本的要求总得达到吧， 前面一句不提大圣感情线，后面来个爱人，前面各种暗示，大圣和四妹有点暧昧，做完支线，留了句“快走！”人直接没了，叫人炼成丹了，我只能“啊？”有铺垫的不给后续，没铺垫的平地惊雷，前言不搭后语，让人看得一头雾水。你要是没做完可以延期，你要是故意主线拆DLC，那你跟EA一桌。  六根寂灭神行散 五蕴皆空天命安 《黑神话：悟空》给国产游戏树立了新的标杆，顶尖的美术资源、丰厚的文化底蕴、爽快的战斗节奏都叫人眼前一亮，尽管称不上完美，但它是当之无愧的佳作，是国产单机的一针强心剂，希望游戏科学能汲取经验，继续为玩家带来更多高质量的游戏作品。</t>
  </si>
  <si>
    <t>画面美术场景；音乐音效配音；演出角色怪物设计；动作打击手感；Boss战斗节奏；难度挑战；锁定视角；地图路线；空气墙可达性；探索隐藏支线；优化帧率；整体完成度；西游悟空符号；本国媒介路径；中国文化宗教语言审美；原典知识人物关系专名；角色期待意义偏移；国产3A身份期待</t>
  </si>
  <si>
    <t>CN-P-135</t>
  </si>
  <si>
    <t>其实地图设计的问题我对此包容心是很强的，这种活对于初出茅庐的百人工作室而言是个难活，所以我并不会肆意对这方面批评，只能说改进点很多，如第三章的辨识度以及地图边缘的设计；后面第五章的地图缩减和怪物重复其实也不是过分减分项，毕竟人少时间紧迫；其中音乐和美术是符合审美让人享受的尤其是间幕里的动画，尤其是结尾二结局的音乐以及黄眉章节结束的动画。  但是啊，这个剧情我真的不敢恭维，这作品前面就像主创憋着，憋着我剧情不能像我过去作品斗战神一样，然后第五章开始憋不住一泻千里了，诚然，当年斗战神和悟空传的爆火是有时代背景的，毕竟那时候很多作品都喜欢搞阴谋论那一套，不过真的没有看完之后一地鸡毛，无人清扫的感觉吗？阴谋论的故事没有半分对美好的表达，对正派的倡导。他是一部略显黑暗的正剧，但是荒诞程度远超任意一部喜剧。甚至没有任何想表达的精神。回到整个故事之中，甚至看不懂悟空的抗争精神，你要怎么在全是精神病人的地方展现人物弧光呢？  你说你改编自西游记，但是又有云宫迅音的音乐以及其中一些设计都能看出86版西游的影子，说明你也无法切割86电视剧西游记的设计，所以就孙悟空塑造是否有点太扁平化了，太普通了些。  我想大家当初看宣传介绍里面的尊重原著改编，想必第一时间对孙悟空的认识都是共同之处的，无论在哪个时期都始终如一的赤子诚心，调皮机灵，不屈反抗，嫉恶如仇，积极向上，我觉得这恰恰是孙悟空的灵魂底色，也是至今我们对这个角色认可的原因，我觉得改编如上美的大闹天宫，结局虽有变化但精神内核始终抓住反抗甚至结局更为这个精神增光添彩，并不说黑神话主创对故事改编不行，但你看看你游戏名字里面的悟空，真的你不觉的在战残躯那边，那么美好的画面配合云宫迅音然后说的那些剧情，真的很让人反感吗，就最后结局那块就有种让人不平的压抑感，不是对孙悟空的结局，而是主创对孙悟空的看法。  之前贴吧老哥有句话说得好，紧箍咒束缚得了猴哥的身，束缚不了猴哥的心。不论是在电视剧还是原著，每次唐僧念紧箍咒都是唐僧不占理，猴哥打白骨精杀强盗，嫉恶如仇，从来没有因为怕紧箍咒而不干的。即使到了西天，还当面嘲讽如来贪财。就这样一个不畏强权的猴哥，一个紧箍咒怎么能束缚他呢。黑神话主线剧情在格局上就低了，“紧箍咒再念，没改变老孙的本色”，这是央视动漫西游记主题曲的原词。  不过我认为这依旧是可以补救的，但结尾八戒的明否暗肯是否也说明了制作组的态度，唉，即使厚黑学故事也要讲完整才好，剧情补充只能补漏但却无法拔高，客观来说黑神话悟空作为游戏在画面剧情关卡方面是合格甚至超出我预期的，但是如果配合剧情我想是有缺陷的。我也看过些言论，说这个作品对于中国3a游戏行业是正向的，但对于中国传统文化是负面的，我想这个言论太过武断，悲观了放大了剧情的不好处，我想只有有一人愿意因为这游戏去了解西游记，去品鉴名著，都会被故事中的悟空所吸引，无论是齐天大圣还是孙行者还是斗战胜佛，悟空的路都在那，重走西游只要有心灵山就在脚下。  愿大家都能通过这个游戏走出自己的西游路。</t>
  </si>
  <si>
    <t>画面美术场景；音乐音效配音；演出角色怪物设计；地图路线；西游悟空符号；本国媒介路径；中国文化宗教语言审美；原典知识人物关系专名；角色期待意义偏移；国产3A身份期待</t>
  </si>
  <si>
    <t>CN-P-136</t>
  </si>
  <si>
    <t>37小时不戴金箍结局一周目感言：玩的时候觉得虽然地图、引导、打击感、后两张制作上有瑕疵，但是不妨碍它仍然是一款好的游戏。真正通关看完cg后才体会到人文关怀，此刻它不仅是一款游戏，更是一种文化传承。1961年，一部动画电影《大闹天宫》，让鸟山明找到灵感，开启龙珠。1986年，一部电视剧版《西游记》，夺得重播率第一，再无对手。1995年，一部电影《大话西游》，至今被誉为经典。1999年，一部动画片《西游记》，栩栩生辉，堪称童年记忆。2015年，一部动画电影《大圣归来》，让国人再次感动，敲响动画电影的回归钟声。2020年，一支游戏预告片《黑神话•悟空》，在国内外引起轩然大波，三a将来。2024年，一个游戏《黑神话•悟空》，终将打破国内无三a的魔咒。未来，或许还有遇到困境之时。就算打破困境的，不再是那只猴子，也一定是我们中华儿女的勇气热爱，以及如大圣一般，坚如磐石屹立不倒的精神。</t>
  </si>
  <si>
    <t>演出角色怪物设计；动作打击手感；地图路线；引导迷路单线；西游悟空符号；童年记忆情怀；本国媒介路径</t>
  </si>
  <si>
    <t>CN-P-137</t>
  </si>
  <si>
    <t>最近这两天黑神话悟空的口碑在贴吧和b站已经“褒贬不一”了，贴吧b站一堆云玩家最近狂喷这款游戏的剧情，这说明他们实在是找不到什么能黑的地方了，而剧情又是最影响他们云游戏体验的地方，所以他们给这款游戏判了死刑。在我看来，游戏剧情确实虎头蛇尾，有瑕疵，但整体上看这依然是一款佳作，268的售价绝对物超所值。不存在完美的游戏，这两年的大满贯游戏老头环和博德之门3都存在后期赶工的问题。但是，这些游戏之所以能成为游戏史上的里程碑，不在于它们有多么完美，而在于它们足够特别，它们的长板足够长，能让玩家忍受游戏的缺点后依然不吝赞美。黑神话悟空也是如此，作为游戏科学的第一款高规格游戏，它确实有很多问题，但它的长板足够长，优点足够强势，顶级的美术和画面，顶级的音乐，游戏中的变身系统更是天才般的设计，支撑起略显单薄的战斗体验。这些优点就注定它是一款佳作。无脑黑的人再怎么否定这款游戏，也改变不了事实——4天卖出1000万份的商业成绩和Steam好评如潮的玩家口碑（至少目前还是好评如潮）。毕竟，我们玩家只用好好体验游戏就行了，而云玩家要考虑的就多了。“踏上取经路，比抵达灵山更重要。”</t>
  </si>
  <si>
    <t>画面美术场景；音乐音效配音；Boss战斗节奏；西游悟空符号</t>
  </si>
  <si>
    <t>CN-P-138</t>
  </si>
  <si>
    <t>2024-08-29</t>
  </si>
  <si>
    <t>身穿金甲亮堂堂，头戴金冠光映映。
手举金箍棒一根，足踏云鞋皆相称。
一双怪眼似明星，两耳过肩查又硬。
挺挺身才变化多，声音响亮如钟磬。
尖嘴咨牙弼马温，心高要做齐天圣。
【这条天命之路，困难重重，你真的准备好了吗？】
我，曾经是一名守护神子的忍者。为了神子而付出一切。
“犹豫就会败北，那就是战斗啊。”
也曾经是一名刺客，为了自由而作出努力。
“万物皆虚，万事皆允。行于黑暗，服侍光明。”
后来，我成为了游荡在郊外的猎魔人。
“来一局昆特牌吗？”“好啊，这里没人是我的对手。”
最后，我试图在希腊神话里，寻找旅途。
“把我的儿子还回来，否则你将会见识到我以前是个什么样的神。”
很长时间以来，电子游戏似乎都难登大雅之堂。
“我们是一群盗贼，游荡在这个不需要我们的世界上。”
庆幸的是，第九艺术在这个时代大放异彩，而我们也有机会大展宏图。
“你是愿意当个无名之辈，一辈子安生，插着尿管死在床上，还是想要名留青史呢？”
在游戏的世界里，我们能感受到，有些内容并不只是数据，会让我们感到温暖。
“协议三：保护铁驭。”
在前进的路上，总会看到一些曾经的冒险者，因为一些原因遗憾退出。
“我以前和你一样也是个冒险家，直到我膝盖中了一箭。”
有的时候，也希望自己能够拯救世界，并且守护这个世界。
“我受到了召唤，我必须回应，一如既往。”
而我们，也顺利登上了最神圣的地方。
“即使引导已经破碎，也请你登上艾尔登之王。”
【这就是我的故事，希望我有资格站在这里，直面天命。】
“既见未来，为何不拜？”</t>
  </si>
  <si>
    <t>音乐音效配音；动作打击手感；Boss战斗节奏；引导迷路单线；西游悟空符号</t>
  </si>
  <si>
    <t>CN-P-139</t>
  </si>
  <si>
    <t>2024-08-30</t>
  </si>
  <si>
    <t>先亮游戏深度，1周目玩了65小时，影神图攒齐了，除了需要刷的和特殊方法获得的（下毒手）其他全获得。目前3周目，全成就，花了很久的时间挨个看影神图。你问为什么看影神图？因为我真的想找个第三结局，我怕真实的故事藏在影神图里。这游戏剪去后两章剧情多好啊，第二章打完，我还和朋友吹这游戏呢，吹的他们都买了。我1周目打完，他们才刚到第二章。看他们兴致勃勃，我已经不敢说话了。抛开剧情章节体验排行2&gt;6&gt;1&gt;3&gt;5&gt;4。剧情章节体验排行2&gt;1&gt;3&gt;4&gt;&gt;5&gt;6。有点bug有点优化问题，我理解。虚幻5的难度放在那，还是第一款单机，谁拿这个喷我和谁急；地图引导弱我也能接受，为美术让步嘛，而且我王城下水道都不怎么迷路的；地图薛定谔的空气墙也是为美术让步，我就喜欢全收集，本来也要多走两步，忍忍就过去了；大型怪物碰撞箱设计问题导致攻击不到，我有点难受，但也可以理解为处女作经验不足，而且又不是过不去对吧； 索敌视野做的太烂，镜头调度太烂，导致怪物飞出屏外，让我有些破防，点名杨戬，普攻四段，第四段是投技。我贴身翻滚躲避，人家第三段没看清就飞出屏外了，第四段都不知哪出一枪给我抓住了，这样被抓了好多好多次，导致我后来不敢绕身躲，只能往后躲。一些会飞的怪物空中停滞也看不到，脖子得了颈椎病一样。而且三阶段杨戬投枪冲刺后，变招两种，一种回头冲下来加扫半圈狗咬一口，一种直接开眼电你。你那个镜头慢悠悠的跟过去，冲下来那招还好，前摇长。如果是开眼，等镜头刚看到杨戬就射你了，根本反应不过来，必被打。更不要说，大型boss的奇奇怪怪的镜头调度，俩人谁也没跳没飞，镜头自己甩上了。 我玩过的游戏也不多，对比鬼泣只狼法环，他们的敌人几乎一直都在屏幕中轴线附近，占全屏百分之50左右的区域。也就飞天，高看低，才会达到屏幕上下的边缘。他们的冲锋也是不到0.5秒就索敌镜头调度完成。黑神话这种就是观众看着很有张力，但是玩家玩着这点是真难受。即使有点破防，以上问题加一起，我也能给你打个9分，情怀加分的话，我都能打10分别人说我不客观，我都可以说老子乐意支持猴哥。但是你那个宣传和剧情是怎么个事？你要是参考悟空传，你就大大方方的说世界观是悟空传。我看不懂的地方大不了我就去找悟空传看。你还“改编自公元1592年中国神魔小说《西游记》”，我照着西游记看你留白的部分，我能看懂个啥？而且问题是你这剧情是真自创的改编么？你最爱的今何在老师他不会心痛么？制作斗战神知道请人来当指导，这次不想花钱是么？他本人来，我相信这剧情都不会像这样。你这剧情真自以为写的好么？你讲明白什么东西了？为什么都在找第三结局，不就是因为对你这剧情不满意么？这剧情一言蔽之，孙悟空自杀脱下金箍。你自己觉得这故事讲完了么？你自己觉得这故事讲明白了么？你自己觉得这故事是个好故事么？故事没讲完一个个都说等dlc，我nm单机看个结局还需要额外花钱是么？好！我花钱看，你半年内能做出来dlc么？dlc一般都扩展支线吧，不讲主线，那你下一作，一年能拿出来么？不能那你为什么要这么写？就喜欢玩家抓耳挠腮？打完杨戬，说你的路刚刚开始，怎么的，花这么多年做了个序章？故事讲不明白观音指挥黑熊精干坏事图什么？太上老君搞一出借腹生子，然后夜叉就这么死了，不管了？孙悟空自行兵解了，就图个脱金箍，然后没了？天上的事，你主线没机会说，你影神图还藏着掖着？大部分小妖写的都是类似聊斋，头目妖王人物会涉及一些世界观，但加一起也没解释明白天庭灵山斗什么图什么，这方面我看1592年西游记能看出来么？剧情只能看出来，满天坏蛋，观音坏，灵吉坏，太上老君坏，天庭灵山坏，妖怪都是吃人的，自诩吃人是天性也都不是啥好玩意，孙悟空自杀脱下金箍，帮主角这边的，猪八戒，弥勒，66村，二郎神，菩提祖师。猪八戒和猴哥关系好，听老猴子的试试复活猴哥。弥勒看不出到底想干嘛。菩提祖师帮自己徒弟一把。66村和梅山怪都是二郎神安排的。听二郎神意思，这是二郎神和孙悟空合伙演的戏。那序章那句“你他娘的杀我猴子猴孙”颇有一种“为什么那一天妈妈会被巨人吃掉呢”的荒诞感。人物塑造糟糕主要角色其实就猪八戒，二郎神，孙悟空。神佛妖怪人设崩一点也没所谓的。但你也就二郎神戏份少人物刻画浅，塑造的还行，其他两人都有问题。整个第四章讲的就是猪八戒的情债，猪八戒强搞了个痴情人设，却又没给塑造。第四章的结尾动画你是不是还觉得怪感人呢？猪八戒追嫦娥追高翠兰追蜘蛛精，这特么见色起意哪点好了？俩人一顿闪图，不知道的还以为你俩经历了多么可歌可颂的生离死别呢，实际呢？取经路上破戒给人家留了种，杀了人家姊妹六个只放走了紫蛛儿，孩子还不敢认。听紫蛛儿意思你从没回去过。这叫什么感情戏？咱就把天庭再说的小气一点，天庭不图任何东西，专门恶心你这取经人，要用你的骨肉拿捏你，你怕孩子被你所害，不敢相认。那有没有可能，连洞中的猪妖都知道她的身世？即使全世界只有这猪妖知道，这段感情也依然逃脱不了一夜情定终身的荒诞。可真是“初夏的雨点，落得太敷衍”。孙悟空，设计的太空了，开篇就死了，只能通过章节动画和影神图了解。那么，看看你塑造了个怎样的大圣。主线是孙悟空杨戬设计摘下金箍。摘下金箍为了什么呢？没说明白。单看这一行径就是为了自己的自由，格局太小了吧？你大闹天宫，西天取经，你看遍人间，然后现在整这么大动静说只为了个人自由 ？有人说是为了天下百姓，那你影神图里就只说了一句我们吃百姓少吃就没了？百姓到底受什么苦了？你摘金箍是为了给老百姓种地么？摘了箍是你的终极目的么，应该不是吧，那tmd为！什！么！不！提！一！嘴！劳资等你金箍棒指天，“俺老孙又回来了”“诸天神佛不仁不义，我便反了这天”。我磕头求你了，你说一句行么？你这比寸止都过份，相当于马上快到了一刀阉了。我tm想看的是猴哥，我一个哑巴天命人有鸡毛用啊，唐僧听我的么？八戒不还是叫我侄子？找谁不都是看大圣生前的脸面？我能带领花果山啊？杨戬能和我讨论计谋啊？再说第五章动画，你孙悟空和当年与你一起打上天庭的兄弟就这么说话啊？火焰山都第40多难了，你就跟个地痞流氓似的？有人说这是做戏给天庭看，告诉老牛别反抗。所以一定要用地痞流氓的方式演戏么，我不懂怎么想的。你做戏不站直了大声说？你离那么近“宝扇我也要定了”？再说了，你就和牛魔王普通聊聊天能怎么的？天兵能因为这个干老牛？你和他打一架就不干老牛了？老牛心里苦啊，之前你说打上天庭，好好好一起上了，现在又说找个师父修正果。还搅合的一家不得安宁，弟弟揍了，儿子送了，宝扇要抢，连小妾都打死了。气急暴起，还被砍头了。后面听你的，跟了个佛教师父，师父派我来打你。你还给我来一句站队一直站不对。那行，再听你的，你的东西，我只收着。然后呢？儿子为了这东西差点把老牛打死，最后儿子还被猴打死了。都说是天庭干的，可你所言老牛次次听啊。最后就是争议最大的三次打碎过去的爱人白骨精，怎么的这恋爱就非谈不可么？好！谈就谈了，怎么还三次打碎啊。好！打就打了，成佛了怎么还念念不忘啊。好！念就念了，那你就回花果山猫着了？我真看不懂你加这段到底什么意义。没去取经之前，谈就谈了，勉强接受。那你这杀妻证道可真太恶心了。我琢磨那白骨精定然还是想吃唐僧，孙悟空才全然不念旧情。从此六根清净一心向佛。结果你还说他放不下，那显得前面的杀妻证道更恶心了！这下纯小人了，这都不是取经修心了，纯用一路妖怪换取果位。第六章真结局动画整个白骨精出来，还怕我忘了，我真tm谢谢你啊。这么一想，你这动画私货真tm多啊。我本是想如法环那般观望一个月的，19号新华社采访，官方站台，立马预购了。再看到有些视频评论区高赞：虽然我传过火,虽然我好打铁,虽然我当过艾尔登之王,虽然我可以驰骋在美国西部,虽然我单枪匹马杀穿浣熊镇,但是,但是我还是想做一次齐天大圣! 一从大地起风雷，便有精生白骨堆。僧是愚氓犹可训，妖为鬼蜮必成灾。金猴奋起千钧棒，玉宇澄清万里埃。今日欢呼孙大圣，只缘妖雾又重来。当时甚是欢喜，如今看来，顿觉讽刺。当时想的是，文宣做出去了，中国玩家都玩的懂，去外网给他们普及补充妖怪故事，多好啊。现在想的是，可千万别把黑神话就当作西游记了，我们喜爱的孙大圣不是这样的。讲好中国故事，讲好中国故事，讲好中国故事。我真的以为很简单，是个中国人做的就一定能传达出中国的价值观，是我唐突了。第一次参与评价，看了三天影神图，扣字扣了两天。暂且言尽于此，心累。</t>
  </si>
  <si>
    <t>画面美术场景；演出角色怪物设计；动作打击手感；Boss战斗节奏；难度挑战；锁定视角；判定反馈；地图路线；空气墙可达性；探索隐藏支线；引导迷路单线；优化帧率；Bug兼容硬件；推荐价值判断；西游悟空符号；童年记忆情怀；本国媒介路径；中国文化宗教语言审美；原典知识人物关系专名；角色期待意义偏移；国产3A身份期待</t>
  </si>
  <si>
    <t>CN-P-140</t>
  </si>
  <si>
    <t>44小时通关，目前做全收集查漏补缺
先说结论，我的测评批评较多，MC综评81没问题，10分制我打8分。
本身作为国内第一款真正的3A单机大作，再加上西游记题材，虚幻5制作，热度直接爆炸，最重大的意义在于打破了中国20多年没有单机3A大作的窘境，就跟国足能进世界杯一样可喜可贺.通关后我有考虑一个问题，本作的优点是否能盖住缺点，我觉得没有，起码有一些缺点我觉得是要指出来批评的，对于国产来说MC81分已经开了一个好头，国内有情怀加分的话80-90分没问题，90分以上还不够。
加分项
+画质顶尖水准，国际3A大作水平
+音乐音效，不想列这一项，但是我听到了熟悉的BGM。
+顶级的美术风格，很多场景都很漂亮，题材特殊，在游戏市场基本是独树一帜
+探索奖励丰富，值得玩家地毯式搜索
+每一章结束后的动画制作精良，一些支线故事有趣
以下4个不是绝对的减分项，但也不是加分项，我比较直，只论一个普通玩家体验到的。
-地图设计
-战斗系统
-BOSS战设计
-剧情
1.地图设计：我想问问游科哪来的底气不做地图？这几年魂like兴起你也跟风是吧，而且在说了不是魂like的情况下，凭什么不做？你地图设计是跟黑魂一桌的吗？是牛魔，是跟仁王一桌的。大地图或者小地图但凡做了一个，网上那些喷地图烂的能改嘴一半，这是提前能预知的小问题。第3章第6章这种构思地图哪来的勇气不做小地图的？浮屠界诠释了该有空气墙的地方没有，不该有的都给你安排，还有那个掉上限的怪，我回到了伊鲁席尔监狱？游科你怎么在玩别人玩剩下的构思设计啊？前面说了游戏探索奖励丰富，但是大量的空气墙，无意义的岔路很影响玩家体验，不是绕回来就是其他路的终点。第6章的地图真是集百家之粪，丢给你一章大地图BOSS布置随意，这种设计水平你是刚打完帕鲁然后灵光一现吗？与前几章对比产生极强的割裂感，毫无探索欲望。
各章节地图设计水平参差不齐，第一章能给10分的情况下，第五章6分，第六章0分滚粗
空气墙的问题在于规律混乱，第二章打虎伥的时候会被他推下去，没有空气墙，但是打完后空气墙又产生了，求求统一设置好吧，这还只是其中一个缩影。
2.战斗系统：
+先夸一下棍的动作模组，舞棍流畅有力，重棍蓄力每次打到敌人身上都极具力量感。而法术，变身，精魄还原了吗喽的神通又增加了游戏乐趣，很精妙的设计。
+可以随便洗点，让玩家更方便寻找合适的流派应对不同BOSS。
-预输入做得很差，或者根本没有，体现在喝药老是没喝成，到了后期我都需要确认连按，按了1次右键蓄力，其实没有按成；还有戳棍中的搅棍，用着极其难受，干脆放弃了戳棍。
-锁定功能，纯纯答辩，可能还不完善。黑猴是软锁，遇到速度BOSS会出现视角跟不上BOSS从而看不清或者晚看到出招，大型BOSS会被挡视野，部分BOSS还有丢锁定的机制，下一秒跳到你看不到的地方放冷箭，初见大多数都会被恶心到，如果用手柄玩又是必锁的，不锁玩一会大拇指极其难受。喷归喷，游科有一点是要夸的，黑猴大型BOSS很多，而大型BOSS想做好很难，这种魄力值得尊敬。
-敌人多数韧性高，吗喽纯纯的低韧性飞舞，蓄力重棍容易被打断，本身硬直也大。还有就是GP收益太低了，面对灵活BOSS还会出现打不到的情况，作为动作游戏里收益最高最有成就感的系统（防止抬杠，黑猴应该是ARPG）很多时候在使出GP后以为进入自己的回合可以输出了，BOSS直接反击一套打过来，挫败感严重。
-完美闪避，完美定身法收益一般，特别是完美闪避，后期大量的BOSS有疯狗一样的攻击欲望，欲望低的要么就有大范围冲击波，这时候完美闪避加的那点减伤太抠门了，很多时候都不愿意用完美闪避，干脆直接跑。
-击中反馈不错，但受击反馈奇差无比，有时候被打到了是不知道的，需要看左下角的血条，这点被火焰，毒气，寒冰碰到上后极其明显，遇到特效强，演出夸张的BOSS，不看血条基本没感觉到掉血。
-没有真正意义的远程手段，喜欢第二章的弓箭手吗？喜欢到处乱飞的BOSS吗？遇到这些吗喽就是纯纯的小丑，给一点远程神通可以吧？
-动作系统深度不够，黑猴的主要战斗核心在于棍势槽，轻攻击重复，完全可以三种棍势做出三套轻攻击，棍势转换也是可以大做文章的，法术辅助给游戏带来的延展性有限，流程太长，到了后期战斗单调。只狼也攻击重复但是妙在战斗交互上，见招拆招。仁王有一套独立且顶级的战斗系统，能支撑玩家上百小时的钻研。这一点不是批评，动作系统想做好非常困难，对于没有经验的厂商来说，不能要求他动作系统能跟上一流水准。
3。BOSS战设计：
先叠甲，对BOSS战的评价极其主观，比如很多人说青背龙，亢金龙粪，我一次就过了，根本没来得及看他哪里粪，小黄龙，寅虎，幽魂这种贴吧，论坛都觉得难的，我几次过了，没感觉难。同理，王灵官这个出生我打了挺久，我对他了如指掌，这货就是构思设计，而一次过的玩家会觉得还好。
+BOSS形象刻画优秀，部分BOSS设计出色，有业界一流水准，如大圣残躯，虎先锋，小黄龙。
+BOSS数量众多，隐藏BOSS，支线BOSS的奖励丰富，促进玩家挑战性。
+BOSS演出无敌，夜叉王，黄眉，大圣残躯等都极具史诗感。
-出生百目魔君，就这一个比得上整个黄金树幽影里的BOSS，两腿之间有空气墙，气愤之处在于不是自身失误，而且系统设计上，这种负反馈一个能顶十个，单单一个我就要拉出来骂。
-部分BOSS技能动画“硬控”大圣残躯设计得很好，但是有一个抢酒的动画，为了体现大圣的形象作这个动画没问题，但为什么不能跳过？动画长达20多秒，你干脆把手柄抢走20多秒再还给我得了，还有黄眉第三阶段抓取动画太长且不能跳过，本人极度不喜欢这种设计。
-BOSS战同质化严重，越到后期越明显，四足BOSS，大部分打一套必撤步，绕后必后踢，时不时大范围冲击。同时本作充斥着大量0帧出手,快慢刀,逆天投技，多段攻击判定的BOSS。该点不算缺点，游科敢做这么多BOSS就是有魄力，有能力，但我很多打得不爽。
-有点重视BOSS演出，轻视交互。喜欢魔将妙音，晦月魔君，石青蛙，王灵官这些BOSS吗？不是让你跑马拉松就是刮痧，亦或是天上乱飞让你肏不到他。粪怪跟好怪的区别就在于玩家被粪怪打死是觉得机制答辩（魔将妙音），被好怪击败后是感觉自己菜（比如虎先锋）王灵官，魔将妙音，百目魔君可以竞争黑吗喽最佳BOSS。
4.剧情
如果本作剧情是在《西游记》之后的改编，我给0分。如果是按照《悟空传》《斗战神》的改编，那无所谓了。
序章直接啪啪打我脸，这演出和台词也太次了，“蠢狗，退下”“这里除了我，没人配与他单挑”“若是我输了，他们照样铲平花果山”这台词有一股混混约架的味道，有种上小学看玄幻文的中二感。4年前首支预告里大闹天宫片段让我极其兴奋，而打完序章演出有一种落差感。有人要说，这也能喷？只能说如果是以普通玩家的方式进入游戏的话，那黑神话悟空没有任何问题，甚至超出预期。但如果是从2020年8月20日看到预告开始就开始兴奋，对于期待值拉满的玩家来说，剧情没有达到及格这个级别。
以下让我想打低分的因素，评测说完了，正常玩家可不看。
十分制前面我说了给八分，按理来说是好评和4颗星，差评是本人原因
1.发售前直接贷款年度，这种现象最早可以追溯到去年，理性说几句又被说跪久了站不起来。
2.我就说了一句黑猴这个土地庙和仁王的神龛很像，并且精魄就是仁王的妖怪技，结果直接被骂到开除国籍，说文化不自信导致的，我错就错在不应该说黑神话不好，猴警猿批强。
3。IGN评分出来后直接复制粘贴去战神评论区刷差评，这种行为极度败坏路人缘，现在大顺风了依然有刷差评的，喜欢黑神话可以，有必要用这种方式去踩其他游戏？
4.有人不在乎老外评价，但用英文评论给黑神话刷好评，不是兄弟，有必要吗？还有装日本人用日文发好评的国人，人人讨厌伏拉夫，又希望有更多的伏拉夫。
5.碰瓷年度游戏，战神区躺枪，老头环只狼躺枪，MC能上90分的游戏需要很多媒体去打高分，黑猴PC目前81分还是很稳定的，没上90是不是不会欣赏呢？仁王1PC版暴力移植，本身缺点也多PC版84分，只狼PC版88分，忍龙2XBOX360版也是81分（无PC版），黑猴81分很低吗？难道是想表达比忍龙2高出一个档次？黑猴吧之前还有人发帖说什么四周目黑猴，体验完爆艾尔登法环，一千多条回复，10个人居然有8个人赞同这个观点，吧主牢洛都站出来发声说别恶意拉踩其他游戏。
6.对自己不利言论的马上说是反串，水军，跟风黑，黑猴游玩时长比他少就说才玩几个小时就评论上了？玩得多，怎么全成就都没有？彩笔一个。以上两种不符合触发第三条，玩过几个游戏啊你bb啥？如果第三条不满足，就会触发第四条50W标签，总之跟猿批对线必败。我的评价是义务教育跟不上互联网普及率导致的。
7.上一点的补充，评分只做参考，一款游戏通关后它在你内心的分数跟你的游戏经历有关，比如FS社的忍者之刃本身很烂，但它像忍龙，所以我愿意给他70分，而在MC评分里，它是一坨61分的纯工业垃圾。国内外都有不合理的媒体，没有绝对客观，国内游民星空给了黑猴10分，游民星空也是勾史，10分的死亡搁浅，8.7分的2042，还有最经典的毁灭战士4给6.5分，这媒体的可信度能跟IGN本部一较高下。A9VG还算是可以的，A9黑猴给9分，黄金树幽影给8.5分。
8.一些宗教狂热分子，嘴上文化自信，但各种视奸库存，随机开除国籍，一句不好，人家就反驳你为什么见不得中国游戏好？游戏厂商也是企业，游戏是商品，企业是以盈利为目的，消费者有权评论。不讨厌游戏，我只讨厌傻逼无脑粉，一说缺点就是在故意抹黑，破坏气场，人总是喜欢听好话。</t>
  </si>
  <si>
    <t>画面美术场景；音乐音效配音；演出角色怪物设计；动作打击手感；Boss战斗节奏；难度挑战；锁定视角；判定反馈；地图路线；空气墙可达性；探索隐藏支线；优化帧率；整体完成度；推荐价值判断；西游悟空符号；童年记忆情怀；本国媒介路径；中国文化宗教语言审美；国产3A身份期待</t>
  </si>
  <si>
    <t>CN-P-141</t>
  </si>
  <si>
    <t>好玩  速速出DLC  剧情按照前四章写就行 第五六章狗屎剧情别来了</t>
  </si>
  <si>
    <t>CN-P-142</t>
  </si>
  <si>
    <t>2024-09-01</t>
  </si>
  <si>
    <t>三周目全成就，总体来说是个很棒的游戏，大大超出期待，作为国内的第一次这是一份不错的答卷，但是毕竟可能是经验不足，问题还是不少的，例如战斗索敌系统，遇到会飞的敌人经常就会带着你的视角乱转，要自己频繁切视角才行比较难受，还有就是优化问题，在第一次载入地图的时候经常性的卡死，特别在修复补丁和N卡显卡驱动支持出来之前，我这4050的笔记本开中画质从第二章后半开始每次读新图都会有不同程度的卡顿甚至卡死，不过在显卡驱动支持更新以后确实是有了很大提升，甚至能把近一半以上的设置拉到影视级并且稳60帧以上（不开光追的前提下）这能看出来国内团队在优化方面的经验不足。而且后两章对比起前面来多少有点赶工的感觉特别最后一章。不过这也都能理解，4年时间这样的答卷已经让人惊讶了。不过还是期望能出个DLC，感觉还有不少伏笔没有收尾，而且相比之前预告片里出现的狮驼岭金翅大鹏这个BOOS和闹天宫戏份也没有见到，还是比较遗憾的。总体来说对我个人来讲内心分数能给到89分，一是因为最期待的几个章节都没看到，二是刚开的优化确实令折磨。还是希望国内团队能多多积累经验越做越好，只要是质量足够的好作品一定无条件支持！</t>
  </si>
  <si>
    <t>画面美术场景；Boss战斗节奏；锁定视角；地图路线；优化帧率；崩溃闪退；Bug兼容硬件；整体完成度；本国媒介路径</t>
  </si>
  <si>
    <t>CN-P-143</t>
  </si>
  <si>
    <t>中国自己的神作，用心之作，经典的再创作，无形的文化传播，游戏、画面、音乐、典故、惊喜、探索、猎奇、刺激全部拉满！！！</t>
  </si>
  <si>
    <t>画面美术场景；音乐音效配音；探索隐藏支线；推荐价值判断；原典知识人物关系专名</t>
  </si>
  <si>
    <t>CN-P-144</t>
  </si>
  <si>
    <t>遍历八十一难，品味抽象猴生 八月最后一天全成就+双结局收集通关纪念。可以说，《黑神话：悟空》值得一切赞美之词，也对得起所有玩家的期待，但是我宁愿从没有关注过这个游戏。重温了一下四年前的第一个实机演示，我不知道游科走过了怎么样的筚路蓝缕。但是对我来说，我确实也曾经被一句 “我在埃及当刺客，在异世界当猎魔人，当猎龙者，当骑士，什么都当了。现在我终于看到一丝希望，我能回自己国家的异世界当猴哥” 所感动。 但是我想说，这个猴哥不是我想要的。 我以为我可以像猴哥一样干上天庭打翻满天神佛各方妖魔，但我看到的是猴哥只是在无奈感慨“八戒，不若我们辞了果位，告老还乡罢。我回花果山，你回高老庄。”我以为我可以像猴哥一样和师父师弟们插科打诨畅谈取经，但我看到的是猴哥取经只是为了“认师父，修正果，只有这条路是留给我们走的，长兄还不明白吗？”我以为我可以像猴哥一样对世间浑浊能本性通明跳出罗网，但我看到的是猴哥斩妖除魔只是“接连三次打碎过去的爱人，自以为从此不会再有牵挂，可你也明白，他心里根本没有放下。”我可以接受浪漫主义的《西游记》在现代背景下被进行现实主义解读，我可以接受满天神佛都是满口仁义道德为了一己私利草菅人命的伪善者，我可以接受长生不老只是谎言而寿命才是世界的核心资源，我甚至可以接受取经人修金身正果只是佛道相争所进行的代理人战争。但是我独不能接受斗战胜佛孙悟空是一个自我毁灭、罔顾情义、六根不净、神性不存的极度脸谱化的剧情工具人。</t>
  </si>
  <si>
    <t>探索隐藏支线；推荐价值判断；西游悟空符号；中国文化宗教语言审美；原典知识人物关系专名；角色期待意义偏移</t>
  </si>
  <si>
    <t>CN-P-145</t>
  </si>
  <si>
    <t>2024-09-02</t>
  </si>
  <si>
    <t>白金了，游戏是很好的，虽然可能由于较为赶工的原因导致剧情有些不够连贯和怪异，但是要传达的意思是传达到了的，同时战斗系统也十分的有趣和畅快，在一些动作里穿插不同的技能甚至有不同的动作模组，目前来说希望出一些dlc补全剧情，同时多给我几个葫芦和棍子，大概就这样</t>
  </si>
  <si>
    <t>动作打击手感；Boss战斗节奏；推荐价值判断</t>
  </si>
  <si>
    <t>CN-P-146</t>
  </si>
  <si>
    <t>2024-09-03</t>
  </si>
  <si>
    <t>46小时通关（除了第三章因为冲太快漏了无量蝠没打，其他boss都打了，去极乐之前一定记得先把无量蝠打了！！！），没怎么搞收集只锤boss，通关一周目90级左右。作为动作苦手，黑神话对我来说难度还是适中的，毕竟是个ARPG，有很多加点流派玩法可选，天命人不仅机动性强还有很多技能可用，卡boss了换一种打法或者加点思路可能就过了。个人第一个比较难的boss是虎先锋，第一章boss都比较简单，进第二章不久就去打虎先锋了，还不怎么熟练，说出来不怕笑，我到打完虎先锋都不知道攒豆打棍势，只会平A，手上技能就一个定身会用，隐身是拿来跑路的，就这种水平被虎老师教育了一个小时，打完虎老师我才又去研究了一下打法，终于会攒豆打棍势了，第二章就没什么难打的地方了，然后总结出了自己的特点，头铁，莾，反应还慢。到第三章打青背龙会用分身之后就有点后面我爱用的一个公式打法了，开局放分身，定身打一波，用大头磕个硬直再打一波，在被分身暴锤的时候对面是没什么攻击的，就趁机攒豆打棍势，分身开一波下来能下不少血，最后变身收尾，比较适合我这种莾人的分身暴打流。第三章除了寅虎卡得久了点（寅虎老师主要是掉帧攻击，老是卡，后面改了2k分辨率才过…）其他没什么难度。直到第四章遇到了重量级小黄龙，也是我琢磨加点打法琢磨得最久的一次，因为小黄龙攻击频率快，我是完全跟他对不了一点，就想着怎么在开分身输出的时候把伤害最大化，减少跟他一对一的时间，怎么在他疯狗阶段多用技能保命，最后还是把分身加满，伤害加满，喝法力上限，在开分身暴打的时候尽可能多下点血，最后阶段就变身隐身定身跟他磨才打过的。有了黄老师两个小时的教育后面第五六章就打得非常轻松，虽然有不少多动粪怪，但都是被暴打，像毒敌就是一直压着他打让他没有出手机会，很容易过了，碧水金晴兽也一样，多动症粪怪就一定得压着他打。不过这个打法对于有二阶段或者体型不适合分身来打的就会难受，有二阶段得在一阶段保留技能，还有晦月魔君用分身打不到它，也是比较难受的。最后打杨戬就全靠芭蕉扇+隐身了，分身只够打他一个阶段，芭蕉扇能打断又能控，能找机会疯狂输出，一场能放两次芭蕉扇，他飞天那招我不好躲就隐身，本来以为会坐牢很久，结果打了大概六次（？）就过了，可以说是打得非常爽的一战。最后大圣残躯也打得很爽，彩蛋太多了，被大圣抢过葫芦，打趴在地上还把棒子扔回来给我，唯一一个我被暴打还直呼好帅的boss，大圣真的太帅了！！！！总体来讲比较喜欢第三章和第四章，无论关卡设计，整体的内容量还是boss战都非常不错（黄眉战太震撼了），第五章除了两个双boss战和水墨风的火焰山土地战，其他都有点敷衍，第六章更是赶工明显，有种头重脚轻的感觉。不过总体玩得还是非常爽的，即使没有受过魂游的苦，平常不怎么打act的动作苦手也完全可以试试！！！</t>
  </si>
  <si>
    <t>动作打击手感；Boss战斗节奏；难度挑战；地图路线；探索隐藏支线；优化帧率；整体完成度；推荐价值判断；西游悟空符号；角色期待意义偏移</t>
  </si>
  <si>
    <t>CN-P-147</t>
  </si>
  <si>
    <t>2024-09-04</t>
  </si>
  <si>
    <t>2024.9.4更新：
当我看到网上关于《战争艺术：赤潮》的剧情设定的介绍后，对于本作的剧情短板，我已经大彻大悟，释然并和解了。虽然关于《西游记》部分的评价依旧——亲子鉴定结果出来了，“红孩儿”终于知道了自己的身世，《西游记》不用当接盘侠了。游戏本身无疑是佳作的，有道是“不疯魔不成活”，我相信毕竟没有对过去“袈裟”的这些执念，说不定他们真的带不来《黑神话：悟空》的横空出世。只是有些人的执念是袈裟、有人是学姐、有人是亡妻、有人是晶晶……就像我中学作文里总是会引用我喜欢的歌词、作家，贴合主题是次要的，为了我的执念才是真正原因。
原测评：
截止前天（2024/8/26），我已经通关了《黑神话：悟空》一周目，为了保障个人游玩体验，在这七天时间内，我是屏蔽一切攻略的，几乎是完全凭自己探索，好在玩的还算细致，虽然没有全收集，但也自认为可以好好谈一谈这一游戏了。
首先是关于优化方面，因为手头这台笔记本电脑购买于四年前，显卡只是GTX1650，所以发售首日我先借用了朋友40系显卡的电脑以2K分辨率全高画质进行游戏体验，而在接下来几日则是用自己的电脑以1080P全低画质游玩。两厢对比之下，抛开画质上的“一在平地一在天”不谈，我并没有感到有明显的卡顿，也完全没有遇到任何闪退（全高有一次），除了第六章筋斗云很模糊外，总体来讲特别流畅，完美的保障了我们大量的低配玩家的游玩体验。
恶性Bug遇到两次，分别是一周目紫云山关卡毒敌大王“消失”，以及昨天晚上体验二周目时在第二章黄风岭被病虎扔到石头内，在返回标题页面后重新进入后就一切正常，总的来讲问题不是很大。再一个就是第五章火焰山关卡通关后，会发现狐妖萍萍的模型卡在BOSS战场景，但不能对话，且没有碰撞体积，不影响正常游玩。
游戏发售前，我曾对优化表达过担忧，毕竟在此之前几款虚幻5引擎制作的游戏，在优化上都有或多或少的问题，但游戏科学这次算是为虚幻5优化开了一个好头。
本作最大的优点，无疑就是美术方面，深山古寺、佛道雕塑、高山溪谷，无论人文还是自然景观，以及怪物的外形设计，都堪称完美恢弘。游戏本身也参考了类似《对马岛之魂》创作俳句的方式，鼓励玩家驻足欣赏。美术方面我不是很懂，所以也没什么好赘述的，仅从个人感受来讲，类似黄花观作为一座道观，出现不少佛像雕塑，可能略显违和，但考虑到多目怪在《西游记》原著中是被毗蓝婆菩萨收服（八戒拿钯就筑，又被毗蓝止住道：“天蓬息怒，大圣知我洞里无人，待我收他去看守门户也。”行者道：“感蒙大德，岂不奉承！但只是教他现本象，我们看看。”毗蓝道：“容易。”即上前用手一指，那道士扑的倒在尘埃，现了原身，乃是一条七尺长短的大蜈蚣精。毗蓝使小指头挑起，驾祥云径转千花洞去。），似乎出也不是不能理解。综上所述，美术满分。
关卡地图设计方面，网上对此似乎争论颇多，但我个人是大体满意的。诚然，有为了美术让步导致的指向不明以及空气墙问题，但由于我个人是个偏探索类玩家，享受的就是那种“山重水复疑无路，柳暗花明又一村”的感觉，可以说前四章完美契合在我的兴趣点上。
而且就二、三章来讲，也并不是完全的一本道地图，峰回路转，颇有“魂味儿”。类似独木桥弓箭手等，亦是在鼓励玩家多用法术手段应对，何况，这些弓箭手在杀死一次后并不会再次复活故意使玩家卡关，游科的怜悯了属于是——如果按照我的恶趣味，我是在会在玩家落入经幢内关卡后，直到打通BOSS魔将·妙音前，不许玩家传送出塔来增强代入感。
但第五章的地图就很不尽如人意了，完全是一条道走到黑的向上跑图，多是换皮怪，且黑秃秃一座山在美术场景上也说不上好看，显然是后期赶工的结果，毕竟牛魔王一家也不是什么煤炭成精，怎么会住在火焰山上，如果依照前三章的地图设计逻辑，我相信本章地图应该是包括火焰山、翠屏山、积雷山以及隐藏地图碧波谭的综合设计，并且以在火焰山顶大战本相牛魔王作结。
这方面由于明显的赶工造成的痕迹第四章也有体现——明明做了蜘蛛精六姊妹，却只有一场BOSS战，其余多数只在两次播片中出现，不知意义何在。当然，如果接连几次都是蜘蛛BOSS，难免让玩家审美疲劳，其实，完全可以只保留重要角色，而将精力放在其他关卡的设计上。综合来看游戏安排第三章小西天、第四章盘丝岭、第五章火焰山，而不是原著里火焰山——盘丝岭——小西天的顺序，显然也是出于藏拙的考虑，不过以及尽可能满足了玩家前中期的游戏体验，我认为是可以接受的。
虽然地图关卡设计我总体还是给好评的，但不得不承认，第六章的地图设计堪称灾难级别的表现，游戏给了玩家可以肆意翱翔的筋斗云，却是在一张空旷的大地图上随意安放几个BOSS，没有任何的视觉、小怪的引导，玩家能否找到几乎是在全凭运气了，并没有那种探索的反馈。也唯有这一章，逼得我不得不通过视频攻略找地图。怪哉，作为一只花果山出身的小猴子，西行一路上没觉得难走，唯有回家不认路了。
可以说本作的很多遗憾，都是由于赶工废案再利用导致的。
作为一款ARPG，动作系统无疑是重中之重，在这里先说结论：有特色，深度不足，但恰到好处。
本作的核心战斗思路，是轻攻击平A+完美闪避积攒棍式，再通过重攻击一次性释放来对敌人造成大量伤害。在这个基础上，给玩家提供了三段架势用来应对不同情况，配合参考原著的变身、精魄与各种法术，提供了极高的性能。乍一看，似乎类似光荣特库摩的《卧龙：苍天陨落》的加强与《仁王》系列的弱化。但应该说只是学习了其中优点，本质上还是大有不同的。比方说虽然同样三段架势，但本作的轻攻击动作模组其实是一样的，三段架势区别在于切手技与蓄力重攻击，这极大的简化了操作空间，方便了轻度玩家的上手，法术方面的思路与仁王的阴阳术、卧龙的奇术更是完全不同。尤其是精魄系统，武器系统，因为RPG养成要素的简化，比起仁王魂核的无限刷词条，真是领先五百年不为过。
但是正因为动作模组的缺少，在简化了操作难度同时，又会显得深度不足，如果长时间游玩，会极大破坏中后期游戏体感——这方面《卧龙》就是个很好的例子，卧龙在提供十多套武器模组的同时，中期开始的操作重复感（大概就是打完魔化吕布后）都非常明显——考虑到本作只有一种武器（算上枪的话两种），也是极容易产生疲惫感，好在本作体量不是很大，再加上法术系统的配合足够优秀，演出足够炸裂，在玩家还没有产生厌烦的同时游戏已经结束，所以说也可以说是恰到好处。顺便一提，《只狼》其实也是如此，他的以弹刀为核心的动作系统其实是很有趣但单调的，好在体量与难度原因，在玩家产生乏味的之前已经通关或退游了。
怪物设计上，总体BOSS都是很优秀的，类似幽魂、虎先锋、亢金星君、黄眉大王、毒敌大王、王灵官、二郎神、大圣残躯，都是给我印象深刻的角色。但中后期，某些BOSS给玩家上强度的方式总是靠丢锁定、强行换锁定、小场景龙车来实现，尽管难度说不上太高，却不可避免给玩家以厌恶感。这里重点批评亢金龙，一度让我觉得腐败树灵也不是不能接受。而像四大天王的法天相地战斗，有点游戏性让位于演出了，虽然确实演出爆炸，但全程只能按XY两个键位，不如加些QTE的好。
RPG方面已经说了对于仁王那种刷子游戏的词条简化，似乎在IGN日本是作为扣分项的，在我看来则是大大的加分项，方便了制作组设计难度同时，也让玩家不必在游戏中度过重复的垃圾时间（但其实我为了收集火铃草种子，几乎两个小时都在退出重开）。像魂系死亡惩罚，现在也变得越发没意义——谁会在乎那么点魂，到本作里直接取消，是很明智的选择。
最后，终于要落脚到剧情上了。这也将是我对本作批评最为严重的部分，七个字：吴闲云的尾气。
老实讲，我对ARPG的剧情优劣一向不怎么在乎，像仁王、战神、艾尔登法环等在我看来都是剧情比较一般甚至糟糕的（前面举的例子其中战神4相对最好，但5的收尾很差了）。所以游戏宣布初期时，我并不怎么在意，甚至《戒网》视频时就表达出隐隐担忧，但是随着宣发中所谓“尊重原著”、“改编不是乱编”、“过去斗战神幼稚，不会再搞阴谋论”、“改编自《西游记》”等言论，以及被视频中所表现出的“严肃感”给感染到，我开始有了对此的期待。但结果内容仍然是吴闲云那一套，甚至可以说算“宣发欺诈”了。
因为对吴闲云那一套太过熟悉，可以说一说猪八戒跟蜘蛛精有一腿，我就知道出处是吴闲云的蜘蛛精是七仙女下凡；一说红孩儿的身世，不用想都知道这里头有太上老君的事情；至于真结局倒放西游记，无非是呼应“《西游记》要倒着看才是真相”的老掉牙阴谋论，顺便配图里还在暗示“人参果肥料是小儿心”。至于游戏里说“泾河龙王为取经而冤死”的公案，更是想让人说求你了解下封建农业社会打龙王的习俗吧。
只能说空空和精精的爱情故事，你要是告诉我白骨精生前是“金鼎国公主”我也认了，好歹算个出处。猪八戒的爱情二创明明有高翠兰这个现成的角色，或者更了解点原著的还可以有个卵二姐/卯二姐，来往七绝山的蟒蛇精（八戒随后赶上来，又举钯乱筑。行者把那物穿了一个大洞，钻将出来道：“呆子！他死也死了，你还筑他怎的？”八戒道：“哥啊，你不知我老猪一生好打死蛇？”遂此收了兵器，抓着尾巴，倒拉将来。）或者说玉兔身上来靠的。（猪八戒所调戏的嫦娥——霓裳仙子在原著九十五回有出场：正此观看处，猪八戒动了欲心，忍不住跳在空中，把霓裳仙子抱住道：“姐姐，我与你是旧相识，我和你耍子儿去也。”行者上前揪着八戒，打了两掌骂道：“你这个村泼呆子！此是甚么去处，敢动淫心！”八戒道：“拉闲散闷耍子而已！”那太阴君令转仙幢，与众嫦娥收回玉兔，径上月宫而去。）
即使抛开这些无聊的阴谋论，单从《黑神话》框架内承认佛道之争，仙恶妖善，来看这个故事最大的问题他是在否定原著中孙悟空的形象：序章“经我取到了……”完全是在否定整个西游取经的正当性（“偷抢拐骗，杀人放火，毁山灭洞”这是人话？）。否定了孙悟空身上的佛性：
猴王又道：“我无性。人若骂我，我也不恼；若打我，我也不嗔，只是陪个礼儿就罢了。一生无性。”
天花乱坠，地涌金莲。妙演三乘教，精微万法全。慢摇麈尾喷珠玉，响振雷霆动九天。说一会道，讲一会禅，三家配合本如然。开明一字皈诚理，指引无生了性玄。
孙悟空在旁闻讲，喜得他抓耳挠腮，眉花眼笑。忍不住手之舞之，足之蹈之。忽被祖师看见，叫孙悟空道：“你在班中，怎么颠狂跃舞，不听我讲？”悟空道：“弟子诚心听讲，听到老师父妙音处，喜不自胜，故不觉作此踊跃之状。望师父恕罪！”（西游记第一二回）
可以说孙悟空自菩提祖师学艺之前、之时身上就有很高的禅心。取经途中，多次出现的情节是孙悟空给唐僧讲经、辩经：
唐僧道：“徒弟们仔细，前遇山高，恐有虎狼阻挡。”
行者道：“师父，出家人莫说在家话。你记得那乌巢和尚的《心经》云心无挂碍，无挂碍，方无恐怖，远离颠倒梦想之言？但只是扫除心上垢，洗净耳边尘。不受苦中苦，难为人上人。你莫生忧虑，但有老孙，就是塌下天来，可保无事。怕甚么虎狼！”长老勒回马道：“我当年奉旨出长安，只忆西来拜佛颜。舍利国中金象彩，浮屠塔里玉毫斑。寻穷天下无名水，历遍人间不到山。逐逐烟波重迭迭，几时能彀此身闲？”行者闻说，笑呵呵道：“师要身闲，有何难事？若功成之后，万缘都罢，诸法皆空。那时节，自然而然，却不是身闲也？”长老闻言，只得乐以忘忧。（西游记第三十二回）
行者笑道：“你这老师父，忒也多疑，做不得和尚。我们一同四众，偏你听见甚么水声。你把那《多心经》又忘了也？”唐僧道：“多心经乃浮屠山乌巢禅师口授，共五十四句，二百七十个字。我当时耳传，至今常念，你知我忘了那句儿？”
行者道：“老师父，你忘了‘无眼耳鼻舌身意’。我等出家人，眼不视色，耳不听声，鼻不嗅香，舌不尝味，身不知寒暑，意不存妄想，如此谓之祛褪六贼。你如今为求经，念念在意，怕妖魔不肯舍身，要斋吃动舌，喜香甜嗅鼻，闻声音惊耳，睹事物凝眸，招来这六贼纷纷，怎生得西天见佛？”三藏闻言，默然沉虑道：“徒弟啊，我一自当年别圣君，奔波昼夜甚殷勤。芒鞋踏破山头雾，竹笠冲开岭上云。夜静猿啼殊可叹，月明鸟噪不堪闻。何时满足三三行，得取如来妙法文？”行者听毕，忍不住鼓掌大笑道：“这师父原来只是思乡难息！若要那三三行满，有何难哉！常言道，功到自然成哩。”（西游记第四十三回）
行者笑道：“你把乌巢禅师的《多心经》早已忘了？”三藏道：“我记得。”行者道：“你虽记得，还有四句颂子，你却忘了哩。”三藏道：“那四句？”行者道：“佛在灵山莫远求，灵山只在汝心头。人人有个灵山塔，好向灵山塔下修。”三藏道：“徒弟，我岂不知？若依此四句，千经万典，也只是修心。”行者道：“不消说了，心净孤明独照，心存万境皆清。差错些儿成惰懈，千年万载不成功。但要一片志诚，雷音只在眼下。似你这般恐惧惊惶，神思不安，大道远矣，雷音亦远矣。且莫胡疑，随我去。”那长老闻言，心神顿爽，万虑皆休。（西游记第八十五回）
行者道：“师父，你好是又把乌巢禅师《心经》忘记了也？”三藏道：“《般若心经》是我随身衣钵。自那乌巢禅师教后，那一日不念，那一时得忘？颠倒也念得来，怎会忘得！”行者道：“师父只是念得，不曾求那师父解得。”三藏说：“猴头！怎又说我不曾解得！你解得么？”行者道：“我解得，我解得。”自此，三藏、行者再不作声。旁边笑倒一个八戒，喜坏一个沙僧，说道：“嘴脸！替我一般的做妖精出身，又不是那里禅和子，听过讲经，那里应佛僧，也曾见过说法？弄虚头，找架子，说甚么晓得，解得！怎么就不作声？听讲！请解！”沙僧说：“二哥，你也信他。大哥扯长话，哄师父走路。他晓得弄棒罢了，他那里晓得讲经！”三藏道：“悟能悟净，休要乱说，悟空解得是无言语文字，乃是真解。”（西游记第九十三回）
佛乃觉者，可以说孙悟空一路取经正是一路修心成正果的路程，他成为斗战胜佛不是因为佛祖亲封，而是因为他自己一路上以及修证成真——打破顽空须悟空。
游戏剧情在完全否认游戏内核的同时搞简单的仙妖对立（菩萨妖精，总是一念；若论本来，皆属无有），纯粹是西幻作品种族乱斗入脑的结果，至于反对长生不老，我甚至怀疑是不是受宫崎英高影响。
说到底，《黑神话：悟空》除了本身高质量水平外，西游这个IP也是很重要的，哪怕是游戏内，孙悟空为了所谓自由，分散六根，结果起码养出黄风怪、黄眉大王、多目怪法力大增去为祸一方，这个角色的魅力又在哪里呢？说白了，全网都希望序章反转，找那个不存在的第三结局，不就是因为对剧情不满意。
只能说游戏剧情的最大问题在于他们其实是熟悉原著的，但审美趣味却在吴闲云那里，最后的特别鸣谢里没有吴闲云属实算一种遗憾了。
综上所述，《黑神话：悟空》不仅仅是国内第一款3A，更是一款非常优秀的具有创新性的ARPG，无论是顶级的美术、演出、音乐，还是极具特色的动作战斗系统，地图与关卡设计也算可圈可点，尤其游戏最后看到制作组名单一串的中国人，真的很难不感动、激动，是我今年玩到的最好的游戏，期待DLC和续作，唯一的遗憾是他不是个合格的《西游记》改编故事。
美术：10/10 （30%）
关卡设计：8/10（20%）
动作设计：8.5/10（20%）
剧情：5/10（20%）
优化：10/10（10%）
总分：8.3</t>
  </si>
  <si>
    <t>画面美术场景；音乐音效配音；演出角色怪物设计；动作打击手感；Boss战斗节奏；难度挑战；锁定视角；判定反馈；地图路线；空气墙可达性；探索隐藏支线；引导迷路单线；优化帧率；崩溃闪退；Bug兼容硬件；整体完成度；推荐价值判断；西游悟空符号；中国文化宗教语言审美；原典知识人物关系专名；外部资料依赖；角色期待意义偏移；国产3A身份期待</t>
  </si>
  <si>
    <t>CN-P-148</t>
  </si>
  <si>
    <t>游戏玩过很多，到现在愿意花时间精力全成就的单机也不过两个，一个是老头环，另外一个就是黑猴。黑猴固然有瑕疵，哪个游戏没有瑕疵，但这些瑕疵会影响黑猴成为我心目中一款优秀的好玩的年度游戏吗？显然不会。</t>
  </si>
  <si>
    <t>CN-P-149</t>
  </si>
  <si>
    <t>125小时历经九九八十一难全成就达成！引擎画面表现力太细腻了，随便一个截图都能当壁纸，荒凉的黄风岭和错综的盘丝洞令人印象深刻，游戏没有地图导航，各种迷路，部分支线内容，游科藏得实在太深了，期待续作！</t>
  </si>
  <si>
    <t>画面美术场景；地图路线；探索隐藏支线；引导迷路单线</t>
  </si>
  <si>
    <t>CN-P-150</t>
  </si>
  <si>
    <t>2024-09-08</t>
  </si>
  <si>
    <t>经历74小时，三周目全成就达成。有被旖旎的景色所惊艳，也被一些粪怪所折磨，有被绕梁的音乐所触动，也因未竟的剧情而惋惜。当打完三周目，点满六根，解锁大圣彩蛋，那一句“孩儿们，我来了也”，足以让我满足且释然了。
+ 视觉效果
· 顶级美术。真的把诗词中林海松涛，云山雾绕的感觉呈现出来。以前我以为“分不清虚拟与现实”是一句调侃，没想到已经一语成真。女角色们更是美的让我以立棍式出击，zzzq滚远点。
· 资产堆料。大到寺庙里的一尊佛，小到场景中的一块碑，其考究和细节无不令人惊叹。BOSS和小怪数量繁多，也很少有重复的（数了下，去掉换皮怪和NPC有170多种），各具特色风格迥异。
· 互动视效。如：打白衣秀士时水面效果会随着武器运动轨迹呈现不同波纹；打不空时，地上的书页会跟随棍棒一起起舞；打寅虎时，风卷落叶的效果。。。等等等等
· 战斗演出。如：法天象地一战，演出炸裂，真正的God of War；大圣残躯一战，各种动作细节拉满，还有很多彩蛋（抢葫芦、吃桃子等）；火焰山土地一战，水墨阴阳风格如画卷一般；劈棍四豆的超解也是爽感拉满。。。等等等等
+ 多元音乐
· 陕北说书。非常惊艳，和游戏氛围自洽不突兀，同时和剧情相得益彰。属于独一份的体验。
· 战斗音乐。如：黄风大圣、大圣残躯的战斗BGM，会随着BOSS阶段而变奏，非常燃；小黄龙BGM的前奏是他三个弟弟的合奏版，女声吟唱来自赤髯龙，男声号子来自小骊龙，旋律走向来自青背龙；变身也有各自的BGM，如广智、石头人，变化时BGM随之改变，且有很强的中国民乐元素，且各具特色。
· 人声歌曲。除了火出圈的《往生咒》，印象深刻的还有第三章的《屁》（三界四洲），第四章的《勿听》。特别是《勿听》配合动画拉回了整个章节的观感。而当结尾《敢问路在何方》再次响起时候，仍旧感慨万千。
+ 战斗框架
· 博采众长。吸取了很多优秀动作游戏的灵感。如架势切换、魂核（精魄）收集释放妖怪技、识破GP、闪避不断连招Offset等。并且大部分能和与游戏背景与玩法自洽，如妖怪技和变身类比72变。
· 多样构筑。基础动作系统虽然比较青涩，但是法术、丹药、装备词条等丰富的神通弥补了这一点，外加零成本的洗点，可以很方便的构筑不同的BD，非常友好。
· 法宝克制。支线任务可以获得克制关底最终BOSS的法宝，使得原本很难的战斗瞬间降低难度，高手也可以挑战不用法宝过BOSS。天才设计，即符合故事背景，又可以丰富战斗手段。如：第一章取得的避火罩不仅仅只按设定克制黑熊精，也能让玩家在火焰山的熔岩地面畅行无阻，并且能够克制其他火系BOSS。
· 葫芦酒食。葫芦基础功能是喝药喝吸魂，还可以搭配葫芦里的内容物，有点类似老头环的滴露，但构筑多样性更高，贴合背景设定的同时也让人眼前一亮。
· 双头目战。不像其他游戏有一种很粪的感觉，反而让玩家打的酣畅淋漓，如：云里雾雾里云、兴烘掀掀烘兴，通过台词设计，视效表现，不会同时攻击玩家，但又让人觉得合情合理，战斗体验比双神皮、双熔炉这类高了一个档次。
△ 剧情未竟
· 前三回。剧情改编出色，故事完整，即便只看过86西游记也能了解故事内核。配合影神图更是锦上添花。每一章结尾的画卷和动画都是加分项。
· 后三回。特别是五六回，挖坑过多，影神图也填不过来（如：白骨夫人、夜叉灭族，分别出自斗战神和西游日记）。受到斗战神和今何在作品影响，猴哥和部分角色传统印象中的形象差距颇大。然后主创又在采访中强调原著，导致为人诟病。
· 故事离场感。看了一些资料后我能理解作者赋予故事的主题思想。而是在真结局动画和云宫迅音的加持下，情绪已经被拔高到一定程度，然后戛然而止，有种内心情感无处释放的感觉。再加上前面说的很多挖坑不填，导致离场感比较差。
* 关于改编。我能接受希腊北欧众神被一个秃子屠戮，也能接受亚瑟王是金发女孩，那白骨之后重走西游也不是不行吧。毕竟看到灵蕴这个设定我就知道他们忘不了斗战神。当然你也可以说游科改编的一坨屎，接受不能，这没问题。但请不要否认改编这件事本身，文化传播离不开改编（吴承恩和86西游记也都是改编），如今外网西游记相关视频的播放量激增就是文化传播最好的证明。
- 关卡设计
· 空气墙。空气墙本身不是大问题，很多游戏都有，但本作空气墙的设置比较反直觉（视觉上感觉能过去，跑过去却被空气墙挡住）；同时前期空气墙带来的固有经验，和后期一些地图的设计是矛盾的。如：有的悬崖有空气墙，有的悬崖能跳还有隐藏区域；有的栅栏是空气墙不可破坏，有的栅栏可以打破后面有道路；偏偏游科又喜欢藏东西，玩家会因为前期的经验，误以为有空气墙而错失隐藏内容。
· 缺少地标。 我在游玩过程中倒是没怎么迷路。但当别人问我某某道具在哪，我感觉很难描述，身边迷路的好友也不少，可见为了追求美术效果，画面力求真实，导致画面信息过多，同区域景色也比较相似，且缺少有记忆点的地标（有，但比较少，还有不少地标会被遮住，没起到指引效果），导致玩家容易在偌大的地图中不知道自己身处何方。
· 指引反直觉。一般设计者会为主路设置亮光，火把之类视觉提示。本作中其实是有指引的，有些也做的不错，但有一些地方却是反着来。如：刚到第三章雪山，有个岔路，亮的一边是悬崖，暗的一边是正路；第三章见小西天土地那个地方，明亮的大路是死胡同，正路却是边上很窄的楼梯走上去。
· 第六章。该章地图空有美景但毫无关卡设计。据传闻应该是最早做的一张图，而不是后期赶工。如果不是收集套装的情怀加成，以及大圣和杨戬两场BOSS战过于优秀，第六章就烂完了。
- 战斗细节
· 锁定与视角。飞天和大体型BOSS的锁定与视角调教非常不好，盲目追求演出效果。如：亢金龙，打着打着怪都飞出屏幕了，落雷时候，如果锁定了，视角会偏上，为了把龙显示全，会导致看不清脚底落雷区域；魔将妙音，只能锁一只脚，打着打着，视角会旋转到诡异的角度，屏幕完全被怪身体挡住。。。等等等等
· 碰撞体积判定。很多虫系的BOSS，攻击碰撞体积和受击碰撞体积不一致。如：百眼魔君、毒敌大王。BOX受击判定体积过小，重击打到虫足或者尾巴居然不算击中，硬生生给你卡空了，但BOSS攻击时候，虫足和尾巴又算判定。
· 预输入和指令窗口。本作没有预输入，最典型的例子就是动作没做完按喝药是无效的，很多人都遇到喝药喝不出来或者连喝两口的情况。而且很多指令输入窗口较短，要玩的精准需要目押，刚上手会不太适应。
· 棍模组普攻第四段。简称a4，节奏和其他几段普攻不一致，动作帧过长，且不能被重击打断(或者说指令输入窗口过短)，这就导致和游戏中的GP（破棍式）、Offset（定息存神）等机制相互掣肘，导致整体战斗节奏不流畅。a4是一段又臭又长没有霸体的转棍动作。如果a4动作中，敌人正好攻击，而a4动作无法被重击打断，见切不了一点，反而不点Offset，只普攻3下，然后闪避，这样循环操作GP能更舒服一点；同理如果想趁着敌人攻击间隙闪避后偷一刀，结果Offset出来是a4，那基本也凉凉，大部分时间我会选择用a三下，a4就出个抬手再闪避卡掉，Offset出a5。因为使用较多的棍模组普攻动作不会随着架势切换而改变，所以游戏大部分时间一直要面对这很难受的a4，如果能把a4改成和前三下差不多节奏的快速动作，原a4转棍改成派生。或者和长枪模组一样可以随时被重击打断（长枪识破手感舒服很多），那就可以在和BOSS高速压制中见招拆招，使得整体战斗节奏提升一个档次。
- 概率掉落
· 小怪概率掉落稀有物品还比较常见，刷刷还能练级。采集物概率掉落稀有物品，就有点逆天了，而且要现实时间半小时刷新一次，简直就是古早网游设计，无法理解。打BOSS没卡多久，但地涌金莲、交梨种子却刷了几小时没出。
- 优化瑕疵
· 设置了合适的画质以后，整体还是比较流畅的。但遇到过几次闪退；还有植被光影闪烁问题；部分场景会明显掉帧，如：打完妙音后的那个水潭。
总结：
本作有着顶级的视听体验，奢侈的堆料与体量，丰富的战斗系统。但由于经验不足导致战斗细节和关卡设计显得很青涩。很多地方为了美术效果，牺牲了部分gameplay的体验。剧情未竟离场感不好以及优化问题也的确存在。正所谓“天地本不全，经文残缺，也应不全之理。非人力所能为也。”本作虽不完美，但不妨碍其成为一部优秀的作品，并且透露着游科一股初生牛犊不怕虎的冲劲，同时本作也开拓了中国游戏科学的全新可能性，鼓舞了诸多玩家与从业者。正如没有不完美的《恶魔之魂》、《巫师1》的开拓，也就没有后来《艾尔登法环》（本体）和《巫师3》的巨大成功。“踏上取经路，比抵达灵山更重要”，《黑神话：悟空》踏出的这一步已经十分扎实、深刻。
话说回来：
正如游戏标题“悟空”既是名词，也是动词，舍弃杂念，突然悟到：我就一臭打游戏的，以前虽然干过汉化组，但和游戏行业基本八竿子打不着。所以比起什么中国游戏产业进步，TGA拿奖，我更关心的是游戏本身好不好玩。
于是我问了自己一个问题:“抛开国产滤镜，这游戏好玩吗？” 回顾自己三周目的旅途，我肯定的回答：“好玩！”。
至于其他的外媒评分、二极管节奏、拿年度奖什么的，“长老，为何放不下一件袈裟呢？”
购买建议：
推荐绝大多数玩家购买，这体量原价买都不亏。
电脑配置很差、严重手残且排斥动作类游戏、坚定的原教旨主义者，则不推荐购买。
歌未竟，东方白。</t>
  </si>
  <si>
    <t>画面美术场景；音乐音效配音；演出角色怪物设计；动作打击手感；Boss战斗节奏；难度挑战；锁定视角；判定反馈；地图路线；空气墙可达性；探索隐藏支线；引导迷路单线；优化帧率；崩溃闪退；Bug兼容硬件；推荐价值判断；西游悟空符号；童年记忆情怀；本国媒介路径；中国文化宗教语言审美；原典知识人物关系专名；角色期待意义偏移；国产3A身份期待</t>
  </si>
  <si>
    <t>CN-P-151</t>
  </si>
  <si>
    <t>我打了一周目半大概140级来写评价了，先礼后兵我们先提这个游戏优秀的地方1、这个游戏画面不错，风景很美。这个属于是游戏工业上的成功，作为国内第一个能拿去和别人比的游戏画面来到这个等级是令我感受到惊喜和意外的。2、猪八戒刻画的很好，我很喜欢他做出了一个和传统印象中稍有不同的八戒。八戒的细节很多，在不同的地方会和你讲不同的段子，你不听直接走了也有反应。整个流程下来有八戒在的地方我心情都会好不少。3、主角的动作设计我挺喜欢的，我的xp就是这种长柄武器，什么长刀棍棒之类。算了我不装了我是虫棍侠来的4、这个游戏的中国文化底蕴很足。其实我不是很在乎每个游戏的文化背景，我比较在乎游戏好不好玩，但广智变身的时候唢呐一响还是爽的起了鸡皮疙瘩。然后来到兵的部分，我认为国内游戏要越做越好的话就必须认真直面自己遇到的问题。闭眼当死一味肯定国内的第一款大作只会使国内的游戏环境故步自封。1、这个地图啊，玩下来真是我十几年游戏生涯里面最差的地图体验。比你地图设计差的都有地图。确实有个什么小地图然后整点支线图标看着很low，但是没有金刚钻就别揽瓷器活，你这个地图设计你tm敢不给地图的，就算没地图，tm给个东南西北很难吗，做个思南进去宣扬一下我们的传统文化啊，取经完了500年这都大明朝了思南指定是有了你倒是给我整一个啊。接下来我展开讲一下这个地图设计的引导部分到底有多糟。普通的游戏做个岔路一条是主线一条是支线，主线会做的在正路上也会看着大一点，支路则偏一些，优秀一点的游戏则会加入引导，比如说主线边上长一颗显眼的桃树，支线上开一些桃花。差的则反过来在支线上种桃树。而黑神话，你看见一颗桃树你往里走，你就撞上空气墙了。这地图还不止引导差，游戏内岔路众多，但大多数岔路毫无意义。就比如黑风山那里，岔开四条路，结果abc三条路在走了两分钟之后相连了，bc两条路相连的位置还是那个岔路口。再加上一堆看起来能走的空气墙，就很打击我的探索欲望。这就不得不提到这游戏割裂的地方了，他打击了我的探索欲望之后又藏了很多东西起来。而且空气墙也是割裂的，要么你都没有让我在哪都能摔死得了，你特地做一个地图出来删了空气墙让我摔死真的很离谱，简直不像是同一群人设计出来的，而且浮屠界也不是都没空气墙，三楼那个位置镂空了但是还是存在空气墙。玩下来体验真的很差。2、预输入问题，做一个预输入很难吗，这游戏节奏比魂系快很多的同时没预输入。我喝一口要都得盯着喝没喝进去才放心。也是这个糟糕的预输入让我没有尝试切手技的欲望，太奇怪了这个手感。3、玩法深度问题，这个游戏看起来战斗系统很丰富很有的玩，但是我觉得这个游戏玩法的丰富程度仅强于只狼，多周目和只狼一样无聊。但只狼的单一玩法做到了顶级。这游戏的玩法，只能说进步空间不小。总之我二周目打完应该就不会再开一周目了。4、剧情问题，我和别人在乎的点可能不一样。我觉得剧情不行是在结尾，猪八戒问了一句“让他代替大师兄，他配吗？”是啊，我配吗。我究竟是谁，我扮演的是什么东西啊。这一整个流程对主角没一点塑造。角色扮演？我扮演的是啥啊，我扮演的是一个会舞棍子的摄像机来打别人，然后看别人的故事。我期待的是我可以玩到大圣，不是大圣也有点灵性，你看大圣的僵尸都比我有灵性，他才是大圣。我是个不会讲话没有性格的摄像机。当意思到这些问题的时候再回想之前的故事，拆开一个个单看还行，但是合起来就很割裂。而且第五章猴哥的刻画我觉得不对劲，拜师走正道才是我们唯一的归宿不像是猴哥能讲的。5、然后是这游戏的部分怪物，碰撞体积比受击体积大的多，点名百眼魔君，胸口带个无敌的真气来和我打的。6、锁定做的也有问题，尤其是亢金龙，他是很帅，但我打起来真的很屎。然后锁定之后怪怎么能半个身子飘到我屏幕外面的，我真看不见他动作啊。7、不顾我感受的过量表演，大部分boss都存在我不能打他光看他表演打我的环节。一次两次还行，但次数多了我感受真的很差，你们这些boss都是拉塔恩飞在天上给我表演一轮是吧。8、boss难度跨度很大，小黄龙和杨戬感觉和别的boss都不像在同一个游戏里出来的。打完大头之后没boss可以杀我5次，大部分boss都可以一次过，但这俩爷确实厉害。但考虑到这两位不是一定要打，只能说是小缺点。9、能不能给我点种子啊，做全成就采你那个种子真是要命啊。别和我讲开100%掉落，这和怪猎开100%大小金没区别，我有洁癖开不了。但这都是小问题，像我一样的玩家应该不多。10、部分区域还是优化有问题，像打疯虎大石敢当的时候还是掉帧。然后火焰山有些怪光影根本就不对，漆黑的洞里那个怪亮的和佛祖一样。11、单独骂一下花果山，这个设计太吓人了。不展开了，我ptsd了，回想会让我痛苦。  我给这个差评是来鞭策一下的，我希望之后可以越来越好。出了dlc还是会第一时间买来玩的，希望dlc好好做，把地图打磨好。也希望国产的游戏以后可以越来越好。</t>
  </si>
  <si>
    <t>画面美术场景；动作打击手感；Boss战斗节奏；难度挑战；锁定视角；判定反馈；地图路线；空气墙可达性；探索隐藏支线；引导迷路单线；优化帧率；整体完成度；推荐价值判断；西游悟空符号；中国文化宗教语言审美；国产3A身份期待</t>
  </si>
  <si>
    <t>CN-P-152</t>
  </si>
  <si>
    <t>2024-09-09</t>
  </si>
  <si>
    <t>到目前玩了60多个小时，可以说是玩过的国产单机中最好玩的，值得一个好评。好的大家已经说的很多了，这里提一些小缺点吧，后续如果有续作或者dlc，还是希望做好以下优化：1、加上小地图，不然探索经常迷路很难受；2、加上游戏难度选项，现在就是有人觉得太简单，有人觉得难；3、少做一些如大石敢当、魔将妙音这样的boss，不了解机制，打起来很容易红温，尤其是大石敢当，可能优化不是很好，打起来电脑风扇就嗡嗡响，那感觉别提多烦了；4、剧情上，唯一接受不了的还是孙悟空和白骨精谈恋爱，虽然是几句话带过了，但做到这个剧情时还是感觉有点出戏，有点尬。。。后续还是建议少在孙悟空的爱情上做文章，我能接受其他人去谈情说爱，只有孙悟空，我就是接受不了，他这样一个嫉恶如仇的形象，怎么会被一些情情爱爱左右，他根本不需要渡情劫！</t>
  </si>
  <si>
    <t>Boss战斗节奏；难度挑战；地图路线；探索隐藏支线；引导迷路单线；优化帧率；推荐价值判断；西游悟空符号；角色期待意义偏移；国产3A身份期待</t>
  </si>
  <si>
    <t>CN-P-153</t>
  </si>
  <si>
    <t>2024-09-10</t>
  </si>
  <si>
    <t>一个三十三岁的男人，玩了游戏应该有二十年了~~STEAM也用了挺多年的了~~人生第一次在STEAM写评价。因为电脑是A卡，刚发售的时候玩不了~会跳出~~等修复期间为了不被剧透，任何关于黑神话的内容都跳过，瞄到有个黑字的内容都赶紧刷掉怕剧透影响体验。今天终于通关了，可以好好写下感受，玩之前我是用最低预期来期待这个游戏的，毕竟以前很喜欢的国产游戏如河洛出的系列，仙剑系列，古剑系列（古剑还可以不过当时期望太高）都翻车了，所以难免怕失望。但是黑神话玩下来，我真的看到了国产的游戏的希望。首先是画面，我认为做出了属于中国特色的画面，能媲美国外的精美且又由地方特色。其次是打击感，我认为对于我这种鬼泣，法环等等动作游戏玩了不少的人来说，我是满意的，非常不错。其次是细节，每一章结束的总结中国风动画让我非常的惊喜。最后是剧情，虽然剧情还是需要更加打磨，因为没有引导，所以有时候剧情会不够连贯，但是总的来说也是不错的了，有个8分。整个游戏唯一让我不够满意的是没有地图，这个后面玩家可以用mod解决。总体来说，超于预期，对得起国人的期望。可以算是国产3A里程碑式的游戏了，很希望能出黑神话二。最后想说下，最近发现身体出了些状况，可能会比较麻烦，又不敢去检查怕自己更忧虑。希望在我还活着的有生之年，还能看到黑悟空二，黑悟空三，以及更多游戏的国产游戏。</t>
  </si>
  <si>
    <t>画面美术场景；演出角色怪物设计；动作打击手感；地图路线；引导迷路单线；整体完成度；推荐价值判断；西游悟空符号；本国媒介路径；国产3A身份期待</t>
  </si>
  <si>
    <t>CN-N-154</t>
  </si>
  <si>
    <t>2024-09-11</t>
  </si>
  <si>
    <t>无有因，缩地频繁何故无有因，内丹溢出何故无有因，修改时间何故无有因，指定打怪何故无有因，面部红温何故是曰：逆天概率，浪费时间，寻师风灵，真意自现</t>
  </si>
  <si>
    <t>CN-P-155</t>
  </si>
  <si>
    <t>本人预购豪华版玩家，艾尔登之狼血缘诅咒都通关过，不算魂系列新人，等到白金才来写测评以示尊重。这是我第一个白金成就的游戏，整个内容和美术非常的吸引我。客观来说虽然有时候会闪退，但是丝毫不影响我的游戏体验，从开始玩我整个人就都被吸进去了。好的游戏就是这样，玩过之后的一段时间会有一股空虚的感觉，为什么呢？因为感觉很多粗糙一些的无法下咽了，之前两个出现此症状的游戏，一个是P5，一个是塞尔达。现在就等黑猴的DLC了，度日如年呐。总结一下，小问题是有的，但是对于在China这种大家都是捞子的环境下，能出此等神作，我觉得非常非常非常不容易，且牛批。我看到b站上还有一堆人搁那喷喷喷，起的标题只有那么难看，骂的也十分难听，这些人脑袋纯属有坑。是呀，确实有缺点没毛病，没人说他是完美的。但这可是在China做出来的呀，知道什么意思么，知道以前诸如仙剑奇侠传系列做单机有多惨么。在一片盐碱地开出绚丽的花朵，如果这不叫神作，那么还有什么是？</t>
  </si>
  <si>
    <t>画面美术场景；难度挑战；崩溃闪退；推荐价值判断</t>
  </si>
  <si>
    <t>CN-N-156</t>
  </si>
  <si>
    <t>曾经有个德国的朋友问我，你们中国有没有什么比较有名的东西，就像日本的武士（Samurai）或忍者（Ninja）一样，我理所当然地说：“有啊”，但是随后又陷入沉思，我们这么多东西，但真正走出去的文化却屈指可数，三体？我自己都还没看过，流浪地球？那确实是个好片子，但是德国人估计从来没听过，许久后我终于说，"功夫（Kongfu）?"德国人高兴地表示这个他知道，"Bruce Lee, Jackie Chen, right?"但我却没有很高兴，这已经是上个世纪80年代由香港人传播出去的东西，难道40年后的今天我们依旧在啃老本吗？思考了良久后，我突然想起了什么，然后抱着试探性地想法问了问他: "Do you know Wukong, you know, the Black Myth, the game?""Absolutely digga,"他惊讶地说道，"every gamer knows that."</t>
  </si>
  <si>
    <t>CN-P-157</t>
  </si>
  <si>
    <t>本篇评测将从玩家角度对现阶段的《黑神话：悟空》 （以下简称黑猴） 进行优缺点上的总结与评价。
先上总体评价：
黑猴从立项到游戏正式发售总共用时6年半，在首支实机视频发布后截止至发售时间的4年里，黑猴一直饱受舆论争议，毕竟在此之前，国内没有一家游戏开发商会用3A标准去开发一款大型单机游戏，更别说国内单机动作游戏领域长期处于技术空白。说实话，作为一名玩家，抛开四大名著西游题材的情怀加成，还是挺期待这款游戏的诞生，当时国内大部分朴素玩家最乐观的看法就是只要黑猴能接近立项时期战神4，奥德赛，大表哥2，猛汉王的质量就算成功。就在这样缺乏相应开发经验与普遍悲观的舆论环境下，游戏科学在黑猴开发上可谓稳扎稳打，牵头建立古建筑模型库，去到全国各地对名胜古刹进行实景扫描，在尝试解决虚幻5引擎技术问题的同时将更多的文化元素融入到游戏内容之中，并对此不断迭代更新，甚至因为开发力及产能的不足，理智地砍掉了近乎一半的开发计划，不断打磨现有内容，最终向玩家交出了一份远超预期的，极有开创性的，挑动了独属于国人玩家文化情怀DNA的东方奇幻ARPG大作。在通关黑猴之后，我对此只有4个字的评价
“无敌！”“牛逼！”
对于玩家而言，ARPG游戏的吸引力主要体现在玩法（即以动作为表现形式的战斗系统以及包含探索、升级，技能等一切角色活动的rpg元素），其次是游戏代入感（画面表现力，音乐音效，场景关卡设计，故事性等可以进一步提高玩家感官反馈的综合性体现），在黑猴发售之前，国外开发商对此类游戏形式的开发几乎达到了顶峰，例如高难代表的魂类游戏，画面张力拉满的暴力美学代表战神，主打华丽爽快的硬核动作代表鬼泣等。
在如此多优秀作品的影响下，黑猴不但没有单纯地去模仿借鉴，而是在吸收很多同类型游戏的游戏特质后，确立了自己的玩法风格，并做到推陈出新，打破了“动作”标签总是与硬核高难度关联的魔咒，并且增多可以进一步削减游戏难度的战斗、法术、法宝及其针对性的搭配方案，同时弱化了数值与难度的强关联，将难度的主要体现转移至boss设计本身，这简直可以说是”大胆地开创性尝试"，让玩家的体验真正意义上回归游戏本身，而非为了体现难度一味地让玩家坐牢。
黑猴核心玩法上的低门槛+流畅灵动的连招与打击反馈+多变的应对手段+紧凑的头目战boss战+极具观赏性和韵味战斗风格及动作设计，再有深层文化属性上的共鸣加成，一轮轮战斗就如同让人身处一场持续性的刺激风暴，大脑不断喷水，简直爽飞了。直至黑猴发售，市面上都没有这么一款爽感如此密集的arpg游戏，从这个角度看，黑猴的玩法确实是开创性的，并且动作设计达到了同类顶尖的水平。
除玩法之外，黑猴的代入感明显也在虚幻5和游科美术风格的加持下步入了一个新的殿堂，它以极高的画面精细度，几乎接近于真实的视觉表现力，影视级的过场演出配合相得益彰的音乐音效与制作精良的章末动画极大地加速了黑猴的传播。其他的不说，黑猴美术风格中富有文化底蕴的场景亦或建模，这种将部分故事性融入画面的意境叙述，至少让国内大部分玩家在精神层面爽到了，这种源于深层文化的爽感是其他同类游戏无法给予国内玩家的独特体验。
从玩法与代入感结合来看，黑猴做到了长板极长，其中极其突出的部分不说超过同行业的3A水准，但确实达到了行业顶峰，其中战斗系统，boss与角色设计，美术风格，音乐音效就尤为突出。从这个角度看，说黑猴是国内3A游戏的里程碑，填补了国内单机动作游戏的空白，它的确当之无愧。
当然，与之相对短板也很明显，游科团队保留有斗战神时期的项目开发经验，同时主创又是西游迷，整个主创团队的文学水平及艺术水平在线，美术设计在斗战神时期也是拿过美术设计奖项的，这些具有一定经验积累的开发方向在吸取很多3A级ARPG大作的特点后自然可以做的更好，但像是单机游戏地图场景设计，关卡设计，开放世界探索玩法等等方向的开发和成熟度就只能依靠一步一个脚印把经验积累上去才能补上自身短板，毕竟大型arpg融入东方奇幻独特的美术风格是没有任何参照先例的。除开这个原因，黑猴大场景地图的割裂感与后面几个章节的赶工痕迹也确实证明了游科在开发上的产出乏力，这种无奈是可以理解的。
怎么说呢，瑕瑕瑕瑕瑕不掩瑜吧只能说，至少黑猴六个章节以核心玩法为主的内容做到了尽善尽美，游科团队很早的发布会就表示过不会把步子迈得太大。力所能及的方向他们确实尽力而为了，所以其实作为玩家也没什么小瑕疵不能忍受的。当然，未来也希望游科在续作中能补上自己的短板，补上玩家的遗憾，真正让黑猴“成为”大圣。
评价到此为止，接下来对黑猴特别突出的优缺点进行一个玩家视角的具体分析。
1.优点
▲战斗系统：作为黑猴玩法核心之一，它继承了近些年arpg大作的精密动作感+法术、物品策略应对的模式，并在此基础上大幅扩展了法术与物品的玩法，加大了玩家在选择应对策略时的容错率。简单举个例子，在面对妖怪攻击动作时，玩家可以有棍势切手、闪避、身法、变身接近4种拥有无敌帧的规避手段，还能通过主动释放满蓄力重棍、破隐一击、定身法或安身法来破招，而轻棍可以流畅衔接大部分法术和物品，哪怕在面对boss时反应时间不够，依旧有足够的补救手段来避免血条被瞬间清空。
另外又有丹药提供多样增益，化身+法宝既能破招硬直，又可以补输出，这些东西结合灵动迅捷的动作打击，简洁高效的策略变换有效降低了游戏门槛，让战斗体验上升了不止一个层次。这里都不需要对各种流派和异常状态机制进行展开说明，仅仅是把常见于arpg游戏中构成战斗系统的基本元素拎出来，黑猴主打一个流畅新颖且操作上限极高的战斗体验就已经远超同类游戏。相信不止是arpg玩家，跟随黑猴破圈入坑的普通玩家在熟悉游戏玩法后一定也可以收获很好的游戏体验。
最后，说一个大部分国外玩家无法体会的点：一款西游题材的3A级大作，里里外外都是文化底蕴构成的细节，且不说那些极有意境与想象力的场景设计，单单是战斗系统对故事背景的还原和重塑，就足以令国内玩家的快感成倍增加，反正我是冲爆了。
▲难易度：通常来讲带有“动作”标签的游戏都逃不过需要考验玩家反应、打击停顿或是动作迟滞、高难游戏设计这类有一定门槛要求的特质，哪怕有动作分级，哪怕是不同类型，诸如横版动作，动作冒险，动作角色扮演等大部分都是如此，这几乎成为了行业规则。而厂商在开发动作游戏时，降低门槛的设计一般是提供难度选择，这看上去很友好，但实际上游戏的门槛依旧存在，比如放弃难度设计的法环。
这其实也没法具体去讨论到底哪些元素是粪，毕竟动作游戏最初就是强调操作性的，这类3A动作游戏在经历多年的开发创新，游戏套路在惯性之下差不多都固化了，例如极限反应时间，变帧快慢刀，无序roll点或读指令的逆天boss设计，反正就一遍遍捶打折磨玩家的精神，直至玩家依靠肌肉记忆以及高强数值通关，当然更多的会是弃游。动作游戏在玩法上的设计似乎到了瓶颈，只能从玩法之外去丰富游戏性，但又很难在原有基础上有更好的突破，近些年相信很多arpg玩家都深有体会，最典型就是某黄昏和某树影，对比两者的前作，只看见些紧凑的内容堆叠，令人恐惧的ZZZQ以及无趣的数值，可谓实属遗憾。
黑猴似乎很好地从同行那边吸取了经验，在放弃难度设计的同时，采用反套路打破固化思维，直接摒弃动作游戏传统规则，把难点主要集中于个别boss的特色设计上，配合手感极佳的战斗系统，真正意义上降低了游戏门槛。前文总结过这一点，之所以单拎出来夸，是我认为抛开一切作为国人的文化滤镜，超低门槛与战斗系统的组合是黑猴全网迅速爆火（包括外网）的唯二主要因素。
事实证明，只要好玩够爽，没人管你是什么题材，讲没讲好故事，缝了什么又缝了多少，哪怕是arpg这种3A大作频出的类型同样可以打破文化壁垒和刻板印象。
▲画面：黑猴能在全网病毒式传播的另一个因素，这个肯定不需要多说，现实渲染+顶级美术设计+实景扫描模型+虚幻五，什么叫影视级的风景如画啊？我直接一个战术后仰！
（哼哼！让老外尝尝第九艺术的真正视觉表现力。）
▲除战斗之外的其他游戏内容：游戏之所以被称为第九艺术，就在于那些丰富了核心玩法之外的构成因子，即游戏深度与广度的综合性体现，前文部分列举过，就不再一一细说。
这方面内容黑猴做得比较好的地方有以等级装备、技能天赋等为主的rpg核心元素，简单易懂的主线流程以及通关动画，立体感很足的角色设计（包括部分boss），出色的音乐音效。
还有最最最最最重要的一点，游科在围绕紧凑的战斗节奏上，很好的将大部分内容融合在一起，并找到了其中的最大公约数，这是黑猴在整体体验感上高于其他同类游戏的主要原因。
▲优化：没什么好说的，虚幻5的入门显卡1060都能60帧跑黑猴，除了糊点，其他纹理细节都还算可以接受，都这样了还要什么自行车？
优点分析结束，最后总结一下吧，黑猴是我认为大部分玩家都能凭借自身力量过关的arpg游戏，绝对不会压仓底，友好的难度平衡搭配平滑的成长曲线以及不会直接压到游戏玩法的数值设计，在保有挑战性的同时，只要探索完整张地图就可以让你拥有挑战关底boss的战斗力，哪怕从未接触过arpg的玩家，也可以在现有的内容里的找到适合自己的流派，并且从黑猴的技能设计上可以看出游科不反对逃课，比如棍花流，搅棍流，肉身流，毒师流，隐身嗑药流等等，就连硬实力担当二郎神都只有一根血条，游科真的非常希望玩家能好好享受游戏，而非是无意义坐大牢。
想想吧连不太像人战鹰女士都快通关了 （与毒敌大王大战70回合酣畅淋漓） ，这游戏真的难吗？当你一路闯关，最终干翻二郎神，解锁真结局，那种爽感填满心头的感觉真没啥平替吧，法天象地激斗的震撼感，压迫力拉满却放了一地水的大圣，天命人最后击败大圣难以描述的传承感，相信许多玩家在首次通关后也会像我一样大呼
“牛逼”。
★官方在最近的一次游戏更新里增加连战模式，各位友友快来酣畅淋漓的坐牢吧~
有风灵月影宗兜底，没入的兄弟们放心入吧。
2.缺点
▲地图设计与探索收集：我认为地图设计的缺点不是空气墙，没有小地图这些近来老生常谈的问题，而是主要集中在背景与场景的分界模糊，路径引导上的视觉效果不明显，大部分地图场景过于空导致探索过程无法提供有效正反馈这三点上。
先说第一点，每个章节的独立地图整体上看没啥问题，生态系统、地形转换没有明显的突兀感，但可能是因为游科没有以线性叙事为主的开放地图设计经验，也可能是过于在意地图美术风格的整体性，很多你以为是场景的地方，实际却是背景，反之亦然。没有明显的场景与背景的视觉分界，探索体验真的很糟糕，尤其是在地形复杂且设计有多层结构的盘丝洞，纵使我是老开放世界类游戏玩家，但在盘丝洞的探索过程中也多次重复迷路，真的感觉是坐大牢。
如果第一点是由于开发团队经验缺失那确实情有可原，可第二点完全就是有作业不抄或者没抄好的典型反面例子，开放商在设计开放地图的时候一般有两种方式来降低玩家探索复杂地形的难度，一是主动性的视觉引导，例如猛汉王的导虫，二是被动的视觉提醒，比如刺客信条的突出物路径，战神4的导航标记等等，除了接近土地庙的白光，黑猴在常态下选择的第二种方式，采用火光指引路线，但在复杂地形中，火光经常与背景融合到一起，实际上视觉效果的明显度几近于无。这两者综合起来几乎把探索的糟糕体验放大了数倍。
从许多游戏内容的设计上可以看出，游科是鼓励玩家探索地图的，毕竟在以线性叙事为主的游戏中这可以最大程度丰富内容。可惜由于游科工期紧、产量低，确实没办法兼顾整体上的内容质量，这就引出第三个缺点，很多地图场景宏大且广阔，但是与之匹配的内容太少，探索的收益与正反馈严重不足，加之前面提到的缺点，这部分游戏体验就显得很空。
唯一值得称道的是，在与化身相关的精魄收集上，体验不错，再配合影神图总体还是很好的。其他收集品如文玩，种子等除了内容相对少，只能说中规中矩。（收集需要时间成本不是常识吗？）
最后，我认为这是目前黑猴的内容中最影响游戏体验的一个缺点。希望游科在后续优化中至少可以补个小地图，以方便很多没玩过arpg或者开放世界游戏的玩家。
（游科已经补上小地图了。）
▲故事性的展开：黑猴主线流程里的剧情大纲因为极高质量的动画及角色设计，总体上的感受还是比较好的，但还是存在一定的理解门槛。由于黑猴起到了文化传播的作用，我决定严肃讲一下这个问题。
故事简单明了才能讲好故事，这是众所周知的前提，就像是游戏开局，很明确告诉玩家你是谁，你要去哪里，你要做什么，而在故事开局之后，故事的碎片化变得严重起来，很多故事细节藏到了影神图里，游戏作为故事载体，当然可以融入到内容本身，但依旧如前文总结的一样，过于单一过于紧凑，没能在更多地方以直观的方式把故事性融入进去。在抛开文化滤镜，更多的玩家只能从其他渠道或是看各种剧情解析来了解故事，有较高理解成本（频繁阅读影神图）的游戏，往往在体验上也是很差劲。黑猴的文化传播，实际上是以游戏体验好、战斗内容角色设计丰富、画面特效好等为主进行传播的，而不是直接从故事本身入手，只能说任重而道远。
虽说如此，但黑猴确实开了个好头，游戏做得好玩，才能考虑丰富故事内容，至少游科在这一点上的先后顺序没错。
客观的说，也没法过多苛责，这依旧是游科工期紧，人手少，产能跟不上导致的。当然，故事性如何更好的匹配兼容3A大作的游戏内容，是需要慢慢摸索方式方法的，这算是目前比较遗憾的一个点。
（故事好坏如何，还得等看见完整故事轮廓，才能见分晓。在二创鼻祖西游记面前提二创，也未免太过搞笑。）
PS：
其他诸如关卡设计，地图内容不足（尤其是花果山），后期赶工痕迹明显，道具装备物品略显匮乏，打坐点场景设计水平下滑等等就不展开说了，因果都差不多。
每每想起高台远程粪怪、独木桥堵路粪怪、飞天粪怪、偷袭粪怪等一众粪怪兄弟在本大圣一路畅爽无比的闯关路上给我突然来一个寸止挑战，我就恨不得想给宫崎老贼来上一拳。
最后，衷心的希望游科在开发续作的征途上勇往直前，越做越好。
也祝各位看官天天开心。
至此，评测完毕。</t>
  </si>
  <si>
    <t>画面美术场景；音乐音效配音；演出角色怪物设计；动作打击手感；Boss战斗节奏；难度挑战；锁定视角；判定反馈；地图路线；空气墙可达性；探索隐藏支线；引导迷路单线；优化帧率；Bug兼容硬件；整体完成度；推荐价值判断；西游悟空符号；童年记忆情怀；本国媒介路径；国产3A身份期待</t>
  </si>
  <si>
    <t>CN-P-158</t>
  </si>
  <si>
    <t>2024-09-13</t>
  </si>
  <si>
    <t>玩的游戏不多，但绝对是我现在为止最用心玩下来的一款游戏，打到三周目下来感觉前两周目没有特别难的boss，只要用心去拆招解招，了解机制，普通人都能打过，门槛很低，美中不足的有四点，一个是逆天的空气墙，我不明白为什么要把悬崖边上的空气墙设置的那么别扭，每次看到那个差点栽倒的动作我都在心里吐槽；第二点就是相较于人形boss，一些巨型boss（紫蛛儿和百目）的模型设计给我的体验感很差，甚至跟怨鬼比都差太多，但人形boss（大圣，二郎神，小黄龙）让我很满意；第三点就是大圣套装在高周目的表现差强人意，希望以后可以增强一下高周目天命人的数值或者下调一下怪物的每周目成长；第四点也是最让人诟病的一点就是爆率，平均下来每一个需要刷出来的材料都花了我半小时到一个小时，希望dlc的新地图可以取消概率掉落材料。总而言之，这是一个相当可玩耐玩的游戏，剧情我打8分，天命人机制我打10分，boss战的话我打9分。是一款很好的游戏，超出了我的预期，感谢游科带来这么高质量的游戏，希望dlc能更上一层楼。</t>
  </si>
  <si>
    <t>动作打击手感；Boss战斗节奏；地图路线；空气墙可达性；整体完成度；推荐价值判断；西游悟空符号</t>
  </si>
  <si>
    <t>CN-P-159</t>
  </si>
  <si>
    <t xml:space="preserve"> 81.0 小时</t>
  </si>
  <si>
    <t>2024-08-31</t>
  </si>
  <si>
    <t>其实说实话，在正式游玩之前，我是抱着对国产游戏制作商的刻板印象去看待游科的，那时候的我固执的认为，国产游戏的厂商对于游戏的打磨根本不会像外国厂商那样用心，只喜欢去赚一些快钱，但当我真的游玩到这款游戏之后，我才知道我错了，原来真的也有国产游戏厂商在凭着对游戏的热爱，去认真的开发和打磨一款属于我们自己文化的游戏，游科，你真的打破了我对国产游戏厂商的刻板印象  首先就是下结论，本作十分推荐各位玩家入手，至少在我个人来看，这是我今年以来玩到过最棒的一款游戏（不排除有文化滤镜加成）在历时接近70小时后，我也是白金了这款游戏，接下来我将从剧情、画质等方面详细介绍下我对这游戏的感受:1、剧情 首先就是本作一共两个结局，一个是普通结局，触发条件是在没完成特定隐藏关卡情况下，直接打败了大圣后触发；一个是真结局，触发条件也不难，只要获得四件法宝（打败每个隐藏地图的关底boss）并找到了小西天隐藏地图瓜田后，就可以获得面见二郎真君的机会，打败二郎真君再去打大圣，就可以触发了  其次，除了常规的CG外，每通关一次关卡，都会播放一段国风动画，每个动画制作都是真的高，其中隐含的道理，在某种意义上已经符合了艺术的水准，这也是我在游玩过程中感到最惊喜的一个方面（尤其是八戒和紫珠儿的，真的掉小珍珠了）但从整体上来看，说实话，剧情总是给我一种还能塞点东西的感觉，尤其是越到后面几章这种感觉就越强烈，归根到底还是前面挖的坑太多后面没填的原因，不过从整体来说，只要是看过西游记，这问题其实也不影响剧情的体验，没看过的也没事，现在有很多博主也出了一些很优秀的剧情解析，玩完一遍后去补也会有不错的体验2、画质  这个没什么好说的，必须满昏，游科真的是在游戏里完美的还原了独属于我们文化古建筑的恢宏大气，同时，落叶、飘雪这些独属于中国人的浪漫美学也都有做出来，个人觉得在视觉体验这方面，黑神话悟空绝对是在我玩过所有的游戏里面，见到过最好的一款游戏3、难度  有一定难度，但个人感觉，黑神话从整体来看，肯定是要比魂类和其他动作游戏（比如怪猎）稍微简单一些的，定身术一类法术，很大程度上提高了玩家在游玩过程的容错率，更不用说还可以变身为其他妖怪来帮你抗伤害，所以还请之前没玩过动作类型游戏的玩家放心，如果实在是打不过，还有各大攻略博主开发的各种轮椅打法（点名毛毛流）助你取得真经4、白金方面  白金必须二周目，成就虽然整体来看没什么难度，但概率爆出的设定就让白金非常耗时间，白金所需时间完全看运气，运气好的50个小时以内就可以白金，运气不好的则需要50小时以上，我就属于运气一般的，花了接近70h才白金  个人认为，黑神话之所以能在国内受到如此多赞美的原因，并不仅仅只是因为游戏质量高，更多的还是在于他打破了中国游戏市场常年被手游制霸的局面，让国产3A游戏首次出现在了大众视野；同时，黑神话的出现，也对我国在文化输出这一战场具有重要的推进意义    举个例子，以往你要是在外国人面前说起悟空，他第一时间想到的肯定是日本龙珠里面的悟空，而不是我们认识的那个孙大圣，这就是文化输出带来最直观的影响，但黑神话的出现给了我们打破这一局面的希望，这也就是为什么各地官媒争先报道，央媒也力挺的原因，因为黑神话不仅仅是给国内3A游戏的做了个很好榜样，更多的还是起到了成为我们国家的一个文化符号的作用；同时这也是我国国内PC玩家们之所以不惜被称为“猿批”也要到处宣传的原因，我们一方面是希望国内游戏厂商能注意这块游戏市场，另一方面也是希望我们的传统文化能被世界上更多的人知晓，同时我也认为，国内玩家对黑神话的自发宣扬的动力，不仅是因为觉得这款游戏值得更多人去玩，更多的还是来自于我们对自己文化的高度认同感，我认为这就是一种文化自信</t>
  </si>
  <si>
    <t>画面美术场景；演出角色怪物设计；动作打击手感；Boss战斗节奏；难度挑战；锁定视角；地图路线；探索隐藏支线；整体完成度；推荐价值判断；西游悟空符号；本国媒介路径；中国文化宗教语言审美；外部资料依赖；国产3A身份期待</t>
  </si>
  <si>
    <t>CN-P-160</t>
  </si>
  <si>
    <t>2024-09-15</t>
  </si>
  <si>
    <t>妥妥的顶尖3A，市面上拿出任何一个大作/年度最佳与之相比都能平分秋色，甚至在某些方面胜出。尽管我仍然能够指出黑神话中许多有待改进的地方，但这不妨碍它的综合表现稳稳的位列第一梯队，就像我不能因为省状元没有考到750分就剥下其状元头衔——更何况在我玩的诸多游戏中没有一个能达到750分甚至720分</t>
  </si>
  <si>
    <t>CN-M-161</t>
  </si>
  <si>
    <t>2024-09-18</t>
  </si>
  <si>
    <t>别在这看差评了，好多都是资本远程养的犬在吠，抹黑游戏，不要相信。游戏超好，买就完了。</t>
  </si>
  <si>
    <t>CN-P-162</t>
  </si>
  <si>
    <t>2024-09-20</t>
  </si>
  <si>
    <t>完整剧情梳理解读和评测：https://www.bilibili.com/read/cv39900417/
===========游玩感受写在前头===========
81小时双结局通关。81成就九九归真、功行圆满。
主探索玩家，第一次玩动作游戏，还望多多包涵！
上手难度不大需要耐心，以享受乐趣为主，重在体验。
适度游戏适当休息，特别是晕视角的朋友。
满分的美术场景真实精致，优秀的战斗演出异彩纷呈，玩法丰富内容充实质量高，特色鲜明的配乐如三弦陕北说书等融情于景，沉浸式的游玩体验特别棒。
全流程中第三回黄眉三阶段的演出效果是最好的，与二郎神法天象地一战尽兴畅快，与大圣切磋百般武艺酣畅淋漓。
六大章回六个故事精彩绝伦，单元剧式的章节定格动画融合传统艺术木偶水墨画的情景演绎令人耳目一新，制作精美巧妙，饱含故事性艺术。独具匠心的影神图画，每个妖怪都有自己的故事饶有趣味，属于中国游戏的文化魅力。
不足之处：空气墙对于大地图探索极度不友好，加之弱引导容易导致迷路。光影视效有些地方过于晦暗或明亮，实时渲染会出现贴图闪烁、掉帧卡顿的问题。
视角转向迷糊，锁定与否都会有视野丢失的情况（点名全游戏设计最差的百眼魔君，受击面小，视角锁定身体只能打前脚或侧面容易打空，非常折磨没有一点体验好感）。
碎片化主线在第三回以后特别明显，叙事结构偏弱，脉络比较模糊，隐藏的信息要结合影神图才能有所了解。支线方面提示信息很少，惊喜感较少，做得最好的是第二回黄袍员外的隐藏。
空气墙可以慢慢修整，引导方面和视角问题建议加快行程解决。后续优化好后可以增加药草仙丹、法宝珍玩的图鉴以及过场动画、画卷的收集，以及开放自定义挑战模式。
整体游玩可圈可点，瑕不掩瑜，不妨亲自体验，绝对是值得一玩的佳作！
非常优秀的游戏，直到现在仍旧意犹未尽。
故事尚未完结，期待后续制作！
===========2024年9月20日===========
===========2024年8月20日===========
天产石猴惊天地，云宫迅音震四洲。
金猴奋起千钧棒，玉宇澄清万里埃。
这正是： 鸿蒙初辟原无姓，打破顽空须悟空。
四年前的实机演示如此震撼人心，四年后的正式发售终于梦想成真。这六年（2018~2024），游戏科学一心同归，潜心创作完成了这个让无数中国玩家梦寐以求的游戏，讲述名为《西游记》的故事。
他们就是取经人，一直在自己的道路上默默探寻着，一步一个脚印踏踏实实地一路走过来。尽管前行之路荆棘丛生，依然坚定不移披荆斩棘，深信希望的光芒能够照亮前方的黑暗。
烟霞缥缈随来往，寒暑无侵不记年。度过四时八节，历经千难万险，山高路远自往前。比抵达灵山更重要的是这个过程，他们享受这个过程。
漫漫长路，有心人往。山不碍路，路自通山。
九九归一功行满，历练笃志方成真。
灵台通明须悟道，方寸善法会元空。
禅定终有时，待到功成行满，自然通明善法，悟道空空。
九九归真道行难，坚持笃志立玄关。
必须苦练邪魔退，定要修持正法还。
何为天命？命由己造，相由心生。
每个人皆是天命之人，每个人皆是悟空。
敢问路在何方？斗罢艰险又出发。重走西游路。
我们直面天命！
===========2024年8月20日===========</t>
  </si>
  <si>
    <t>画面美术场景；音乐音效配音；演出角色怪物设计；动作打击手感；Boss战斗节奏；难度挑战；锁定视角；地图路线；空气墙可达性；探索隐藏支线；引导迷路单线；优化帧率；整体完成度；推荐价值判断；西游悟空符号；本国媒介路径；中国文化宗教语言审美；国产3A身份期待</t>
  </si>
  <si>
    <t>CN-P-163</t>
  </si>
  <si>
    <t>距离《黑神话悟空》上线刚好一个月了，拖更许久的游戏测评，或者应该说是我的个人浓烈爱猴情绪感想，今天得把它写出来，不然都对不起那些带节奏的黑子组织的努力，扒拉这么些日子，让大家玩的更起劲了，就是要写更多好评气死他们。    不过，怼黑子归怼黑子，游戏本身的优秀才是收获到玩家的喜爱的根本，出于自发的，真心的想要把这款中国首款3A大作游戏安利给更多的人，无论是你是不是游戏玩家，还是因为热度留意到游戏还在观望的各位，黑猴都值得你入坑，且听我细细道来。注意以下内容为主观安利，带有浓厚个人情绪和感想，雷的亲自行回避，想对线的也可以后台私信，24小时恭候，嘻嘻    我本人90后，关于游戏的启蒙其实从小学就开始，因为有一个酷爱游戏的弟弟，耳濡目染的总能知道一些行情。虽然我的爱好更多的是追星看小哥哥，本着好奇原则和啥都想试试的心态，还是会玩上一些。在互联网还不算发达的千禧年代，单机游戏香的很，什么暴力摩托，魔兽世界，侠盗列车等等，一些网页小游戏，挖金矿，冰火森林人等，再到网游的崛起，什么跑跑卡丁车，穿越火线，梦幻西游等等，近些年的手游王者荣耀，阴阳师等等，仔细想想我还玩过蛮多游戏的，也算是一个中级游戏玩家了。不过近些年由于很少使用电脑，手游也就剩一款王者荣耀有一直玩，对于其他类别游戏近几年的咨讯已不像小时候那么灵通，发展到什么程度确实不了解，也就耳闻一些比较火的游戏。    那关于黑猴这款单机游戏我又是如何了解到的呢？从我对象的口中。我记得我刚跟他在一起那会，他是英雄联盟骨灰玩家，我看他就玩这一款游戏我就好奇，我说你不玩手游吗，他说没兴趣，我说就没有别的游戏好玩吗，他说想玩的那款还没出，估计还要等好几年。我说哈？还有游戏要等好几年，什么东西啊？他说3A游戏，确实要等挺久的，我说啥？3A？于是我得到了黑猴的科普，这一听我心里觉得来了兴趣，但也就一点兴趣，然后没了，直到游戏宣布定档，我来了兴致去看了看预告片。我丢，我懵圈了，我惊呆了，这做的也太好了吧！画面好好，武术动作好流畅，故事背景引用西游记，中式美学yyds。    但心里也发出了疑问？这是我们中国做的游戏吗？买啊，犹豫个鬼，不就是钱吗，拿去，拿去！发售前我变得比我男友还兴奋和期待，但同时也会有点害怕它只是雷声大雨点小，它做的其实没那么好。可这是国产第一款也，怎么也得支持支持。我对象说确实，关注好几年了，哪怕最后真的是个半成品又如何，哪怕游戏最终勉强回本或者回不了本，对于中国整个游戏产业是具有划时代的意义的，一如当时的流浪地球，是的，它不完美，但当我看它的第一眼，我心里的第一感想是这是我们中国拍的科幻片吗？真的吗？太牛了吧，这画面已经这么高阶了吗？是的，对于中国科幻片更是具有里程碑的意义。    但当年当流浪地球拥有了热度和讨论量后，当时我记得很多人带头说韩朵朵那段演讲尬的不行，是败笔，然后什么吴京战狼ptsd，在今天看来真的讽刺到不行，19年的年底爆发了疫情，到如今巴以冲突，希望难道不就是像钻石一样宝贵的东西吗？诚如当年的流浪地球被带各种节奏，每当我们中国有自己的成就总有些狗迫不及待跳脚抹黑，黑猴也不会是例外，但是3天破1000W，steam96%好评，300万人同时在线的单机游戏，千言万语汇成一句就是成绩在手，笑看疯狗。如今已是回头看，轻舟已过万重山，向前看，长路漫漫亦灿灿。    黑猴好玩吗，一个目前在三周目的我告诉你好玩，超级好玩，以至于都一个月了，还能再玩玩，我要跟寅虎大战三百回合，秒杀大头以泄我新手被虐之恨，去斯哈里国再看看意气风发的黄风大圣，骑上亢金龙救出我那唠叨却可爱死的二师叔，不去撕紫符四妹就不会被抓走，看一次哭一次的蜘蛛和只猪的遗憾，以及大圣想要传给我们天命人的意志，原来已经有这么多回忆了，有喜悦，有难过，有思考，有遗憾，黑猴带给我的东西太多太多了    第一次玩这类型的游戏，一开始还蛮手残，经常劈空，丝血被秒，一个BOSS卡他么的一小时，差点想弃游，但在路上的风景常常让 人流连忘返，画面美不胜收，每次打坐都是一次心灵的治愈，游科实地扫描的名胜古建让我足不出户可以无死角欣赏独属于华夏的优美。每一章的章节动画引人深思且才用有趣的动画去呈现，美术表现形式各不相同。配乐更是一绝，陕北说书，赛博念经，每个BOSS独特的配乐，章节主题曲，无一不是中式美学，游戏过程我几度热血沸腾，放心，绝对不是打红温了，就是一款从里到外都是体现我国文化的游戏真的好难去挑毛病，黑猴在美术方面真的绝了！看了些外国玩家的reaction，他们能够借此机会了解到我国的文化怎么不算是一次优秀的文化输出呢？    那黑猴它是完美的吗？当然不是，很多BOSS我可以一次过，但是尼玛的途中的小怪啥的让我破防，对，说的就是你，浮屠塔独木桥的小蝙蝠，我真尼玛服了，这个时候我他么想说，游科还我空气墙！所以空气墙是个大问题吗？这个完全可以再优化和调整，扣个0.1分就行。然后就是说黑猴难度不低，老实说我第一次打这类型游戏，确实还蛮难的，但这游戏攻略满地，每个boss有不同的属性，不同的棍法和不同的法术组合可以对付，挨打几次看清出招的招式要过关并不难，游戏如果时秒通关也蛮无趣的。而且也不是每一只boss都很难，整体难度适中，大部分设计也很合理的，除了一些粪怪（对，说的就是你王灵官），这里就扣个0.2分。    游戏的前四章设计得当完整，后两章确实有赶工的痕迹，做的不够仔细，实属遗憾，但瑕不掩瑜，这里就扣个0.1分，希望游科后面可以再优化下哈。至于争议较大的剧情方面，我就不知道所谓的原著党到底是原著小说还是他么的是86版西游记，首先游戏叫黑神话悟空，不是翻拍不是还原，是以西游记为背景的二创，有一定的引用和致敬，但也有自身的拓展和延伸，不是百分百还原好吗。好的创作本身是没有标准的，只要是人们喜闻乐见且能从中有所收获的就是好作品，有些人试图神化和偶像化，安的什么心呢，创作需鼓励才滋养土壤，才能结出更多的文化果实，且黑猴的剧情到底是不是乱编，有没有抹黑大圣，我相信玩过游戏的心中有答案，至少我这里没有一个神化的大圣。标榜原著党的你叫的越大声，越说明你心中恐惧的是另外的东西，西游记如果因为黑猴就改变了形象，那何尝不是时代的选择？如果不会，又为何一定要执着于只有一种大圣形象呢？嘴上说多元，心底却是最保守禁锢，真是倒果为因。不过在剧情上我还是要扣个0.1，我真的听一次勿听我就哭一次，太遗憾了，我的猪八戒和紫蛛儿，听不得听不得，眼睛哭肿了，扣分扣分！    那最后我给黑猴的评分是9.5分，一款有点红温但更多是感动和震撼的游戏，一款入股不亏还小赚的游戏。游戏从立项到面世，一路走来何尝不是九九八十一难，但还好，终究是相见了，一路的妖魔鬼怪魑魅魍魉都已是过去了。看着游戏最后那不过3分多钟的参与人员列表，才100多个人，真心泪目，千言万语还是只能汇成一句，游科的各位，你们真牛，真的好牛！但是DLC还是搞快点哈！我相信你们，哈哈。    因为一直懒癌发作，拖了好久都没写这个测评感想，其实有一直在看关于黑猴的舆论动态，日常看见智障发言想怼，但鬼知道对线的是人还是AI，想想还是罢了，也怕麻烦。可我是真心热爱这款游戏，难道我就不能做些什么吗，现在都通关好久了，闲下来就没啥想说的吗？对线不一定能改变对方的态度，但我需要做的是面对热爱的东西，我因为害怕别人不认可而不敢大声说出来，因为不同声音的所谓争议而闭麦，连这种直抒胸臆的勇气都消散了，谈何成为齐天大圣？可恶，可不要小瞧我和广智的羁绊呐！（虽然已经换成小黄龙，笑）    最后愿有更多优秀的游戏作品面世，应是整个游戏界的荣光。</t>
  </si>
  <si>
    <t>画面美术场景；音乐音效配音；演出角色怪物设计；动作打击手感；Boss战斗节奏；难度挑战；空气墙可达性；优化帧率；推荐价值判断；西游悟空符号；童年记忆情怀；本国媒介路径；中国文化宗教语言审美；原典知识人物关系专名；外部资料依赖；角色期待意义偏移；国产3A身份期待</t>
  </si>
  <si>
    <t>CN-P-164</t>
  </si>
  <si>
    <t>2024-09-22</t>
  </si>
  <si>
    <t>从20年亮相到24年发售整整四年时间， 黑神话悟空 这部作品总算是和大家见面了。我个人对于国产游戏不是特别感冒（因为在印象里国产游戏的质量都比较参差），所以一直保持了观望，直到发售前不久才开始关注。在国内氪金、网游的大环境下，虽然之前也出现过不少优秀的游戏作品，但多为体量不大的独立游戏，想要跨越技术水平、制作经验凭空打造出一部高规格、高质量的作品，几乎可以算是一个不小的“奇迹”了。然而就在国内外众多玩家的期待注视下，如同“猴王出世”般， 黑神话悟空 完全超乎了我的意料。从先前的实机演示就能看出来，一流的画面质量，场景细节的丰富，战斗特效的华丽，独特的中式禅意美学。高规格的华丽演出。恰到好处的配乐，无需本土化的中文配音。国产游戏技术水平也一举跻身到了当今顶尖水准。我的电脑4060 2k影视级画质，不打开光追，开启Dlss质量能稳定在50帧左右，但帧率波动略大。调到Dlss性能能稳定在60帧，个别大场景或boss战会掉帧到40左右，但不会持续太久，优化还算可以。游戏流程采用了章节关卡制推进。覆满植被树木的山野林间，黄沙漫天的黄风岭，白雪皑皑的小西天，等等。不同关卡都各有着不一样的风格，敌人。但对于关卡、地图设计（特别地图设计）这一方面，我个人只能给予 一般 的评价。前两关的线路相对线性，更偏向于Boss Rush。中期的两个关卡内容极其丰富，盘丝洞隐藏部分的内容，甚至单拎出来作为一个小章节都不为过。相比之下后期两个章节的内容就显得单薄了许多。使得整个游戏的游玩体验并不平衡。地图可谓是错综复杂，布满分支岔路、开阔场景。好处是，能激发玩家的探索欲，增加多周目重复游玩的趣味性，收获意外之喜。坏处就是爱迷路的玩家会不断发出：“这是哪？”“路呢？”“我咋又回到这儿了？”的疑问。不少空旷开阔场景也没什么意义。第六章关卡几乎没啥设计可言，直接将Boss分布在几个空地，坐着筋斗云挨个飞过去就完了。且游科是真的真的很喜欢藏，这不仅仅是对于游戏内的，也包括游戏外的宣发等。在不查找攻略的情况下，很多地方普通玩家可能通个三遍也发现不了。引导也不给你摆在台面上，而是隐藏在台词、文本之中。我不知道这样的设计是不是学习了 魂 ，但魂类地图峰回路转的精髓之处并没有得到较好的体显。 黑神话悟空 以ARPG作为游戏玩法，同时也能看见不少类魂元素。这样的类型没点经验还是挺难做的，而游戏科学却交出了一份出色的答卷。不论是游戏的动作流畅度还是玩法的操作性都足以称得上优秀。虽然有 魂 元素在，但难度真不算高， 魂 阴间的东西没学太多（除了浮屠塔能看见一些影子），且没有死亡掉落惩罚，土地庙（篝火）间的距离分布也比较合理。玩家所操控的 天命人 ，虽然主要只使用 棍 这一武器（游戏中还有长枪），但有三种不同的棍法（劈、立、戳），以攒满，打出棍势为核心。战场上其实对于敌人招式应对手段并不算多，只有翻滚闪避（还有加点的识破）（我刚进入游戏，习惯性以为左肩键是防御，结果却是棍花）。但强在猴哥会的招数实在过多，法术，七十二般变化，样样精通，还傍有各类法宝相助。大部分的能力、道具都可以加点、升级，且更友善的是这些有成长的，也都可以根据需要免费洗点重铸，以面对不同的情境。也正因为技能树足够庞大，一周目通关很多能力都是加不满甚至空白的。变化分为化身和变身，化身即为短暂变身使出招式。而变身则大有门道，能让 天命人 一定时间内直接变为所选择的角色，且拥有一套自身独立的战斗机制。但并不代表你就能在三界横着走，角色的构筑派生并不算多，而且面对妖王级别的Boss，不攒满棍势或使用技能，打出的伤害都足够的刮（痧）。敌人类型繁多，几乎没有换皮重复出现。耳熟能详的妖怪形象也根据原著设定得到了还原，Boss的动作设计、战斗体验也称得上独一无二（当然也存在一些比较屎的Boss，比如百眼魔君前腿在碰撞体积上有问题，非常容易空棍，导致我卡了三个多小时）。当面对妖王释放出几乎无解的恐怖招数时，玩家也可以想想原著中是如何应对的，找到针对性的法宝能直接事半功倍（是的，又给你藏东西了）。一般来说多Boss的战斗，体验上往往偏向于恼人的群殴，但本作的双敌人Boss在设计上十分得巧妙，他们会默契配合打出连环招式。击败Boss掉落的素材奖励，也是铸造不同的武器、披挂（装备）的主要来源。游戏的主要回复手段，也有着新颖的设定，分为葫芦、酒、泡酒物三个部分组成，各自合理搭配，会产生不一样的组合效果。还有一点，我在面对一些非人形或会飞\跳的敌人时的视角锁定体验非常糟糕。黑神话悟空 的故事发生在西行结束师徒四人成佛之后。简单概括，序章大战孙悟空死后，化作六个根器，其中五个被妖王所占，而玩家所扮演的 天命人 踏上了击败妖王集齐根器复活大圣的道路...期间，不仅猪八戒会助力玩家前行，一路上还会遇见西游记中一些熟悉的人物角色。中国玩家也终于有了独属于自己的文化浪漫。游戏科学对于，美术、文化，以及细节，都有非常高的追求。不论是场景建筑、雕塑，游戏内的文本（影神录\图鉴），章节间的独立动画，都能呈现出了华丽的中式美学。而敌人的受击硬直动作，不同反应的对话、演出，也体现了对于细节的把控。虽然严格来说章节与章节间剧情的连贯性并不大，且如果（我说如果）对西游原著了解较少，可能会感到游戏的故事莫名其妙，加上游科又喜欢藏，整体来说，剧本叙事方面是非常非常碎片化的。目前我所知的两个结局，也仍旧存在很多让人疑惑的坑，不知会不会在DLC中得到更为完整的补足。 黑神话悟空 绝对是中国3A迈出的里程碑式一步，它作为国产游戏的意义不言而喻，但即便抛开这些附加情怀，本身也是一部优秀的作品。我一周目流程时长约为40小时，且还有不少内容没有探索完全，所以原价买入也绝对不会亏的。推荐喜欢西游题材，动作游戏的玩家入手。</t>
  </si>
  <si>
    <t>画面美术场景；音乐音效配音；演出角色怪物设计；动作打击手感；Boss战斗节奏；难度挑战；锁定视角；判定反馈；地图路线；探索隐藏支线；引导迷路单线；优化帧率；Bug兼容硬件；整体完成度；推荐价值判断；西游悟空符号；童年记忆情怀；本国媒介路径；中国文化宗教语言审美；原典知识人物关系专名；外部资料依赖；角色期待意义偏移；国产3A身份期待</t>
  </si>
  <si>
    <t>CN-M-165</t>
  </si>
  <si>
    <t>2024-09-23</t>
  </si>
  <si>
    <t>很好游戏，玩了4周目才来评价的，绝对好评。我觉得在大部分人心里，这个就是2024年的销冠，2024年的最佳游戏。虽然游戏媒体可能不会把最佳游戏给黑悟空，甚至不会被提名。但是公道自在人心。《霍格沃兹遗产》，年度销冠2300w+，mc评分86，steam93%+然后TGA提名都没有据说是因为，JK罗琳和LGBT关系恶劣所以TGA就是一个zzzq的西方媒体我不会指望一个zzzq的西方媒体，会给没有LGBT，没有黑人，一个中国文化输出的成功产品提名甚至是颁奖。如果有了，自然可以去领奖，但是如果没有奖甚至是没有提名，也不要觉得失望。</t>
  </si>
  <si>
    <t>CN-N-166</t>
  </si>
  <si>
    <t>2024-09-24</t>
  </si>
  <si>
    <t>没DLC，仇恨永无止息没DLC，强弱如我何异没DLC，一切有情皆孽没DLC，梦幻泡影空虚没DLC，忧怖涨落无常没DLC，芳华刹那而已没DLC，苦苦不得解脱没DLC，诸行了无生趣没DLC？三界六道不就毁在这4个字上吗</t>
  </si>
  <si>
    <t>CN-P-167</t>
  </si>
  <si>
    <t>2024-09-30</t>
  </si>
  <si>
    <t>销量达到1000万时，销量不能代表什么好评率达到96之后，好评不能代表什么口碑到达顶峰之后，口碑不能代表什么好评率高是因为大部队还没通关，大部队通关之后好评率就低了，然后从95巅峰跌落到96低谷致敬全能耐黑王黑神话悟空当年，他被押去斩妖台，刀砍斧剁，枪刺剑刳，毫发无伤...也希望以后能有更多的国产优秀游戏。</t>
  </si>
  <si>
    <t>西游悟空符号；国产3A身份期待</t>
  </si>
  <si>
    <t>CN-P-168</t>
  </si>
  <si>
    <t>如果你问我,为什么中国人一定要有属于自己的三A大作?打开你的STEAM商店找到战神5的购买页面。那高达398的起售价,他们给十多个国家甚至一些可能很小很偏远的国家都配了音却没有给中文配音。看见了吗?这就是答案。你说他们真的不知道且无法统计中国有多大市场吗?不可能的。他们知道中国有多大市场，他们只是单纯的不想给，他们知道就算不给中配我们也会有人买。但是，今天不一样了。当你强大的时候,当有竞争的时候,当他们感受到威胁的时候,他们也许会开始尊重你们。</t>
  </si>
  <si>
    <t>音乐音效配音；推荐价值判断；中国文化宗教语言审美；国产3A身份期待</t>
  </si>
  <si>
    <t>CN-P-169</t>
  </si>
  <si>
    <t>2024-10-10</t>
  </si>
  <si>
    <t>将近一百个小时 三周目每个流程都原原本本做完解锁隐藏无数次的刷概率掉落的珍玩和披挂 一次次的在土地庙穿梭和复活 经历过BOSS战惊心动魄的大开大合 也体会过被一些沟槽的小怪机制地图设计恶心到的红温时刻嘲笑黑熊 心疼黄风  厌恶黄眉 痛恨百眼 cnm的太乙雷神应仙天尊王灵官 同情又羡慕平天和齐天的相爱相杀兄弟情 钦佩马哥、牛哥的忠心不二 追随大圣 打败大圣 却永远成为不了大圣不敢开不想开也不能开 我追随的是大圣 更是小时候仰慕大圣的那个自己经历过和猴儿哥一样又不一样的八十一难 看到最后的cg动画 听到那永远忘不了的《云宫迅音》 一切都值了最后 再来一次黑猴 启动！</t>
  </si>
  <si>
    <t>音乐音效配音；演出角色怪物设计；Boss战斗节奏；地图路线；探索隐藏支线；西游悟空符号；童年记忆情怀；本国媒介路径</t>
  </si>
  <si>
    <t>CN-P-170</t>
  </si>
  <si>
    <t>我该如何描述通关时的心情呢。通关一周目就打通了真结局，尽管在某隐藏BOSS那里吃了很久的瘪，但在一切都结束时，云宫迅音响起的瞬间，一切都值得。毫无疑问，这是一部非常优秀的作品，对于国产游戏来说，更是里程碑式的作品。极佳的音乐，美术，文案，怪物设计，战斗、动作设计，剧情演出，优秀的关卡流程，节奏体验，老少咸宜的难度，尚可的剧情，略显稚嫩的功能性地图设计。就结果而言，瑕不掩瑜，尽管确实有硬伤的部分，但丰富的战斗系统，极佳的视听体验，让这些硬伤的部分变得完全可以忍受。就单论每一章结束后的短片，便是独一份的，足以称得上奢侈的资源放送，更别提BOSS的演出，配合战斗后的释然，简直是妙到毫巅。为了避免首尾效应故意在通关后一天开始评价这款游戏，尽管如此我仍能给出满分的评价，也许有情怀，也许有国籍加成，但在这么多优点的加持下，我能肯定这是无愧于心的评价。我没有大圣梦，对西游记的印象也止步于86版电视剧，时光流淌至今记忆也变得极为模糊，但在这段可以称得上享受的三十多小时的旅程后，在满载回忆的《未尽》后，在那份放不满一首歌的鸣谢人员名单后，终于，在单机游戏上，我终于觉得能看懂中文是一件非常了不起的事情，这一份独特的韵律，透出屏幕的古朴文化，是如此令人动容。10/10，一部足够优秀的作品，一部称得上是中国单机游戏里程碑式的作品，一部够得上，也值得被评为年度最佳的作品。</t>
  </si>
  <si>
    <t>画面美术场景；音乐音效配音；演出角色怪物设计；动作打击手感；Boss战斗节奏；难度挑战；地图路线；探索隐藏支线；推荐价值判断；西游悟空符号；童年记忆情怀；本国媒介路径；国产3A身份期待</t>
  </si>
  <si>
    <t>CN-N-171</t>
  </si>
  <si>
    <t xml:space="preserve"> 54.3 小时</t>
  </si>
  <si>
    <t>2025-06-10</t>
  </si>
  <si>
    <t>黑神话玩完了，想说说个人体验，游戏确实不错，我全搜集了，毕竟是难得拿得出手的国产大作。首先我得抱歉一下，魂游对我来说还是太难了，我是开了挂打的，加了一半的防御，否则连广谋那都过不去。但是有的人说黑神话不算魂游，例如我朋友，但是STEAM商店页面明白写着魂，所以它就是，而且在我这只要是小怪伤害高大怪秒人还有存档点刷新怪的类似这些设定的游戏统统都算，马里奥也算，但是魂斗罗不算，因为魂斗罗有几条命，算变相血条。另外，虽然普通动作游戏跟魂类不一样，但我还是要拿《暗黑血统1》这个游戏作比较，可能比较冷门而且续作一塌糊涂，所以只拿1代说，不知道这个游戏的可以云一下，也很不错，《暗黑血统1》我能做到一命通关，黑神话我可能连精英怪都打不过，这大概就是属性相克罢，但我真的很喜欢黑神话这个题材，所以哪怕开挂也玩完了。剧情方面既然底子是西游记但跟原著出入很大，所以我就当个独立世界观看，但看表面剧情貌似就是大圣想告老还乡但上边人卸磨杀驴，然后玩家也就是天命人猴子搜集大圣遗物传承衣钵这么个事。因为剧情里有的事情都没讲，就我个人而言的剧情猜测如下，回顾整个游戏流程和剧情，抛开游戏性和技术问题等现实因素，剧情世界中先细分成以下几个势力：西天极乐、天庭等要大圣死的势力，弥勒、杨戬、花果山等帮助猴子继承衣钵的势力。这样才能解释为啥猴子一路搜集遗物闹出这么大动静，但敌对势力却像老式魔王勇者似的任由猴子成为新的大圣，我一开始以为是他们想培养一个听话的打手，但再看弥勒、杨戬等人的台词和剧情，我只能认为是西天或天庭出了什么幺蛾子，直接导致这些人叛离原有势力来帮猴子，简单来说是翻版的大闹天宫。还有一些事情我暂时无法理解，例如穿越回过去时候的斯哈哩国黄风怪明显还是个护国神圣为啥后来变坏了，单看影神图，我文化水平不高，只隐隐感觉是西天有人捣鬼。还有剧情时间中人类势力去哪了，还有那漫天神佛都去哪了之类的。剧情说完再说说游玩时候的一些缺点，首先要说的就是地图问题，前几章给我感觉还行，绿林、荒漠、雪山，还有那些取材于真实的建筑给我看入迷了都，但是游戏中连个小地图都没有的弱引导，以及视觉疲劳是真的捞，甚至游戏整个流程涉及到例如进出室内外时候的光线过于明暗问题，开始我还以为是我我的问题，实际一搜大伙儿都这样，不过可以关掉一些设置来解决，这个就算了。从蜘蛛洞那才是真正的黑，是真他妈黑，我上调游戏外屏幕亮度才稍微好点，再后边火焰山我开始感觉不太对劲了，就我个人而言感觉很单调，完全没有前几章的精彩。最后的花果山才是真正的重量级，我虽然不懂游戏设计，但这个地图的功能和内容真的太捞了，那么大而空的地形靠筋斗云乱飞但跟环境几乎零交互，内容上除了主线的怪物，那四个精英怪打完啥都莫得，连个成就都没有是真难蚌，感情打完第一个搜集了图鉴就行了啊，亏我搜攻略看其他三个的位置有马不停蹄跑过去全部打完，你哪怕跟水底那个一样打完给我个成就呢，还有那个byd大石敢当，我敢说是整个游戏最逆天最捞的BOSS，最脑瘫的秒杀机制，完全零交互的回合制，他吗的让我想到了当年玩鬼泣4大多数玩家口诛笔伐的那个巨大雕像BOSS，完了我跑去搜攻略果不其然，一堆人都吐槽这个大石敢当太过逆天，看来制作者对于这种提醒悬殊的怪物的设计把握还不够格，你哪怕弄成老战神里那种QTE呢，反正巨型BOSS也没几个吧，再不济弄成后边打二郎神那种法天象地，拳拳到肉近身搏杀撑天踏地的战斗给哥们儿真玩爽了，花果山的疲惫一扫而空，这多好啊。但是这也算取巧，一回两回可以，多了就不行了，要么做成当年宣传片里打天兵天将，金箍棒直接变大伸长，就像杨戬用开山斧那样，打击感和世界效果不直接拉满？还能增加新鲜度，而且这游戏貌似没有格挡机制吧？感觉没有古装武打片里那种你来我往刀光剑影见招拆招的互动感，本质上还是你打你的我打我的，不过比那个byd大石敢当强太多了，那玩意儿跟DNF现在纯打桩走机制有啥区别我操。还有感觉制作者是不是砍了一些东西，不止是这些，还有剧情，因为早期演示里准备杀白狼时候大圣本尊出来阻止了，这也是我前边说的，剧情可能是联合各方势力另一次大闹天宫，只不过早期剧情可能是大圣没死或者亲自传承衣钵这样。反正游戏打完，冷静下来感觉制作者对于这次黑神话做的可能有些保守和赶工，再次点名批评花果山地图，给我玩吐了。</t>
  </si>
  <si>
    <t>画面美术场景；动作打击手感；Boss战斗节奏；难度挑战；地图路线；引导迷路单线；整体完成度；西游悟空符号；中国文化宗教语言审美；外部资料依赖；国产3A身份期待</t>
  </si>
  <si>
    <t>CN-P-172</t>
  </si>
  <si>
    <t>2024-10-14</t>
  </si>
  <si>
    <t>好玩（抽泣），太好玩了（泪流满面）宫崎英高：我教你boss设计，建模，动作，以后做出色的boss战斗。游科：不学，不学。宫崎英高：我教你地图设计，道具探索，世界观设定，武器多样化。游科：不学，不学。宫崎英高怒砸键盘，转身而去。半夜，宫崎英高把游科叫到办公室，小声说：我教你设计恶心难缠的杂兵，极其弱的引导，折磨玩家的快慢刀，恶心的粪怪。游科：对对对，我就想学这个。老师，我以后游戏做出来了怎么谢你？老师：说什么谢不谢的，你以后被骂了，别把老师供出来就行。土地：天命人，你怎么又回来了，这才几分钟啊天命人：😭→方寸山→天命人：您教我些真本事吧菩提老祖：日后惹出祸来不把为师说出来就行了天命人：战斗爽</t>
  </si>
  <si>
    <t>画面美术场景；动作打击手感；Boss战斗节奏；地图路线；探索隐藏支线；引导迷路单线；推荐价值判断；西游悟空符号</t>
  </si>
  <si>
    <t>CN-M-173</t>
  </si>
  <si>
    <t>2024-10-16</t>
  </si>
  <si>
    <t>无有因，多年期盼何故？无有因，上线就买何故？无有因，显卡啸叫何故？无有因，战斗畅爽何故？无有因，广智救我何故？无有因，大头磕我何故？无有因，白衣朽木何故？无有因，小圣饶命何故？无有因，金海未干何故？无有因，村口架狙何故？无有因，鼠辈窃宝何故？无有因，三虎卡关何故？无有因，我来助你何故？无有因，四将叛反何故？无有因，太子赠枪何故？无有因，龙妹最美何故？无有因，拳皇穿越何故？无有因，人妖兽佛何故？无有因，不拜未来何故？无有因，鞭笞二姐何故？无有因，怜惜四妹何故？无有因，紫蛛恨猴何故？无有因，老猪最笨何故？无有因，马哥煮酒何故？无有因，牛魔巨帅何故？无有因，无火无经何故？无有因，暴打仙官何故？无有因，老孙来也何故？无有因，残躯放水何故？无有因，彩蛋感人何故？无有因，折梅见赠何故？无有因，道具不出何故？无有因，难满功成何故？无有因，吗喽风靡何故？无有因，国游中兴何故？</t>
  </si>
  <si>
    <t>Boss战斗节奏；Bug兼容硬件；推荐价值判断</t>
  </si>
  <si>
    <t>CN-P-174</t>
  </si>
  <si>
    <t>2024-10-17</t>
  </si>
  <si>
    <t>只玩了13个小时，实在不敢玩下去！因为舍不得！！！舍不得用我这款老1060的破机子牺牲画质去粗略体验心中最好的游戏之一！！！舍不得抽个把时间匆匆忙忙体验进度而丢失细细品味享受全天畅玩的私人世界！！！舍不得一个人独享而没能带上才上3年级的儿子体验中国3A的内心澎湃与激情！！！舍不得······但我一定，一定，一定会回来！！！</t>
  </si>
  <si>
    <t>画面美术场景；国产3A身份期待</t>
  </si>
  <si>
    <t>CN-P-175</t>
  </si>
  <si>
    <t>2024-10-20</t>
  </si>
  <si>
    <t>一款国产3A，做了4年，我等了4年。我不记得我是从什么时候开始接触3A的，我只记得那一年，我用家里的笔记本玩一代刺客信条，贴图都加载不出来。在游民星空找低配游戏，看到了暗黑血统2的宣传片，我记得，那年我初二。到后来，高中毕业，大学里有了一台不差也不怎么好的电脑，也是玩上了刺客信条345，暗黑血统还有其他的游戏。今年30岁，玩了十几年刺客信条，也买了不少其他游戏，但是跟很多兄弟一样，我欣赏不来圣母院里的画作，不了解埃及的建筑，也不知道希腊和北欧的神话体系，耻辱玩了一遍又一遍，还是不知道“蒸汽朋克”到底是种什么风格，玩就是了，他们给我什么，我就玩什么。后来，听说巫师三，古墓丽影还有赛博朋克有了中文配音，很激动，但我也知道，他们只是看到了这片市场。我在夜之城呆了很久，游戏里的人用欧元，喝洋酒，夜夜笙歌但个个金发碧眼，我知道，我不属于夜之城。四年前，我看到黑神话:悟空的首支预告片，我很兴奋，感慨终于有国人愿意站出来讲一个我们中国人的故事，但我也看到了燕云十六声，后者的结局大家也都看到了。我学会了闭嘴，静静地等。四年里，游科放出的每一支预告片都很好，但我见惯了国产游戏的高开低走，每一个套壳手游都有精致无比的预告，哪怕游科放出了实机演示，我仍旧很难相信我们自己的游戏，真的麻木了。大家都在狂欢，但我却怕这游戏被捧得太高。我相信有很多兄弟跟我一样的想法，毕竟这个我们热爱的领域，尤其是国产3A，真的经不起糟蹋了。后来游科公布了发布日期，提前两个月开启了预购，我也是把游戏安利给身边的朋友同事，年初买了新电脑，布置好了家里的设备，想用串流的方式能让我随时随地玩一会儿，为了能下载快一点，还升级了家里的网络。我等了4年，我想给这4年里的自己一个交代。上面的一切跟游戏无关，是我作为一个中国玩家的记录，对大家不具有任何参考意义。关于黑神话:悟空这款游戏，我的评价是，很好玩，很棒的一款游戏。这一句话就是我的全部评价了，画面、游戏性、关卡制作什么的，我不懂，我只知道它好看，好玩。我记不住路，我就一遍遍地走；我打不过黄风大圣，就一遍遍地打；我觉得风景好看，雕像好看，壁画好看，音乐好听，我就一遍遍地看，一遍遍地听。我只是个“臭打游戏的”，我只知道，我觉得它好玩，那它在我眼里，就是好游戏。我玩了很多年的“3A大作”，黑神话:悟空是唯一一款真正让我感动的游戏。没有任何游戏能让我像玩黑神话:悟空一样有这么强烈的共鸣。耳熟能详的西游记故事，但又有着游科自己的理解和改编。西游记的背景让我梦回童年，游戏的画面、玩法又让我实实在在地体会到了当下的快乐，就像是我叫醒了那个睡着了的孩子，和他一起，听着那只猴子，讲一个故事。冯骥大佬在采访中一遍又一遍地提到“游戏，首先得好玩”，作为一个游戏玩家，我深以为然。游科已经向玩家交出了一份相当完美的答卷，最后关于“年度游戏”，游戏中二叔的一句话尤其符合我现在的心境。“诚你个奶奶！”F**K IGN！！</t>
  </si>
  <si>
    <t>画面美术场景；音乐音效配音；难度挑战；地图路线；优化帧率；推荐价值判断；西游悟空符号；童年记忆情怀；中国文化宗教语言审美；原典知识人物关系专名；国产3A身份期待</t>
  </si>
  <si>
    <t>CN-P-176</t>
  </si>
  <si>
    <t xml:space="preserve"> 56.8 小时</t>
  </si>
  <si>
    <t>嘿，这泼猴，不但抢走我的268，还非逼我去和他往灵山闯一遭，说什么直面天命什么的……他又不是那齐天大圣，怎有这般底气？有人说“踏上取经路，比抵达灵山更重要”，或许也有几分道理。那么，只要心中执念在，踏平坎坷，终有一日我们将入大道。---------------二周目51h全成就纪念有感：九九归真，难满功成。但黑神话的故事，仍然是【未竟】--------------正如冯骥自己所说的，国产并不是免死金牌，一部真正的好游戏必须拿出自身的质量说话，而抛开西游大IP和村里的第一个大学生这些情怀不谈，黑猴的确是一款很棒的游戏，至少我是这么觉得的。本人虽然没有什么动作游戏基础，但是全程打下来还是比较顺畅的，土地庙随时洗点、无死亡惩罚、甚至某些四阶段boss死亡后可以从三阶段开打等设计实在是大大提高了游戏体验，不会出现魂一样的受苦感，哪怕是我打了快十遍才过的幽魂、虎先锋、寅虎、小黄龙、杨戬这五个顶级boss，在一遍遍的历练过程中只会发现自己对于他的出招越来越熟悉、预判越来越准确，正反馈给的很足。从开始的频频贪刀失误到后期真正像比试一样打的有来有回，变强的是天命人也是玩家自己。唯二美中不足的是闪身反馈和攻击不可取消，最开始以为完美闪身可能会有“林克时间”（搁着完美盾反呢），后来发现除了帅好像没什么大用，也就不再追求完美闪了（绝对不是卡完美就会闪慢然后吃满伤害），还有攻击优先度居然高于闪身我也是没懂，轻棍连招不小心多按了一下狂按空格也必须要先把最后一棍打完，有些时候吃满伤害真的很难受。至于说美术，真的很精美，尤其是打火焰山土地阴阳水墨一段，太有中式美学的意味。实景扫描技术太强了。沿途风景在视觉盛宴的同时也给人一种乡土的亲切感，这是哪怕在大表哥中也体会不到的——那黑风山翠竹林真的好像我老家后山（乐）。可惜一路赶着打杀，没能好好拍几张下来。很佩服那些在打boss的时候看见他们出招第一反应不是按空格翻滚而是按P进入拍照模式的真正的摄影佬，他们拍的亢金龙真是帅惨了。剧情的话不好评价，毕竟一动作游戏不能指望剧情还要能怎么锦上添花，感觉一趟下来好像大概明白讲了什么，却又有好多疑点，只能说还只是B1，期待续作补全整个世界观吧。不过支线剧情倒是大多都讲的不错，第一章讲贪念痴心，第二章讲一念善恶，第三章讲因果倒置，只是到了第四章一下就变成情情爱爱，虽然也是个打动人心的故事，但总感觉一下子掉了一档。第五章剧情就更不好说了，和第六章大学生期末作业一样的地图设计一起坐门外边去，没有这两个败笔也许MC评分还能高上一点。不过影神图我是真的喜欢，聊斋小故事好看爱看。全程体验下来就像坐过山车一样，先起后落，如果还加上做全成就要刷的那么多构式超低概率掉落，那么后期的体验真远远赶不上前期的一半。这就是所谓“完成大于完美”吗，也是有些遗憾的。“踏上取经路，比抵达灵山更重要。”总而言之，黑猴仍然是是一部瑕不掩瑜的好作品。如今流言纷扰，热度滔天，未证未知之事，难分难料之名，何必在意。且让大圣回归花果山逍遥自在，且让游戏回归游戏本身。一句好玩，足矣。若是苦苦争执于什么tga年度、媒体评分，与那金池长老又有何区别。既见未来，为何不拜？------------------------</t>
  </si>
  <si>
    <t>画面美术场景；动作打击手感；Boss战斗节奏；难度挑战；判定反馈；地图路线；探索隐藏支线；整体完成度；推荐价值判断；西游悟空符号；童年记忆情怀；国产3A身份期待</t>
  </si>
  <si>
    <t>CN-P-177</t>
  </si>
  <si>
    <t xml:space="preserve"> 190.5 小时</t>
  </si>
  <si>
    <t>2025-08-05</t>
  </si>
  <si>
    <t>不是完美的作品，但是是足够优秀的作品。8.5/10优点有很多很多，大家玩到的话自然就能感觉到，这个评测主要说说不足的地方。1.开放地图部分的地图设计。这个游戏除了有趣的BOSS之外，另外一大部分时间的体验就是地图探索。这游戏大部分时间的探索都十分有趣，即使是在这游戏没有地图的基础上。没有地图的设计实际上并不是问题，只要地图设计足够优秀，隐性的视觉引导做的足够多的话，没有地图也能探索起来很有趣，就像只狼一样。黑神话悟空在大部分时间上都做到了这一点，除了...开放地图的部分。这部分的地图真的特别特别大，但是因为没有参照物的方向引导，和时有时无的空气墙，以及有很多很多互相连通的岔路，加上比较类似的场景设计和没有地图这几点，就导致开放地图部分的一些大而空的地方探索起来十分累人，让人精疲力竭。某一个章节花了我将近15小时的时间去完全探索，这个区域我完全探索之后只有一个念头：赶紧关闭游戏。而且第二天继续游玩的时候，我甚至对地图探索产生了恐惧感。不过只有部分是这样的感觉，整体的地图设计还是十分优秀的。2. 基础战斗系统过于简单。虽然没有不同的轻重攻击combo，但是因为优秀地BOSS设计和3种风格的存在，战斗系统的深度是有的，但是没有太深。而且这个深度需要玩家自己去理解去探索，并且“主动”尝试才会有意思。如果你不愿意去花时间琢磨这些的话，仅以一周目来说，大部分情况下你只要机械无脑地用同一种方式就能解决大部分地难题。而这，很容易腻。而且因为游戏中有过多帮助玩家的“工具”，所以很多时候甚至不怎么需要使用基础攻击就能解决问题，就会导致玩家更加不愿意去琢磨基础战斗系统的深度。3.小怪/精英怪的设计一般。与优秀的BOSS相比，小怪与精英怪的设计就没有那么优秀了。几乎所有小怪都没什么挑战性，而且动作模组的设计也过于基础，导致与他们战斗十分的简单，或者说，没有太多乐趣。如果不是为了全图鉴以及经验货币和安全探索的话，我很多时候只想绕过小怪，直接前往下一个BOSS的地方。大部分精英怪就直接是血厚了几倍的普通小怪，然后掉落物不一样罢了，与他们的战斗本身和打他们的小怪版本一模一样。4.没有什么存在感的装备系统。虽然不同装备有不同BUFF，但是新拿到的装备永远在数值上直接比旧的要好。而且旧的装备的BUFF给予的加成很多时候还不如新装备多出来的数值。并且装备强化在游戏中期才开放，把旧装备升级到与你现在能获得的装备的等级需要很多很多材料，大部分时间还不如把材料留着直接制造你现在能获得的最好的装备，这样就能用最少的消耗获得最多的数值。虽然说了几个不足的地方，但是瑕不掩瑜，这部作品还是十分值得去体验的。不只是因为它是国产，而是游玩过程中能确确实实感受到游戏科学在游戏制作上的诚意。优秀的美术风格与视觉效果，惊艳的配乐与演出，反馈优秀的战斗手感，还有出色的故事。如果你是动作游戏的爱好者，甚至只是西游题材的爱好者，这部作品都是你必须体验的作品，绝对会给你带来一次难忘的体验。游戏科学这次迈出了成功的第一步，希望了有了这次经验之后，他们能制作出更好的作品！</t>
  </si>
  <si>
    <t>画面美术场景；音乐音效配音；演出角色怪物设计；动作打击手感；Boss战斗节奏；难度挑战；判定反馈；地图路线；空气墙可达性；探索隐藏支线；引导迷路单线；整体完成度；推荐价值判断；西游悟空符号；角色期待意义偏移；国产3A身份期待</t>
  </si>
  <si>
    <t>CN-P-178</t>
  </si>
  <si>
    <t xml:space="preserve"> 187.2 小时</t>
  </si>
  <si>
    <t>作为首款国产3A游戏，猴子的音乐美术方面堪称一流，画面表现，动作与战斗系统毫不逊色海外大厂工业化产品，地图引导与关卡设计平衡性我认为还可以再好一些，地图为契合原型必须做的较大，然而在游戏中难免跑图疲劳，小怪如果能够更有活力更有细节则更佳，比如既有认真巡逻的也有摸鱼的，再来一些可能会互相斗嘴的小喽啰，想必游戏沉浸感会更胜一筹。棍棒打击感虽略逊战神的拳拳到肉，但也别有一番风味，整体玩起来很爽，多数头目难度把握合理，我这种动作游戏垃圾也不会多次失败产生挫败感，四大天王段该爽也给爽，剧情节奏把握的也很合理，尤其影神图本身又可以当一本故事书看，还有可爱的猪八戒一大堆骚话彩蛋太好玩太可爱了，太喜欢猪八戒了，这些必须好评。同时有少数头目索敌系统过于逆天，关闭自动索敌镜头还跟着敌人走我都看不见我自己在哪，以及空气墙问题不合理，有很多明显能走的路设置了空气墙，而在第三章最需要空气墙的时候又没有了空气墙···也不知道我把自己摔死多少次，此外就是优化问题，必须指出实际游玩并不像当初的测试工具一样流畅，我也预想过战斗会有所损耗，实在没想到部分CG与场景能掉到个位数帧率，少数时候的确有一些较为糟糕的体验，还有那个劈棍四豆判定，有时候空有时候中的，希望可以尽早优化这些缺点，这款作品可以更好，更好的，希望这是好的开始而不是巅峰，希望后续有更好的作品吸引大众，更成熟的技术力展现给全球玩家，踏上取经路比取得真经更重要——完全没错。</t>
  </si>
  <si>
    <t>画面美术场景；音乐音效配音；演出角色怪物设计；动作打击手感；Boss战斗节奏；难度挑战；锁定视角；判定反馈；地图路线；空气墙可达性；探索隐藏支线；引导迷路单线；优化帧率；整体完成度；推荐价值判断；西游悟空符号；国产3A身份期待</t>
  </si>
  <si>
    <t>CN-P-179</t>
  </si>
  <si>
    <t>2024-11-19</t>
  </si>
  <si>
    <t>TGA每年大规模提名不计其数，是非曲直，难以论说。但玩家无不注意到，正是在这个古战场上，决定了多少代游戏的盛衰兴亡，此兴彼落。所以古来就有问鼎GOTY之说。当年米哈游率米卫兵，分三路会合TGA，兴师北上。得到TGA最佳手游的第二天。国产单机见大势已去，宣告退位。公元2023年，也正是在TGA，米哈游亲率数十万卫兵，征讨最佳运营提名，最佳手游提名，大获全胜。我不明白，为什么大家都在谈论着黑猴止步于提名，彷佛这TGA战场，对于我们注定了凶多吉少。二十年前，我从仙剑三踏上征途，开始了第一次游戏，中华秋海棠叶遂归为一统。国产单机所到之处，民众竭诚欢迎，真可谓占尽天时。那种勃勃生机，万物竞发的境界犹在眼前。短短二十年后，这里竟至于一变而为国产单机的葬身之地了吗？无论怎么讲，游戏销量是2200w，优势在我！神马？卧槽李的小机器人！不愧是索尼大人，优势在我拼尽全力无法战胜，没能让机器人使出全力真是抱歉</t>
  </si>
  <si>
    <t>推荐价值判断；国产3A身份期待</t>
  </si>
  <si>
    <t>CN-P-180</t>
  </si>
  <si>
    <t xml:space="preserve"> 122.7 小时</t>
  </si>
  <si>
    <t>2025-01-05</t>
  </si>
  <si>
    <t>美术10分，无可挑剔。关卡任务剧情设计7分，任务指引扣1.5分，地图衔接太多太绕扣1.5分（可能为了条条大路通罗马，为了让每个小地图都能互相衔接，所以产生了很多小路，在没有小地图的情况下很绕，即使二周目了，在2章3章两个地图我还是会迷路）。战斗模组（角色怪物技能，动作，攻击模式，频率等）我真的1分都不想给，并不是说战斗部分的设计连1分都不值，而是游戏美术等方面优秀的地方让战斗部分让人崩溃的设计使我感到极其的沮丧和无语。目标锁定，镜头跟随简直是噩梦，被会飞的大体型移速快的怪物带的到处飘，而且镜头还跟不上，怪物都飞过身后开始下一次攻击了 镜头还没跟过去。飞到天上的镜头也带上去了，然后放地板技能 服了都。吃血有延迟罢了，吃个道具药丸还老点不上是啥意思。角色的唯一自保技能闪避，这个问题很大很大，首先 动作模组有问题，翻滚到目标点的时候最后的0.几秒动作是原地翻滚，没有惯性位移，视觉效果和手感都极其糟糕。而且很多boss的攻击频率高， 会导致你第一个翻滚的后摇刚好吃上boss的连续攻击。这种情况发生很多很多次。任务指引太差了，几乎全靠乱跑来蒙。而且有些任务误入终章boss，错过了就再也做不了，盘丝洞的紫色符，和道士任务都错过了。说实话，很多boss打着打着我就想关电脑，不是说太难，而是玩起来没有快感，我打到大圣了但是我一直很痛苦，我感觉好像是游戏里的怪物花了300快钱买了个游戏在打我找乐子。其实你们估算下血量，很多boss基本都是在主角6-7套满能量的连招打一管血。但是最终情况是 我几乎打不满一套，一场战斗85%的时间是boss在各种秀，拉的镜头各种飘，尤其是那种地板上也有技能，boss还要飞天或者蹦的老高的那种 真的非常的恶心。最后硬生生的把那些组合技都点掉，技能点全加到防御和法术类了，因为那些棍法招式你打boss的时候很多情况都打不出来，战斗完全没有爽点。我从第三章开始就慢慢被折磨了，今天打到了大圣面前，我实在受不了了。招式多，攻击欲望强烈，有些近身招式变化太多，你不知道它是要闪避放炸弹影子，还是直接瞬间出手戳你一棍，还是直接玩花棍。一身顶级装备，手拿如意金箍棒，我不想一直靠闪避+偷打一两棍子来完成这种战斗，毫无乐趣。----------------------------------------------2024、8、28晚上23：11改为好评。还是太喜欢这款游戏了。</t>
  </si>
  <si>
    <t>画面美术场景；动作打击手感；Boss战斗节奏；难度挑战；锁定视角；地图路线；引导迷路单线；优化帧率；崩溃闪退；推荐价值判断；西游悟空符号</t>
  </si>
  <si>
    <t>CN-P-181</t>
  </si>
  <si>
    <t xml:space="preserve"> 4.9 小时</t>
  </si>
  <si>
    <t>年轻人的第一款“魂系”动作游戏（bushi）花了挺长时间的构思，求看到最后~ &gt;"&lt;咱近些年很少关注新游戏了，平时都是打的以前黄金年代的老游戏。“降本增效、政治正确，游戏质量和内容不达标”是新游戏给最普遍最糟糕的印象标签。这也导致咱几乎不再预购新游的同时，也很难相信新游戏在发售前所释放的内容消息。而是等到完整游戏发售以后，结合自己所看到的游戏内容以及身边玩家的整体评价，最多也才会考虑入在折扣期间入手。而这样的算是偏理性的想法，也让咱省下来不少米粮。(#_&lt;-)这回有所不同，悟空能让咱直接入豪华版支持最让咱欣赏的第一点：既不是早就把咱消磨殆尽的“国产”、“中华文化”等情怀标签，也不是所谓的“魂系动游”等标签，而是开发组及游戏本身，就差写在脸上但没有正面表达出的，鲜明旗帜的反“政治正确”。至于“政治正确”是什么，只需要知道这是导致新游戏内容不充实、玩法过于敷衍、审美有大问题的真正元凶之一就行。(T_T)而其中的第二点：说到底，悟空游戏本身的质量与内容，已经足够诚意了。这次的话，游戏在发售前就释放了足够多且充实的实机演示，也有不少线下试玩。很高兴看到这次的国产单机，终于不再光拿CG动画来忽悠玩家们了。至于“3A”这些标签，也许悟空并不是第一部国产单机3A。个人还是比较赞同部分观点所说的，在早期零几年那会，部分大制作的国产单机游戏。不过从历史地位上来看，悟空绝对是具有里程碑意义的国产单机3A，但也很有可能是现象级别的绝唱。不过咱还是比较讨厌拿3A，来衡量游戏的好坏。个人认为这并不应该拿来判断游戏的好与坏。游戏质量和内容玩法充不充实，才是评价游戏的标准之一。o(￣┰￣*)ゞ说到最后①当然最重要的还得是，游戏适不适合自己。不适合自己的话，再好的内容玩法，强迫自己去玩就跟坐牢一样木有什么区别。悟空这次虽在魔幻神话的西游题材上吸引咱，但像这类近距离战斗、很吃操作和经验积累、挑战难度高以及长时间长TTK的关卡BOSS战的玩法类型的动游，还是太刺痛咱啦+_+。②平时射击游戏玩的多，动作游戏玩的少。想了想的话，还是休闲街机风的割草动作爽游比较适合咱~ 悟空的话，咱上手的理由与想法，就是只花一周目的时间，看看古风风景，欣赏下剧情就好了。有难度实在过不去的关卡，也不想去探究打法攻略啦，直接私底下用修改器一路无双来过。个人理解的话，玩游戏嘛尤其是单机，用修改也不会影响其他人。要清楚了自己打游戏的目的——比起刻意折磨自己去坐牢，打重复内容的多周目、做成就、打挑战、做收集等，虽然都是正常玩法且有不少成就感与玩下去的动力，没有对与错之分，但咱个人的话觉得，欣赏游戏与体验过程，从而让自己得到休闲放松才是最重要的。(&gt;_&lt;。)＼题外话①看了下不少评论，结合自己的情况，游戏本身的优化还是中规中矩，也有在部分配置上中等偏差。原因嘛可以理解，毕竟是近年来第一次单机大制作，直接运用现有的虚幻5引擎做基底，省去吃力可能又不讨好的自研自调引擎的道路。至于D加密的话，虽然咱不是很喜欢厂商糟蹋优化从而破坏游戏体验的做法，但为了保证初期销量不受盗版影响，多少还是可以理解的。=.=咱还是希望开发制作组，可以多上几轮更新优化，结合反馈把现有的游戏优化打磨的更好。至于D加密，如果在破解补丁出来之后，帧数的确有很大提升，咱多少还是会打上这类补丁的。②有不少童鞋提到是否直包，咱这次就不再跟风啦。咱也不是什么大主包，平时主打射击游戏例如COD，觉得还是播自己习惯的游戏类型观感会好些。悟空的话，还是看看其它专精动游魂游的主包吧~ Σ( ° △ °|||)︴总之，感谢耐心的你能读到这~ （*＾-＾*）</t>
  </si>
  <si>
    <t>画面美术场景；演出角色怪物设计；动作打击手感；Boss战斗节奏；难度挑战；判定反馈；地图路线；探索隐藏支线；优化帧率；Bug兼容硬件；整体完成度；西游悟空符号；童年记忆情怀；本国媒介路径；外部资料依赖；角色期待意义偏移；国产3A身份期待</t>
  </si>
  <si>
    <t>CN-P-182</t>
  </si>
  <si>
    <t>2024-11-20</t>
  </si>
  <si>
    <t>35岁了，很开心能玩上黑猴，3周目全成就解锁大圣模式第一次正式通关动作游戏，这三百多块给了我非常多乐趣能看上小破球2，再玩上黑猴，作为中国人感觉非常幸福七律·和郭沫若同志一从大地起风雷，便有精生白骨堆。僧是愚氓犹可训，妖为鬼蜮必成灾。金猴奋起千钧棒，玉宇澄清万里埃。今日欢呼孙大圣，只缘妖雾又重来。</t>
  </si>
  <si>
    <t>动作打击手感；西游悟空符号；国产3A身份期待</t>
  </si>
  <si>
    <t>CN-P-183</t>
  </si>
  <si>
    <t>2024-11-22</t>
  </si>
  <si>
    <t>82年大叔，今天准备进入二周目，85个小时，117级，71个成就。好评写的有点晚了，平时工作比较忙，确实没什么时间玩游戏。首先感谢游科，感谢冯总，做出了这么令人激动的游戏。从红白机开始，玩了三十多年的游戏，第一次，第一次在这样的3A游戏里，能沉浸在自己骨子里的文化中，不仅仅是剧情，还有音乐，建筑，历史，风景，内容太多了，一周目把地图舔的干干净净，能收集的一个不落，这300块是我这几年花的最值的一笔钱，给我带来的情绪价值远超3000块钱能买来的，感谢感谢。感谢完了说正事，四妹要是在DLC里被练成丹你们就等着收花圈吧。</t>
  </si>
  <si>
    <t>画面美术场景；音乐音效配音；地图路线；探索隐藏支线；推荐价值判断</t>
  </si>
  <si>
    <t>CN-P-184</t>
  </si>
  <si>
    <t xml:space="preserve"> 46.3 小时</t>
  </si>
  <si>
    <t>黑神话：悟空
✅其实简单来说就是猴版茶杯头
🏆 综合评分：❤️❤️❤️❤️🖤
【🧭游戏类型】越肩视角动作冒险 / 角色扮演 / 箱庭式闯关 / 头目挑战
【💰购买建议】首发原价，爱的支持
💖 游戏维度
【🎯玩法特色】良好的战斗手感和动作设计 / 中国神话世界观 / 孙猴模拟器
【🎨画面表现】顶级美术 / 顶级画面
【🎵音乐音效】磅礴大气 / 气氛渲染上佳 / 极富张力
【🕹️游玩体验】诚意十足 / 既视感 / 引导和地图设计问题严重 / 打击感似有似无 / 经验不足
【🎮耐玩程度】值得肝白金 / 但是强迫多周目 / 基本通关就删
【👥多人体验】无 / 很好的论坛话题
【🌐语言障碍】国产游戏 / 高质量配音
🎯 适合人群
👤 画面党
👤 喜爱箱庭式AAVG和/或ARPG的玩家
👤 喜爱不断挑战高难度boss的玩家
💬 其他总结
⠀⠀首先，这是一款偏科极其严重的游戏。
⠀⠀主创人员基本把技能点全点在美术和画面上了。游戏截图质量高到可以原图直出发朋友圈到此一游的水平。然而关卡设计和游戏性方面都属于大扣分项。人人都在提的空气墙和引导差地形辨识度低的问题就不用再提了，其实动作方面也很单调。虽然演出画面和战斗设计都还不错，还算行云流水，但打击感偏弱，招式套路浅薄，技巧性不深，通关基本靠死几百次来背版。
⠀⠀有些人可能会说，诶，魂不也是背版吗？
⠀⠀是，也不是，魂是个ARPG，在角色成长性方面有很多值得深入研究的多样性，可以打弹反，可以打远程，可以打魔法，可以100物防盾打回合制，光是武器选择方面就十分开放，说起来其实也给了手残玩家一条生路。
⠀⠀而这个游戏就不一样了，熟悉黑魂和老环的玩家都知道，魂系列游戏是怪打你很疼，你打怪也很疼；而这个游戏就不一样了，属于怪打你超级疼，你打怪全刮痧。加点升级并不能提高平A伤害，核心依旧是怪猎那一套靠装备来升级攻防的思路，这大概也就是为什么游戏的“禁字诀”受到很多玩家的追捧，因为它基本是游戏唯一一个能显著提高玩家平A伤害的手段了，有条件的话穿上强硬套装或者嗑药，然后通过禁字诀打出高伤害+一连串黄字暴击，确实很能提高满足感。
⠀⠀另外，动作系统方面的限制又导致玩家可操作性受限，抵抗伤害的手段基本可以说有且只有闪避，而且完美闪避又几乎没有提供任何有用的奖励，使之成为一个高风险低收益的操作（同理的还有铜头铁臂，一样高风险低收益），最终成为一个禁字决+强硬套装硬和boss换血的套路，而手残玩家则陷入打不过怪→防具没钱升→找不到新防具→还是打不过怪的恶性循环，很多人已经被逼到开无限葫芦都打不过只能开锁血的程度了。而且考虑到它是个出圈游戏，因此吸引了很多之前不打游戏的新玩家来玩，打不过弃坑退款的也大有人在。
⠀⠀因此，如题所示，比起黑魂、战神、仁王、只狼啥的玩意，这游戏倒不如说是猴版茶杯头。整个就boss rush的设计，boss密度高之闻所未闻，而难度上，既没有轮椅可以享受，也没有逃课套路，也没有制作组的怜悯，打不过就是打不过。不过好在没有换皮怪，每个boss套路都不一样，还是十分用心地进行过设计。
⠀⠀其他方面，配音好评，台词好评，不装神弄鬼，不谜语人，一股清流。然而剧情虎头蛇尾、戛然而止，且引起争议，也不算圆满。
⠀⠀优化较差，卡顿问题时有发生，尤其是第一次进入新图的时候，卡到怀疑人生。有的时候甚至boss出招都卡顿，令人欲哭无泪。
⠀⠀总的来说，也算是一部值得原价入手的现象级佳作了。我买更多是希望在未来能玩到游戏科学乃至其他公司制作的更棒的国产游戏。</t>
  </si>
  <si>
    <t>画面美术场景；音乐音效配音；演出角色怪物设计；动作打击手感；Boss战斗节奏；难度挑战；锁定视角；地图路线；空气墙可达性；引导迷路单线；优化帧率；整体完成度；推荐价值判断；西游悟空符号；中国文化宗教语言审美；国产3A身份期待</t>
  </si>
  <si>
    <t>CN-P-185</t>
  </si>
  <si>
    <t xml:space="preserve"> 62.2 小时</t>
  </si>
  <si>
    <t>中国古代文学形象里我还是最喜欢哪吒和孙悟空。哪吒的世界里不需要一个桀骜的哪吒，需要一个听话，可以推动剧情的哪吒，那么他就只好去死，“弃了剑，举右手拔下左手臂骨，又剔了肋骨，一根根，尽数弃于海中，最后终于站立不住，大笑一声，身形崩散，坠入沧海”。《黑神话》的世界里不需要一个辞了佛官，安心回花果山的孙悟空，便要孙悟空去死，“大水退去，大地无痕”，重新化作一块石头，等“天命人”前来追寻。这样开头的剧情设计，是西方的游戏开发商写不出来的。《战神》里奎托斯杀尽希腊神话界，报的是自己的血仇。孙悟空和天庭没有血仇，他反的是层层压迫的吃人的制度。正是因为《西游记》诞生于吃人的制度之中，才有孙悟空一棒打散吃人的制度的故事。我很喜欢这个故事。《黑神话》的开头，孙悟空拒绝回归天庭，拒绝去做剥皮抽筋的道貌岸然者的帮凶。游戏科学应该也很喜欢这个故事。《黑神话》是中国游戏历史上的里程碑。它的意义在于，告诉全世界，中国的游戏开发者不仅用他们天才般的创意，做出非常棒的独立游戏，也可以有自己的游戏工业，也可以做顶尖级别的3A级游戏。《黑神话》之后，《影之刃零》紧随其后。中国游戏界的春天，*看似*马上就要到来了。为什么是“看似”，我不好在这么好的日子里唱反调。后面就简单地讲讲我对某首诗的看法吧。“一从大地起风雷，便有精生白骨堆”，以惊雷般的气势开篇，描绘了革命风暴骤起，天地震荡，正义与邪恶的较量如雷电般激烈。这一联中，风雷起自大地，仿佛天地之间充满了巨大的力量，这种力量引发了革命，推动着历史的前进。紧接着“便有精生白骨堆”，则隐喻在残酷斗争中，那些革命的牺牲者和敌人的尸骸堆积如山，令人震撼。“僧是愚氓犹可训，妖为鬼蜮必成灾。”诗人以一种冷静的态度看待敌我之间的斗争。他指出，那些愚昧的僧人，即使再如何无知，也尚可教育和感化，而真正的敌人，妖魔鬼怪般的反动势力，则必然是祸害无穷，必须彻底清除。这一联表现出诗人对革命敌人和斗争形势的深刻洞察。“金猴奋起千钧棒，玉宇澄清万里埃”，则以孙悟空的形象喻指革命者，挥舞千钧棒，荡平一切障碍，扫清万里浮尘。这一联充满了胜利的豪情和必胜的信念。诗人在这里仿佛化身为孙悟空，勇敢无畏地面对一切妖魔鬼怪，誓要将世界从黑暗与污浊中拯救出来。这里的“玉宇”即指天空，象征着纯洁无瑕的理想世界，而“万里埃”则是那些试图阻挡革命前进的敌对势力。“今日欢呼孙大圣，只缘妖雾又重来”，以“孙大圣”的形象结束，表现出一种复杂的情感。一方面，诗人为革命取得阶段性的胜利而欢呼，另一方面，又意识到斗争的长期性和复杂性，因为“妖雾又重来”，敌人不会轻易消失，革命的路途依然艰险。这一结尾不仅揭示了革命斗争的反复和艰难，也表达了诗人对未来斗争的坚定信心和无畏精神。敬诗人的精神，敬孙悟空的精神，敬《黑神话》的精神。</t>
  </si>
  <si>
    <t>难度挑战；推荐价值判断；西游悟空符号；中国文化宗教语言审美；国产3A身份期待</t>
  </si>
  <si>
    <t>CN-P-186</t>
  </si>
  <si>
    <t>面对《黑神话：悟空》，业界的打分标准似乎得重写了……
11/22更新：黑猴还真拿下金摇杆了，果然又多了一件袈裟，但若不披上这件袈裟，众生又怎知我尘缘已断、金海尽干呢（笑）
平心而论，考虑到太多的前车之鉴，我一直有意在减少对《黑神话》的过度关注。每每谈到国产游戏的未来，咱既不无脑唱衰，但也不打算抱有太多期待，毕竟我上次心血来潮投资的“本土大作”，似乎还是某个在太空中打枪的“国产之光”……在游戏发售之前，当我和朋友聊到这款游戏时，也不过是随口说着“能有百万销量就谢天谢地了”之类的玩笑话，全然没意识到事情的“严重性”。
结果，玩家们的热情似乎有些超出我的预期了。在日期逐渐迈向8.20的几日中，《黑神话：悟空》肉眼可见地成为了全球热度最高的游戏话题，空前的社区讨论度，严格统一的媒体测评约规，还有小到玩家主播，大到游戏开发者与知名制作人都同步等候游戏解禁的盛况，一度都开始让我自我怀疑，自己是不是作为一个“网络原始人”穿越到未来了。
而后发生的事情，大家自然都亲身体验过了，《黑神话》在短短数日内，毫无悬念地达成了商业与口碑上的大圆满——首发即力压2077创下了steam单机游戏同时在线人数的历史新高，全平台销量光是预购就早已达百万，发售3天即创下千万神话成就，如今更是一路朝着两千万高歌猛进……喂？有没有搞错？你可是连一次打折优惠活动都还没做过呢！这可是让那些发售没多久就半价促销、甚至原地下架的“3A大作”情何以堪啊）
看上去，《黑神话》似乎已经滴水不漏地做到了全方位的成功，哪怕在游戏玩家群体之外，本作也收到了包括影视动画行业、人文历史学科，还有农业、音乐、语言学等各行业人士的广泛关注和全面好评。就算抛开情怀、国产、营销等杂七杂八的滤镜，《黑神话：悟空》也完全可以依靠自身质量而自立，来自千万玩家的95%好评率便是无可撼动的铁证。所以，我们终于可以开香槟庆祝一下……了吗？
完整通关游戏后，我曾沉醉于竭力抵达结局的余韵之中，兴奋不已地与伙伴讨论游戏中的各处惊艳设计，了无遗憾。但在爽快感稍稍褪去之后，还是能回味出一丝奇怪的韵味。说到底，世界上不存在完美的作品，哪怕是公认的满分神作，也必定无法满足所有人的爱好。对我来说，《黑神话：悟空》也并不完美，但此般考虑并非仅仅源自对创作评分的审慎态度，反倒是出于某种“惊诧”与“无奈”。
为了接近所有人重盼所归的那个目标，《黑神话》选择了一条不按常理出牌的道路，最终顶着难以想象的压力交出了一份高分答卷。很显然，他们还是赌赢了，可若是没有这些开发过程中精准而冒险的巧思与决策，《黑神话》的许多构想也不可能成为现实。在继续谈论本作的制作细节孰优孰劣之前，我想光凭这一点，就足以让我们向仅百余人的游戏科学团队投以最深刻的敬佩。
白骨之后，何为重走西游？
早在项目的宣发初期，《黑神话》就已经取得了惊人的关注度，在国民级ip给人带来的安心感之上，独特的动作玩法和高规格的美术表现又给大众玩家们带来了更多新鲜的印象。由此，便诞生了许多对于本作游戏主题的猜测与解析，似乎每个人都希望能够玩到最贴近自己心目中的“那只猴子”。对于游戏科学而言，想要兼顾玩法设计和叙事上的可接受度或许会遇到众口难调方面的问题，但首先需要明确的是，《西游记》所讲述的从来都不是一个一成不变的故事。
先不说光是西游故事的丰富起源就可追溯到各类神话传说、道教，佛经故事，以及民间的戏曲、杂剧等类别，在不同的时代背景下，其所反映出的社会现实与人性变化也都会有所区别。如今大众较为熟悉的西游动画、影视剧等作品，也无一例外是新时代的创作者对原著故事的二次叙述。能够根据时代需求不断进行改编，正是《西游记》作为中国古代民间与官方文化融合体灵活性的重要体现。
同样，通过被不断改编和创新，《西游记》才能在历史的不断变迁中一次又一次地成为经典，每一轮优秀的重述，都让这部作品历久弥新，焕发出新的含义。对于《黑神话：悟空》而言，“黑”自然是最为重要的主题设计了，在本作中，你便能找到不少关于同为暗黑风的系列前作《斗战神》的致敬与彩蛋。
西游故事的核心主角齐天大圣，给人留下的最多印象往往是一位不惧强权，追寻自由的英雄，而《斗战神》则在此基础上补充了更多关于人神妖之间的多方纷争，讲述了一段包含更多阴谋与宿命争斗的黑暗故事。将故事的视角回到这边，本作的核心冲突，便仍然源自于主创团队对于“灵蕴”这一概念的巧妙构思。
《黑神话》向玩家展示的，是一种独特、富有现代风格的新世界观，“天之道损有余而补不足”正是对其恰到好处的解释。争夺人界的灵蕴资源和与妖界的使役压迫成为了天界背后的黑暗秘密，所谓的“长生不老、修成正道”，也不过是对下界的剥削罢了。知晓真相的孙悟空自然不愿与天界同流合污，于是才有了游戏序章对二郎神贴脸输出的一幕。
游戏中的许多暗喻、道具说明和角色语音都在从侧面悄悄提示着故事的真相，若是深挖细究，还能发掘出不少天庭为了炼就仙丹，与妖怪勾结并且和灵山相抗衡的隐秘设定。关于这些不同视角的故事解读，玩家则可以去影神图中自行发掘分析，当然，也早已有许多“黑学家”做了详尽的考据。可以说，《黑神话》很好的发挥出了中文游戏在剧情设定与文字表达上的优势，然而，讲了一个好故事，并不等于讲好了一个故事。
在实际通完游戏后，玩家们似乎很难从本作的故事中总结出一个明确的主题：或许是反抗到底，直面真正的天命；或许是自我成长，挫败诠释的阴谋，实践自己的正义；又或许只是追寻前人的脚步，帮助其完成未竞的愿望，走出自己的人生轨迹。无论如何，直到游戏的结局，无数个精彩的小情节，拼凑起来的仍是一个模糊的故事。自始至终，作为天命人的“主角”，也似乎无力做出任何选择。
先受到指引以黑风山作为开端，而后一路拼杀，认识了许多神秘角色与伙伴，直至寻回六根，重塑“齐天”之名。尽管如此，我的心中还是有着许多无法解答的疑虑：我需要沿着孙悟空曾经的西游取经路重走轮回之道吗？为何天命人坚信着能够继承大圣的衣钵？战斗倒下后，为何又能化作一根毫毛无限复生？哪怕是在对阵一些boss时，我也曾期望有避免战斗，宽恕对方的想法，但奈何却无法做到。这不禁让我思考，我是否错过了什么剧情？
难道说，本作采用的是魂类作品的碎片化叙事手法吗？但从实际效果上看，除了和类魂游戏主角有着“不会说话”的共同点之外，《黑神话》的叙事方式还是与“魂游”有着明显区别的，甚至其黑暗与残酷程度要有过之而无不及。天命人的这趟旅途，似乎有些太孤独了。
事实上，即便主角“不会说话”，在这类魂系作品中，也一定存在着游戏从头至尾都陪伴玩家的“嘴替”或“引路人”，在无形当中为玩家解读主角种种行为的合理性，并成为玩家寄托情感的一个支点。反观《黑神话》中驱动故事的各种角色，却总会与主角产生一定的距离感。哪怕是老猪这样令人熟悉，安心的角色，其内在与行为目的也独立于天命人之外，无法做到真正的陪伴。或者说，主角本身就难以与其他人建立起深刻的关系。
的确，我们能在游戏的各个小章节中体验到惊艳的故事传说，但却又鲜有留下难忘的印象或见证伏笔。在击败无数对手，见证了许多恩怨情仇之后，我们还是无法回答，“天命人”究竟是谁？对于这个问题，《黑神话》的做法倒也是意料之中地选择了开放性结局，用“未完待续”来填补主题上的空白。看来，关于本作的更多故事谜团，估计就得需要日后的DLC来解密了。
整体来说，虽然结局不一定完美，不过本作的结构完整性倒是没受影响，大圣的遗志与夙愿也最终传递给了玩家，《黑神话》的叙事尚且合格。思来想去，让玩家觉得本作剧情不够尽兴的最终原因也只能有一个了——《黑神话》面临的最大难题，可能正是因为游戏体量游戏太大了。
黑猴曾面临的困境，可能远不止九九八十一难
无论从哪个角度分析，《黑神话》都是一款敢于挑战创新，几近与铤而走险的游戏，在本作各个部分的制作上，你都可以找到游戏科学所原创的精心设计，但相应的，也需要承受随之而来的风险。在深入体验游戏的内容玩法后，你就会发现，在缺乏制作经验的情况下，支撑起《黑神话》的宏伟蓝图的，是无数被巧妙隐藏的小补丁。
以先前在叙事方面的分析为例，《黑神话》选择从新的角度重构经典的西游故事，在带来新观感的同时，也会让玩家们更难对原创剧情产生共鸣与熟悉感。于是，游戏科学便选择了用独立章节的方式来削弱新剧情的陌生感，以更多的登场角色与地图战斗来驱动主线的进程，不过，试想一下，如果本作能在支线的内容上更进一步，例如扩充序章和结尾，讲述大圣的故事在花果山流传的过程以及攻入天庭的决战，似乎故事的连贯性就会瞬间丰满起来。
但很显然，这些理应存在，甚至在初版预告中出现过的部分，最终还是来不及做完。搭建大型箱庭地图、实装影视级美术资产、打磨战斗系统的每处细节、制作上百种小怪与BOSS的战斗技能……这些无不需要巨量的精力与时间来完成。在原创的基础上，游戏科学能够将其完整地呈现出来，已经可以说是完成了一项几乎不可能的任务。当我们再去分析这个过程中暴露出的些许问题，其原因也就不难理解了。
就比如说棍法与棍势这一《黑神话》原创设计的独特的系统，可以说，它为动作游戏爱好者带来了不少惊喜，玩家可以灵活变换三种棍法打出远近高低各不相同的花样棍式，不论是对单对群都有适配的派生攻击，并且还可配合切手技化守为攻，见切反击，集合了多种风险与回报并存的动作技巧，保证了优秀的动作系统底层机制与操作上限。
同样，与传统魂类游戏有别的是主角的基础性能和战斗思路，像是主角天命人的回复与防御力就比较富裕，体力充足时一口气闪十次也不在话下。另外，《黑神话》也放弃了聚焦于弹反打铁的传统设计，而是在本就十分完整的棍法系统上额外融入了更多的变身、法宝、法术等强大的技能。通过排列组合，玩家就可以在理论上组合出海量的酷炫连招，战斗的观赏性也会更上一层楼……至少对一部分玩家来说是这样。
在实战环境下，想要练成这样的熟练度，对玩家的操作水平实质上有着很高的要求，熟练掌握《黑神话》的动作系统，实则有着不低的门槛。玩家们所总结出的直观结论，也似乎在说明本作的不同操作方式之间的联动缺乏规律的问题。比起精准输入指令后得到奖励的正向反馈，究竟要如何去搭配使用它们反倒变成了玩家所困惑的点。
具体来说，不少玩家都体验到了“后摇长、喝不上药”之类的问题，究其原因，便是本作各个指令的输入窗口与优先级不统一，比如不小心接错了重棍却无法通过闪避取消，或者是明明按顺序进行连招，角色却原地发呆的问题。此外，一些boss的出手、蓄力、腾空动画的播放速率也经历了不自然的调整，以适配连续的攻击次数，但在玩家看来却略有些反直觉，躲起来的难度也丝毫不亚于“快慢刀”。
所以，初遇《黑神话》中的任何敌人，都不能因它的外观而掉以轻心，每个敌人都可能在意想不到的地方出现“槽点”。由于本作的各种boss也跟你是毫不客气，攻击手段都以高频，大范围的招式为主，十有八九都能把玩家打飞老远，这还不算那些个难以闪避的投技。玩家一旦对连续操作犹豫半分，就会直接吃上一整套，当场去世。
即便考虑到繁多的技能法术，虽然玩家并不缺乏反制BOSS的手段，但实际的战斗过程中，反而会由于可用的招式太多，而敌人的弱点又不明晰，最终犹豫不决错失时机。因此，玩家们便时不时会遇到“某些看起来值得认真战斗的boss一遍过，挡路与过场的小怪却频繁卡关”的奇怪现象。
不论是动作系统相关制作的缺乏，还是战斗叙事与克制关系引导上的弱化，都印着了游戏科学在此方面的经验不足。而官方的解决方法，便是留下法宝、技能组合之类的“逃课”后门，给了像咱这样“手残玩家”通关游戏更多的可能性，以至于不少玩家都开始研究起隐身混关、切套装嗑药打“核爆”的邪术门路了，显然，这也是《黑神话》的一大乐趣之一。
除此之外，一个更加受人关注的讨论点是本作的地图引导。但我反而觉得这一点上游戏科学的处理已经要优于绝大部分同类作品。想象一下，倘若给本作添加育碧罐头式的地图标记和任务系统，玩家的游戏体验难道会变得更好吗？黑神话在相对封闭与线性的游戏地图上，通过支路与美术加工打造出了沉浸感十足的环境，本身已经足以称得上优秀的设计了。而对于本作迷路与 “撞墙”问题的根源，也来自于高规格的美术设计。
相较于制作更多的qte脚本、物理破坏和特殊过场，本作毫无疑问选择了将主要精力集中在美术表达和系统优化上，其副作用便是画面的辨识度与记忆点的设置将会较为棘手。而本作也的确存在烘焙光照贴图错误，部分场景偏暗，素材复用率过高的情况。作为首批尝试虚幻5引擎的作品，这些碰壁之处是在所难免的。
在探索地图的过程中，玩家偶尔也会遇到“开箱子时被射一身弓箭”、“上楼梯时被人从左边偷袭”、“通过看上去很安全的桥时直接摔死”此类让人苦笑不得的滑稽状况，不过，本作倒也加入了一些细心的优化措施，比如在一部分较暗的场景下，主角会产生一个随身光源来照亮周围的地面（虽然有时候会比较出戏），从而在最大程度保留环境真实感的基础上提高地图的辨识度。
如果加以对比，在其他大型开放世界的游戏中，玩家可以到访主城、野外等多个地区，也可以体验解密、跑酷等多种探索方式。若是直接套用这些游戏的经验，在游玩本作时，反而会错过很多重要的地方。反之，不再麻木地跟着地图一路狂奔，而是慢下来通过自己的观察来享受探索这一乐趣本身，又何尝不是我们应该追求的新目标呢？诸如此类，《黑神话》在细节上的取舍，都值得我们去认真思考。
结语
站在玩家的角度，《黑神话》是一部成功的作品，但对国产游戏的制作而言，复刻它的成功也绝非易事。只有依靠这种破釜沉舟式的投入与顶尖人才的持久努力，才确保了今天的成功。但这并不代表《黑神话》就没有广泛的可取之处。
用通俗形象的方法解释，假设游戏界也有高考，那《黑神话》绝对是一位奇才。他出生时享受的资源并不优渥，平时的成绩也平平无奇，但却读透了考试规则的每字每句。于是他用尽机巧，算无遗策，在最终的考场上超水平发挥，极致利用每一秒考试时间，最终交出了一份断档式的高分答卷，这不无令在场的所有“阅卷老师”瞠目结舌——这是如何做到的？
若是细看他的答卷内容，便可从中翻出些蛛丝马迹。“学霸”搞不定的压轴难题，他干脆空着没写；有的基础题，“学霸”偶尔会因为过度自信，炫技而犯错，他则答的简洁有力；而在某些他擅长的学科上，他的正确率甚至更高。对比“学霸”洋洋洒洒的卷面，《黑神话》的答卷看似空洞，但若是统计总分，也已然跃入了优等生的范畴。面对这位近乎“犯规级”跻身前列的考生，这些老学霸们是否会有些坐立不安呢？
说白了，咱想聊的无非就是《黑神话：悟空》作为国产“首个3A游戏”的资格与含金量，但若是不假思索，我们又会陷入一个更大的误区。所谓的3A，向来不是制定与区分游戏的标准，更不是某种公式或真理，它的使用范围，也仅限于特定时代，为一部分玩家所熟悉的商业概念而已。
所谓的3A，可以是老牌厂商享受ip红利不思进取的资本，可以是徒有外表，灵魂空洞的工业糖精，也可以是不求结果，尝试玩法，锻炼新人的试验田。但对《黑神话》来说，它的使命和目标都是唯一不变的——拼上一切，做到最好，唯有卸下名为“3A”的金箍，才是《黑神话》真正的自由与新生。
加入肥宅聚集组，这里是游戏肥宅与咸鱼萌新的聚集地。
关注肥宅鉴赏家，一起当肥宅w</t>
  </si>
  <si>
    <t>CN-P-187</t>
  </si>
  <si>
    <t>2024-11-23</t>
  </si>
  <si>
    <t>当年，我玩古剑奇谭三的时候，就直达内心的感受到国产游戏与外国游戏的区别，那种在方方面面的都能感受到自己文化中诞生出的作品带来的别样体验。当我玩到对马岛，我惊叹与一个游戏的文化属性居然能高到如此地步，它真正的做到了水墨风与武侠的贴合，那骨子里就是咱们文化衍生出的产品。那时，我对国产游戏的渴望到了一个无以复加的地步。就在那时，黑神话悟空出现了。虽然从第一支预告至今，已然过去4年，但是上手这款游戏，让我觉得一切等待都是值得。我不需要去表述这款游戏有多好，这是在中文的社区，大家都耳熟能详。但是它的文化属性，比起晦涩许多的古剑三，要丰富太多了。游戏里一路的场景，壁画，雕刻，神像，音乐，甚至于人物的语言，神态，情感表达。无时无刻带来的都是文化认同。我看过杰洛特的故事，我也体会过亚瑟的旅程，我见证的亨利的封爵之路，也参与了境井仁的复仇之旅。我玩了上百款的游戏，扮演了各种各样的角色，但是在那些游戏里，我终究只是一个看客，他们带不了我的归属感，引不起我的共鸣。只有黑神话做到了入手这款游戏，不需要听那些无病呻吟的诟病。比如空气墙，不用出第一章你就会习惯并掌握。比如粗糙的第六章，你可以感受到制作组这么做的目的，让你体验真正的大圣，体验他的各种手段，到这一章，为什么不换个思路玩这个游戏呢？如今我通关了，但仍心痒难耐，心绪难平，这一路以来，我截了142张图，探索了70小时。还不够！我想再来一次！所以在看评论的你，在等什么呢？ 不要想着做那六耳猕猴，成为真大圣  好吗？</t>
  </si>
  <si>
    <t>画面美术场景；音乐音效配音；空气墙可达性；探索隐藏支线；推荐价值判断；西游悟空符号；国产3A身份期待</t>
  </si>
  <si>
    <t>CN-N-188</t>
  </si>
  <si>
    <t>2024-11-24</t>
  </si>
  <si>
    <t>想了很久，我还是准备为黑神话写一个长评。首先，作为一个动作游戏，我完全愿意给95分，两分扣在没有预输入的喝药和翻滚，两分扣在糟糕的引导和地图设计，一分扣在大体型boss战的糟糕体验（点名百眼魔君，那么大一个体型，尾部做空气墙？}，也就是，如果只用一个动作游戏的标准，黑神话相当优秀，起码比不少真正的粪作优秀的多。但是，我要说但是，它在我最担心的部分做好了，却在我曾经最不担心的部分端上了一盆咖喱味的大粪，那就是剧情与内核。我从来没有想过我会因为一个游戏的内核而破防。或者我说的明白一点，如果你是为了当上你心目中的大圣而来的话，别来。这个游戏的大圣不是原著的大圣，不是86版的大圣，它甚至。。。不是悟空传的大圣。要我怎样形容这个游戏关于大圣的塑造呢，很简单，这个游戏中，没有“人”的位置，这个游戏所塑造的世界中，没有出现过真正的“人",也没有任何可以称得上战斗的理由的东西（找齐六根复活大圣只能说动机）。这个游戏选择赋予妖怪人性，但全游戏玩下来，我没有看到任何能让我感到触动的塑造，这个游戏任何人性都赋予了妖物，唯独没有高尚。从开头到结尾，我没看到“义”，没有看到“仁”，也没有看到“礼”。礼崩乐坏啊，这个游戏把天地间的一切都结构成了算计，告诉我们大人物们都是一派可恶嘴脸，却没有展示他们“恶”在何处，到处都是复杂的“人性”，所有人都塑造了两面，那我战斗的意义是什么呢？复活大圣？复活大圣的必要性是什么？天庭无道？所谓被压迫的妖物也未必是什么良家。“人”的位置在哪里？天庭众生固然惹人不快，而地上群妖也没有一个彻彻底底的义人。“已识乾坤大，犹怜草木青”，乾坤无道我倒是看遍了，那我怜惜的草木在何处呢？直到结局，我也不知道，我要为了什么而战。艾尔登法环里，我直接背负成王的理想，所谓挽大厦之将倾。巫师系列，那就更简单，一路奔波杀邪除怪自然是正道之举。一直被诟病剧情家庭伦理的鬼泣，我也是恶魔猎人，猎杀恶魔护现世安宁。那。。。黑神话呢？我因为一个简单的找齐六根的任务而出发，一路上看遍的都是各种算计以及说话云里雾里的谜语人，见到的神有善恶，妖更是大多都该打死，有人帮我，但没有什么塑造，有人考验我，更是莫名其妙。大家好像都想我当大圣，但我却没有看到我要成为大圣的理由，天庭无道，但好像也没有必须要一棒扫清，妖云四起，但游戏所表达的也不是要我降妖除怪还天地清平。直到玩完了整个游戏，我都是迷茫的。妖怪的塑造没有令我痛惋，天庭的塑造也不至非得痛恨，佛门更是云里雾里不知所谓。以及铺垫了这么久，最重要的，大圣的塑造，我先骂一句脏话---游戏科学我去年买了个表---：大圣的塑造更加是灾难，游戏科学想塑造一个反抗者，却没有写清反抗的意义，大圣成了佛位之后我唯一能称赞的塑造是影神图里的那句“我们多吃了，他们就少吃一点”而除此之外，全是狗屁！游戏里一切关于对立面“天庭”的塑造视角，全部都是基于“妖”来的，而“人”的灾难，近乎都是“妖”起的。我要如何与那一群妖共情？而离了与“妖”共情的前提，大圣的反抗便失去了“大义”，而没有“大义”我又该继承什么精神呢？只是解构，但不构建一个更好的。不重建的破坏，没有纲领的反抗，是低级中的低级。而我最可惜的其实也不是这些。。。而是我意识到，我可能没有机会当大圣了，在黑神话过后，多半很难再看到西游背景的大作，有也不太可能以一个猴子作主角了，黑神话其它地方做得越好，我对它内核就越痛恨，我意识到，我。。。当不了大圣了。最后，我还是决定，给这个国产第一款单机大作，一个好评。它的游戏质量也担得上一个好评，只是，我可能再也没有办法说，我喜欢这个游戏了。那个金猴奋起千钧棒，玉宇澄清万里埃的孙大圣，终究还是走远了</t>
  </si>
  <si>
    <t>动作打击手感；Boss战斗节奏；难度挑战；锁定视角；地图路线；空气墙可达性；引导迷路单线；整体完成度；推荐价值判断；西游悟空符号；中国文化宗教语言审美；原典知识人物关系专名；角色期待意义偏移；国产3A身份期待</t>
  </si>
  <si>
    <t>CN-M-189</t>
  </si>
  <si>
    <t>2024-11-30</t>
  </si>
  <si>
    <t>游戏里，我取下了大圣的金箍；游戏外，我戴上了现实的金箍。游戏里，我背负天命，是寻找六根的天命人；游戏外，我背负房贷，是每周 996的打工人。游戏里，我棒打金池，是识破虚妄的局外人；游戏外，我苦寻袈裟，是穿着长衫的孔乙己。游戏里，我镇海定风，是拯救黄金国的盖世英雄；游戏外，我身如浮萍，是被赶下灵山的黄毛貂鼠。游戏里，我克己奉心，是棍平祸乱因果的行者；游戏外，我蒙耳蔽目，是唯见功名利禄的布衣。游戏里，我集全六根，是直面天命的齐天大圣；游戏外，我茫然四顾，是不知路在何方的白丁。</t>
  </si>
  <si>
    <t>西游悟空符号；原典知识人物关系专名</t>
  </si>
  <si>
    <t>CN-P-190</t>
  </si>
  <si>
    <t>2024-12-08</t>
  </si>
  <si>
    <t>很早就打算写一下感想了，但是懒癌发作一直没动笔，现在补一下帮黑猴冲100W好评。我个人觉得最让我称道的不仅仅是大家说的传统文化和精神内核，纵观这几年的3A大作，黑猴最有意思的一点是从发售到现在，除了一开始有很多人游戏崩溃退出游戏以外（这个后来被证明是因为intel偷偷降频），黑猴几乎没有被报道有什么严重的恶性BUG。要知道，几年来由于游戏体量急剧增大、工作室的工期紧张导致优化不足，加之ZZZQ引入垃圾员工等等许多问题，刚刚发售的游戏普遍出现了BUG成堆的现象，典型的就是2077，刚刚上线就放出了几十个G的补丁来修BUG。相较之下，黑猴内侧就只有1个不开门的BUG，后续大家游戏的时候也只有诸如螺旋登天这种不影响大家游戏的乐子BUG，冯骥是真的兑现了“比起一个完美的游戏，完美首先要保证给玩家们一个完整的游戏”的承诺。可能很多人觉得一个游戏发售的时候没有BUG是理所应当的，但是现实就是玩家们已经很久没有体验到一个从发售当日起就几乎没有恶性BUG，玩家们可以一鼓作气、酣畅淋漓的打到游戏结局的3A大作，这是全球游戏玩家都预料不到的幸福。希望游戏科学能秉持“给玩家一个完整的游戏”的精神，让大家能持续体验黑神话给大家带来的酣畅淋漓的游戏体验。</t>
  </si>
  <si>
    <t>优化帧率；崩溃闪退；Bug兼容硬件；推荐价值判断；中国文化宗教语言审美；国产3A身份期待</t>
  </si>
  <si>
    <t>CN-P-191</t>
  </si>
  <si>
    <t xml:space="preserve"> 42.7 小时</t>
  </si>
  <si>
    <t>免费获取的产品
																 别看好评了，买就完事了。 非要看的话，我总结一下：画面：虚幻5没的说音乐：绝赞的国风音乐优化：玩到现在（蛇精） 只闪退过一次，帧数优化也出乎意料的好。玩法：棍势玩法也是新东西在别的魂游没见过，还有变化和大招，可以用已收服的怪的招数是亮点，有种玩帕鲁的感觉玩了18小时更新一下缺点：和场景不匹配的空气墙非常影响游戏体验，影响探索欲望</t>
  </si>
  <si>
    <t>画面美术场景；音乐音效配音；空气墙可达性；探索隐藏支线；优化帧率；崩溃闪退；推荐价值判断</t>
  </si>
  <si>
    <t>CN-M-192</t>
  </si>
  <si>
    <t>2024-12-11</t>
  </si>
  <si>
    <t>为什么steam更新低人三等为什么steam更新低人三等为什么steam更新低人三等为什么steam更新低人三等为什么steam更新低人三等为什么steam更新低人三等为什么steam更新低人三等为什么steam更新低人三等为什么steam更新低人三等为什么steam更新低人三等为什么steam更新低人三等为什么steam更新低人三等为什么steam更新低人三等为什么steam更新低人三等</t>
  </si>
  <si>
    <t>CN-P-193</t>
  </si>
  <si>
    <t>2024-12-12</t>
  </si>
  <si>
    <t>其他很好，但是战斗判定做的真的很差。很多时候空格按下去了，然后听到自己被击中了，有时候要疯狂连击才能做出闪避动作，但是这个游戏一直做动作很容易有错误的判断，比如吃药连吃这种事情。这个延迟反应是很明显的，有时候我能感觉到是我反应不过来，比如快慢刀啥的，我觉得这些都很好，但是你不能让我明显已经感觉到出招的瞬间了，而且做出了及时的反应，但是没给我正反馈，这种感觉真的很不爽。我是一周目就把所有bos都过了，小青龙，小黄龙，毒敌大王这些都过了，我觉得我的反应应该算是个正常人吧，不能说我反应慢到不能玩这个游戏的地步吧。但是即便我过了bos也没感觉到爽。这是这个游戏唯一一个让我感觉不爽的点，我不知道是不是故意做的这种，但是战斗的不爽是我的真实感受。</t>
  </si>
  <si>
    <t>动作打击手感；Boss战斗节奏；难度挑战；判定反馈；优化帧率</t>
  </si>
  <si>
    <t>CN-P-194</t>
  </si>
  <si>
    <t xml:space="preserve"> 41.4 小时</t>
  </si>
  <si>
    <t>2025-07-20</t>
  </si>
  <si>
    <t>一周目通关了，不改评价，总体还是推荐的，但是不会再向非ARPG/类魂爱好者推荐了。美术资产总量和精细程度放在全游戏界也是空前水平，有没有来者不好说，但一定是前无古人。但可能也正是因为这份前无古人花费了太多的各种成本，导致这个游戏抛开表面蒙皮的艺术性后真真切切存在很多问题。第一章算是中规中矩的导入和学习章节，可以作为对整个作品后面章节的水平准绳，长度适中，地图不大但元素设计相对紧凑和充实，剧情讲述基本是插叙的单线展开，没什么值得单独说的，也没什么喷点，唯一要喷的是这游戏所有带元素特效的BOSS，要么光粒子效果太强/特效贴图太大导致影响玩家视野间接影响目押，要么BOSS本身就是锁视角下的多动症，整个屏幕全程乱晃，一会没BOSS一会没猴，同样影响临场判断。总体游玩体验最好的是二章，但是二章前期强度不足，导致爽快感不足，只能由战斗之外的剧情体验补正，好在二章剧情足够硬，甚至是我体验下来整个流程中最好的一整章剧情体验。空气墙问题在此章初现端倪，但更多的还是路径设计的不合理和反直觉，尚且可以接受。第三章直接看我下面的原评测，总结就是地图假大空，藏物点设计不合理，杂兵质量/数量分配不均，存档点设置不合理等等，导致原本还算可以的剧情体验几乎被糟糕的地图和关卡构建完全摧毁，体验最差的一章，宛如裹脚布一样又臭又长，唯一值得称道的是第三章的BOSS总体水平都不低，而且相比起后面两章明显开始堆量的BOSS，这章以不能为首的BOSS算是设计感拉满，交互交的很爽。第四章相比第三章缩小了地图规模，强化了剧情叙事，导致整个第四章几乎成为了线性叙事，体验意外的反而很好，抛开某些明显掺杂恶意设计的地形杀，总体是非常不错的，但是剧情本身又跟原著没啥关系，关联的是制作组的前作剧情，有点出戏，但总体属于体验较好的一章。但另一边，堆怪开始变成了堆BOSS，本章的多数BOSS设计给人一种严重的凑数感觉，要数值没数值，要机制弄个非常恶心的机制搞你，打打不中，躲躲不开，要么速杀要么硬吃，明明数值已经成长到可以横着走的程度了，个别boss就是要恶心到捏着鼻子打，没错我说的就是手虫。以及小黄龙本身其实是一个设计的非常不错的BOSS，但是被那个逼仄的场地给毁了，后面杨戬也是一样，甚至你可以说猴里面很多BOSS都是这种有病的设计：明明是一个从机制、模组和交互上设计的都可圈可点甚至十分优秀的BOSS，要么烂场地，要么带强场控，要么拉满视觉特效干扰目押，杨二郎甚至干脆读上指令了，杨奇英高小时候拿了100分回家被他妈扇耳光说你这次拿满分下次怎么进步以后次次控分考98是吧？我就这么说，小黄龙换一个开阔场地，杨戬不读指令，黑熊化形时候不带火焰特效，黄风用伤害性风墙而不是黄沙空气墙，这么改既不至于影响boss本身强度，还能让热衷于打交互的玩家打的爽，没有蹩脚感和被刻意恶心的感觉，不会给玩家留下话柄，岂不美哉？看看虎先锋、寅虎、不能和大圣残躯，难度是难度，但是就算顶着难度打交互疯狂死下来评价也只有自己菜，而不会感觉是你BOSS设计本身有病和刻意和玩家作对。第五章明显感觉物料和工期的焦头烂额了，最明显的就是第五章地图几乎就是单行道，而且相比起四章长度能对半砍，如果不是这章剧情本身没什么理解难度+老牛的人设立的好，这章的体验就是灾难了，boss低设计低质量和大量复用（火车，蛤蟆打到现在打5个了吧，之前2章的石先锋套个火出来继续干活），但和之前第四章一样，单线地图和短平快的直线叙事反而救了这章的剧情体验，打完甚至有点对老牛的故事意犹未尽的感觉。然后第六章，根本没做完，如果不是最后有大圣兜着，是可以直接以烂尾拉爆整个游戏评价的一章。地图设计这下真不如⚪了，整章没有任何叙事可言，BOSS质量低且数量少，那个火蟋蟀你不能直接做成QTE吗？放个血条有什么意义你告诉我？那个牛和旁边的蛤蟆，土属性全程金身谁打谁骂，你都不如把杨戬支线BOSS扔这章挨个打一遍，做个BOSSRUSH单行道都比现在的成品要强。还有全程那六个逼蛤蟆我甚至看到有人在夸的，这玩意也就前两章打着还有点意思，因为那时候玩家无论技术流派还是装备都还没成型，等玩家有了自己的顺手体系之后你就会发现这玩意纯粹套皮怪一个，基础攻击模组一样的，根据属性加点特有动作，然后剩下的就是单纯为了迎合玩家的成长而增加数值而已，打三个我都嫌多，妈的打六个还在夸，特别是打完最后一个还在觉得蛤蟆设计好的人家里请什么都没用了，吃点好的吧孩子。诚如制作组所说，做完比做好更重要，但至少直到我发售快一年换了电脑才买来玩的现当下，从三五六章的体验上来讲本作尚且不能谈做完，后续会不会有DLC，会不会补正现有的缺失内容犹未可知，作为一款综合性文娱产品是优秀的，但单纯作为一款游戏来讲只能说堪堪合格，毕竟考虑到是村里第一个大学生，确实不能太苛刻，但给与鼓励不代表就不应该对现有问题视而不见，好的要夸，要鼓励要发扬要吹，坏的要骂，要批评要指责要勒令整改，既然你拿出了诚意认真对待玩家，势必也要得到玩家的诚恳对待，你也要为这份诚恳承担相应的重量，直到真经到手，功德圆满为止，在此之前都是八十一难。--------以下为原评测----------还没通关，好评给前两章，差评给第三章的地编。你不能因为自家出了第一个考了80分的大学生太高兴了就不能批他剩下没拿到那20分丢的都是送分题。关底BOSS机制需要放在支线解，我为主线解BOSS机制还需要额外打支线BOSS，相当于我为了早下班需要提前额外加班，不愧是藤子家做网游出身的，刻意拉长游玩时间有一手的。地图突出一个假大空，该空气墙的地方能走，看起来能走的地方空气墙，漫山遍野藏东西，高质量小怪守道具（没错我说的就是藤旁边那俩扇子鸟人），本来应该占主导的小雷音寺明明那么大那么空，能放那么多怪那么多道具，却放不下两个土地庙，主殿前面俩甲沟炎打死旁边门房还一个不净，妈的你土地庙不能放这俩玩意前面吗？放楼梯上面？艺术风格没得说，但是艺术风格好≠视觉效果好≠玩家玩起来舒服，一章黑熊二章黄风（甚至包括大虫子）或多或少都会有被元素/粒子/场景特效给糊的满屏幕都是而导致BOSS的距离/走位判断失误的情况，以及在某些极度逼仄的场景内/BOSS场景被堵到边缘卡死视野或者BOSS本身就是高机动性+大体型导致锁定了之后整个屏幕转来转去的情况，经常导致自给卡出屏幕没法判断位置/距离导致错误的闪避时机的情况，偏偏你猴又是个下盘不稳的脆皮，不会主动防御，到了三章基本就人手一招破金刚不坏的重击了，防也没法防的情况比比皆是，前面两章打下来很多地方觉得只是略欠打磨，总体还算差强人意，到了第三章还没打到黄眉就已经被傻逼地图设计恶心的不想再打二周目和全收集了，这地编真的像是没做过开放世界/箱庭地图探索，你就算照着隔壁育碧抄也不至于做成这样。游戏有多好我不想聊，没必要聊，所有人都看在眼里，不欠我一个来吹，但是真正被傻逼设计恶心到的人也绝对不止我一个，所以理性点，也不用因为是自家孩子就得惯着。该喷喷，该吹吹，何况很多问题是发售至今一年时间都没能矫正过来的了，大半是底层逻辑/动全身的东西，不好改，也不打算改了。等看看第四章什么设计水平吧，如果还是这么恶心的地图可能真的就直接弃了。</t>
  </si>
  <si>
    <t>画面美术场景；演出角色怪物设计；动作打击手感；Boss战斗节奏；难度挑战；锁定视角；地图路线；空气墙可达性；探索隐藏支线；引导迷路单线；崩溃闪退；整体完成度；推荐价值判断；西游悟空符号；童年记忆情怀；中国文化宗教语言审美</t>
  </si>
  <si>
    <t>CN-P-195</t>
  </si>
  <si>
    <t>2024-12-13</t>
  </si>
  <si>
    <t>这个是DLC不配，那个是重制版炒冷饭，做游戏不能为了营收，看销量数字没有意义。。。别叠甲了TGA，小机器人定价400你不提，没PS5玩不了也不是个事儿，体量小到10h+通关，单人游戏依旧稳拿最佳家庭游戏，真给大伙整笑了。迟迟没有通关，不敢轻易写下这份好评，因为黑猴给我带来的远远超过了一份游戏的快乐，至于现在每每听到主题曲都有一种DNA在动的感觉。今天看完TGA颁奖我是真忍不了了，资本不希望你拿奖是吧，玩家用钱投票，用好评投票，我们来助你！</t>
  </si>
  <si>
    <t>CN-P-196</t>
  </si>
  <si>
    <t>心中的2024年度最佳。虽然没有袈裟，但"尘缘已断，金海尽干"乃是玩家们有目共睹。</t>
  </si>
  <si>
    <t>CN-P-197</t>
  </si>
  <si>
    <t>我有很多很多的感想，但当我的手放到键盘上准备敲字时，却又不知道从何说起，这让我想到了过去玩过的其他让我爱不释手的游戏，因为感想太多以至于无从开口，最后只能浓缩成一句“好玩到爆！”来总结。黑神话悟空好玩吗？作为一个品鉴过不少三端（PC、NS、PS）优秀游戏的老玩家，我敢打包票是好玩的。甚至我认为黑神话的优秀绝对足以挤进顶尖游戏的梯队，说句武断的，我很难想象一个真正玩过很多游戏的玩家会发自真心的觉得黑神话质量很一般。是我心中2024年真正的年度最佳，相信也是大部分玩家认可的2024年年度最佳。</t>
  </si>
  <si>
    <t>难度挑战；整体完成度；推荐价值判断；西游悟空符号</t>
  </si>
  <si>
    <t>CN-P-198</t>
  </si>
  <si>
    <t>世人都晓神仙好，唯有功名忘不了。我倒要看看这2024年年度最佳游戏比你强在哪了？啊？PC玩不了？书接上回:TGA一到店，所有玩游戏的人便都看着他笑，有的叫道，“TGA，你脸上又添上新伤疤了！”他不回答，对柜里说，“改规则，篡改统计。”便排出一堆选票。他们又故意的高声嚷道，“你一定又偷了人家的东西了！”TGA睁大眼睛说，“你怎么这样凭空污人清白……”“什么清白？我前天亲眼见你拿了SN的钱，跪着舔。”TGA便涨红了脸，额上的青筋条条绽出，争辩道，“赞助不能算收……收钱！……资本家的事，能算收么？”接连便是难懂的话，什么“君子固穷”，什么“者乎”之类，引得众人都哄笑起来：店内外充满了快活的空气。</t>
  </si>
  <si>
    <t>CN-N-199</t>
  </si>
  <si>
    <t>2024-12-14</t>
  </si>
  <si>
    <t>今天学到了一句话，“反正买了游戏想怎么刷就怎么刷”，真是闹麻了，整天嘲讽微博女、二游痴都是饭圈，猴批们不也一样？TGA年度游戏这件袈裟，我看猴批们不是很在意么，不给你们就开始撒泼打滚，个个都是金池长老啊？你不能只有在把奖发给你的时候，这个奖才有含金量，那黑猴拿的年度最佳动作奖不是厕纸中的厕纸？也许黑猴已经可以在TGA舞台上与其他游戏同台较量，但很可惜，相当一部分自卑自大的国内玩家还不配。就像我四年前边玩原神边骂原批，二周目黑猴不影响我教教猴批怎么做人。PS：猴批特指极端黑猴玩家，正常玩家粉丝不要对号入座。不过说实话，林子大了什么鸟都会有，出现一堆猴批只能算情理之中。</t>
  </si>
  <si>
    <t>动作打击手感；推荐价值判断</t>
  </si>
  <si>
    <t>CN-P-200</t>
  </si>
  <si>
    <t xml:space="preserve"> 10.0 小时</t>
  </si>
  <si>
    <t>第一回已通关，太难了！借用游戏第一回的台词“小妖打得费劲，大怪更是仓皇”。风景党大爱，精美的画质建模和特效很喜欢，序章密密麻麻的天兵天将以及高耸入云的巨灵神四大天王视觉震撼很强烈，序章孙大圣和真君杨戬的战斗也很精彩，第一回章节结尾节黑风山的黑熊精战斗场面很燃特效很酷，像是在看电影一样。游戏模式属于线性剧情和古墓丽影很类似，有基本的路引和台词提示，不过更需要自己去挖掘细节，而不是像古墓那样有提示，会错过很多隐藏关卡，每次打不过关的时候搜一搜攻略结果都能推荐一堆我没了解到的隐藏细节。关于自主选择上，没有难度调节统一难度，对于操作卡点和游戏的学习理解需要一定的门槛。印象最深的是不按V耍棍花可以被放火箭的狼弓手射毙两次，也没有远程的反制手段，黑风山那里的一堆狼弓手，硬控我三分钟在原地耍棍花，一二三木头人，弓箭射过来就不许动了哦！动了猴毛就要被烧焦哦！在打了大头娃娃五六次发现对方的攻击力不合理还能召唤小怪辅助战斗的时候，结合一开始要变身猜想，玩胡桃苟分苟多了碰到打不过的就会思考能不能躲。好奇的到处看看，听说隐藏细节和关卡多，结果没有了路引迷路是常事，好处是迷着迷着又看见新的交互，但是对于风景剧情党喜欢推进的人来说就很痛苦。地图悬崖边的限制做了一个动作处理细节好评，没查攻略打第一个妖王级也让人血压升高，碰到卖酒的申猴想把他身后的罐子都砸了拣点破烂发现砸不破嘿嘿。场景不知是在前进还是在后退的情况下遇见白衣秀士，干净利落的打完之后居然可以变身二阶段，人身蛇尾战力大涨，边打边嘲讽，跑又跑的快，骂又骂的狠，结果最后打完告诉我他是个内应！打妖王确实人如其猴  80%的时间都是在蹦蹦跳跳躲攻击等技能cd抓timing  每次精确闪避后就像是打永劫振刀成功一样还挺有成就感的！ 边打边叫边想这个游戏为什么没有格挡呢！可能每个点都有设计师自己权衡利弊考量的地方，但是站在一个手残玩家党的角度上思考，站在喜欢看风景和看剧情的玩家的角度上思考，我希望能多为我们这种手手笨笨的，脑袋晕晕的玩家多一些引导提示，多一种难度选择，多一份菜鸟关怀！</t>
  </si>
  <si>
    <t>画面美术场景；演出角色怪物设计；动作打击手感；Boss战斗节奏；难度挑战；地图路线；探索隐藏支线；引导迷路单线；推荐价值判断；西游悟空符号；外部资料依赖</t>
  </si>
  <si>
    <t>CN-P-201</t>
  </si>
  <si>
    <t>猴批们，停止释放你们的戾气。黑神话是个好游戏，但是在完成度上基本就是个半成品。逆天的hitbox，逆天的视角锁定，逆天的空气墙，还有虎头蛇尾的支线任务，以及尴如尬开场演出，美丽（睿智）的盘丝岭地图设计，真的让人难绷。如果就只有以上的这些问题，我当然可以给出我的好评，为它浓郁的文化氛围，独特的美术设计，以及有趣的boss战设计(粪怪除外)，还算有深度的动作系统点赞。       但是，逆天粉丝太多了，就为了一个游戏，到处给别的游戏打差评，拉踩，上一次这样的游戏还是大表哥2，这个游戏现在风评已经成为了3A原神了，但是各位猴批的战斗力（其实用丧心病狂更合适），真是有过之而不及，生怕别人不讨厌这个游戏，到处战斗。颇有一种游戏黑社会的既视感，既然如此，那么我也给个无关痛痒的差评，就算是为了我喜欢，但是无辜受害的游戏，尽一份力。我的呐喊虽然微弱，但是这也是一点光，这也是一份力，这也是一声呐喊。       我之前在B站看到一句话，不能因为游戏的逆天粉丝而给游戏差评，现在我宣布这是今年我听过最好笑的一句话，苍蝇碰过的美食，再好，也有了屎的嫌疑，况且你连美食都算不上。最后，欢迎各位猴批团建我，我不会开放我的好友申请，这条评论的评论区，以及我的背景资料。（你别管我是不是阿Q的胜利，我狠狠地赢就完事了）嘿嘿嘿，气死你。🙂（欢迎给我送小丑，我的点数正不够呢。）</t>
  </si>
  <si>
    <t>画面美术场景；演出角色怪物设计；动作打击手感；Boss战斗节奏；锁定视角；地图路线；空气墙可达性；探索隐藏支线；整体完成度；推荐价值判断</t>
  </si>
  <si>
    <t>CN-P-202</t>
  </si>
  <si>
    <t>《西游背景自然是按吴承恩的原作来最好》《86版作为一代经典，按这个来不会错的》《大闹天宫动画作为上美厂精品，世界观也没什么问题》《悟空传作为一些人的青春回忆也有其受众》《斗战神是什么？》</t>
  </si>
  <si>
    <t>演出角色怪物设计；西游悟空符号；童年记忆情怀；本国媒介路径；中国文化宗教语言审美</t>
  </si>
  <si>
    <t>CN-P-203</t>
  </si>
  <si>
    <t>2024-12-15</t>
  </si>
  <si>
    <t>24年12月15日更新
没改好评真是对的，你就狂吧，正好和BIN凑一桌
引擎是epic提供的，场景美术是靠扫描的，优化是皮衣帮的，剧本是来源自古典小说的，媒体评测版本是不搞完翻译就硬送完事还怪媒体评分低的，游戏第五第六章是赶工凑数的，金箍结局是发售前几个月才匆忙加入的，获奖感言是两年前就在写的……
还要我继续说下去吗？
---------------------------------------------------------------------
已通关并白金
前三章打的太累了，后面几章适应了以后就没感觉那么累了
感觉黑神话是一个很矛盾的游戏，目前的感觉就是80分顶天了，优点确实多，但是结合在一起变差了
1，战斗节奏设置有问题。风景很好，但是安排的战斗太多了，没有多少喘息的时刻，基本都是在花费了一段时间功夫打赢BOSS后才有“绝景”欣赏，风景好但是没有停下来看的时间，浪费了，优点交叉在一起反而起到反效果了
2，数值设计略显崩坏。在不使用外物（技能，变身，法宝等）的情况下，有的小怪可以初见一套连死你，这是BOSS RUSH游戏，在初见的情况下我们并不知道后面会不会有BOSS在等我们，法术资源是必须节省的，因为法术没得恢复。精英小怪使用的也是普通杂兵的UI，所以我们遭遇后会第一时间认为这就是杂兵，不过好的方面是这种精英小怪一旦被打死就不会再复活，与之相反的是部分精英小怪会复活，肉的一批同时伤害还高，这就有点难以评价了
3，存在感过强的空气墙+藏东西。这两个东西就不能同时存在，你想藏东西就不要搞空气墙，地图里一堆看起来能走的地方实际上有空气墙过不去，但是偏偏又有藏起来的东西，哪有玩家喜欢猜哪些路能走哪些路不能走？对探索欲打击太高了。建议不能走的地方通通用高大的东西堵死，不留缝，就算美术设计需要开个洞补光也得在较高的位置开，千万不能让玩家轻易觉得可以通过
4，意义不明的跳跃功能。所有需要跳跃才能上去的地方都可以用按住冲刺的自动方式直接爬上去，跳跃的作用在空气墙的衬托下越发意义不明，你也没有跳跳乐环节啊
5，场景辨识度问题。美术堆砌导致了一系列问题，不单单导致了风景通常没时间看，还导致了场景缺乏辨识度，太容易迷路。第一张地图还好，没有真正的岔路，所有路殊途同归，打完了就回归主路，但是第二章开始就给你整环形地区了，第三章更是给你意料之外的惊喜呀
6，视角锁定问题。这一点在会飞的boss身上尤为明显，会飞的boss通常都有远程技能洗地板，这就逼玩家靠近boss来尽量避免被远距离放风筝，可是玩家根本没有远程能力，只能采取近战贴脸打，不然就是纯靶子。但是这勾石的视角锁定会在你靠近飞起来的BOSS时强制抬高视角但是又不拉大范围，导致完全看不见地板，而偏偏这个时候boss放的技能就是会出地板提示的高伤害技能，离的远了当靶子，离的近了又不好躲技能
7，长体型敌人的攻击部位锁定问题。定身术定住了亢金龙这种长条boss，然后由于之前的幽默锁定的胸部在天上打不到，重新锁定锁到尾巴但是又没时间打了，锁定部位非常混乱无序，一会头一会胸一会尾巴，然后原地抽搐不知道到底要攻击哪里
8，硬直以及预输入问题。喝药经常按了没反应，是喝药的预输入完全没有？还是别的什么原因？导致我喝药都是点按两次r，保证一定能喝到葫芦酒。轻棍前三击都能打出小硬直，但是在舞棍花的环节就没硬直了，经常在最后一击之前被怪从硬直里恢复然后一巴掌打断，并且gp重攻击也只能衔接在轻棍前三a上，导致一旦出现棍花就挨打，大多数情况下轻击就只能寸止到前三击，不然就是人为给自己上破绽
9，音效问题。喝药和使用消耗品丹药时没有提示音，但是使用场景通常就是很紧迫的时候，没有时间去看左下角是不是实际真的吃到了，这在高强度的战斗中很致命
10，幽默画地为牢。画地为牢不能阻挡敌人的突刺技能，仅这一句足以证明含金量。
11，协同第2点，小西天开始堆精英小怪。打BOSS RUSH已经很累了，期间过度的杂兵也慢慢都变成了又肉伤害又高的小精英，真想把人累死？
12，重量级的小骊龙场景设计。如果场景想设计的奇怪一点没问题，但是请把不能站人的石头直接移除，看着是个小坡，结果不能占上去，你站高处躲雷电波的设计全被你这空气墙斜坡毁了</t>
  </si>
  <si>
    <t>画面美术场景；音乐音效配音；动作打击手感；Boss战斗节奏；难度挑战；锁定视角；地图路线；空气墙可达性；探索隐藏支线；引导迷路单线；优化帧率；推荐价值判断；中国文化宗教语言审美</t>
  </si>
  <si>
    <t>CN-P-204</t>
  </si>
  <si>
    <t>2024-12-16</t>
  </si>
  <si>
    <t>奔四的老东西了，首发的时候PS入的豪华版，白金六周目，玩的停不下来。因为前几天被TGA恶心到了。决定退坑PS，故在steam上重新购买了豪华版打算全成就，以表达我对游科和黑神话的支持。</t>
  </si>
  <si>
    <t>CN-P-205</t>
  </si>
  <si>
    <t>2024-12-20</t>
  </si>
  <si>
    <t>2024年12月20日晚间，该游戏登上CCTV-1新闻联播，国家总理李强亲自前往杭州，冯崎英高在场向总理汇报相关内容及后续规划。历史早已证明，谁顺应历史发展，谁得广大百姓拥护，谁就能名垂青史，功传千秋。袈裟千百件，唯有人民的呼声才能使其在历史长河中，留下浓墨重彩的一笔，这是第一笔，也绝不会是最后一笔。</t>
  </si>
  <si>
    <t>CN-P-206</t>
  </si>
  <si>
    <t>2024-12-31</t>
  </si>
  <si>
    <t>看完TGA后买的，本人是个手残玩家，动作游戏玩的比较少，打完一周目用了40小时，支线都打了，内容还算是管饱的。畅快的打击是我非常喜欢的部分，法术，精魄，变身，装备丰富多样，比想象中的还要优秀一些。在还没有玩这个款游戏时看到网上很多评论说难度太大了而退游和开风灵月影，作为手残党我想说几句，绝对没有你想象中的难，说实话除了二郎神和大圣残躯是靠金身套+芭蕉扇轮椅流过的，前面的boss都是普通搭配硬打的，其中与boss见招拆招的紧张刺激感与击败boss后的成就感是风灵月影无法带给你的，希望看到这条评论的手残党能够静下来打磨技巧与钻研搭配，千万不要心浮气躁的死亡几次后就心灰意冷，如果就此退缩或风灵月影，也许你会错过些什么。</t>
  </si>
  <si>
    <t>动作打击手感；Boss战斗节奏；难度挑战；探索隐藏支线；整体完成度；推荐价值判断；西游悟空符号</t>
  </si>
  <si>
    <t>CN-P-207</t>
  </si>
  <si>
    <t>2025-01-01</t>
  </si>
  <si>
    <t>新年新气象！首先恭喜获得2024steam年度最佳游戏！其次最近的大更新神中神，没有地图的我之前过的什么苦日子QAQ。</t>
  </si>
  <si>
    <t>CN-P-208</t>
  </si>
  <si>
    <t>作为第一部国产3A作品，黑神话的表现符合预期，游科交出了一份合格的答卷。
但抛开情怀，献上了预购+通关的诚意，本作还有很多需要打磨的地方，故不推荐。
44小时打杨戬结局通关
美术，音乐
1：场景美术美轮美奂，古建筑，浮雕，壁画，雕塑，配上精心安排的打光，随便截图都是壁纸，小西天非常的震撼，有几处真的感慨制作组的审美很厉害。
1.1：章节结束动画绝对是亮点。风格迥异，画面，剧情，配乐都在线。之后对着画卷，听那老者把故事娓娓道来，啊，给满分一点不夸张。
1.2：影神图很精美。大到boss，小到泡酒物，鲜有模型复用，能看出来制作组花了很多心血。但人物建模说实在的不怎么好看，没错我不是针对谁，我是说男女角色都不好看。还有萍萍那个发嗲的配音就离谱。大师兄二师兄倒没啥问题。
1.3：第二回的陕北说书，是神来一笔。
动作系统
2：动作系统看似有三个架势，但其实只影响重攻击。偏偏两柄长枪都是有单独动作模组的。做了，但是藏起来，不解。
2.1：游戏内技能资源分配的不合理，精魂看似花里胡哨一大堆，但只能带一个。化身技能，也只能带一个。前者冷却极长，鲜有战斗可以放两次。
战斗
3：boss战的演出效果固然重要，但掉帧问题也很严重，大的粒子或者光效出来很容易掉十几帧。况且到后期炫酷的演出还很多，有几次还打闪退了。
3.1：视角跟随问题从头到尾都有，大型boss只能锁裆，或者锁头。boss上天遁地，但是镜头跟不上，白白挨打。镜头拉的也太近，高机动的boss来回飞，晃得人晕。
3.2：hitbox和模型体积不匹配，贴着怪放蓄力重击都能空，特别是劈棍。
3.3： 三四回的粪怪只是老师罢了，后期怪标配快慢刀，高攻击欲望，长连段，大范围360度AOE，频繁后跳，飞天遁地丢视角，限制gp，毒火冰雷满地放，幽默hitbox。所以制作组其实是冲着小众游戏去的，按照现在的知名度，新人玩家那真得是经历好些个磨难才能通关。
地图设计
4：场景有时明暗对比过于强烈，闪瞎人眼。地图又大又空，一些个路口，洞口只是简单的配上了空气墙，怕不是为了布景而忽视了视觉引导。雪地，盘丝洞是真的重灾区。小雷音寺那么大片区域，其实没多少内容。
4.1：假如二三四回才是本意，那后两回的地图有赶工的嫌疑，花果山可以说是空空如也，变成了纯粹的boss rush。
4.2：地图上那些魂味儿真的有必要吗？除了前中期的堆远程怪，角落阴人，石头人钻出来阴人，鸟人砸下来阴人，后面泥头车也加入了冯骥英高的乐园。
本人才疏学浅，剧情不予评价
综上所述，皮囊已经完美了，但是玩起来并不爽快，这也无可厚非，希望游科能摸索出一套自己的方法。望DLC或者下一作能更好吧。
-----------------------------------------------------------------------------------------------------------------------
以下是游玩中评论
-----------------------------------------------------------------------------------------------------------------------
34小时，目前进度第四章结束，四十八难
------------------------------------------
玩下来感觉最期待的就是每个章节结束时的动画，以及对着画卷听着旁白慢慢回顾前一回的剧情。
美术和音乐无可挑剔，再多的溢美之词都不及亲身体验一番。
------------------------------------------
战斗部分游玩体验像是坐过山车，前期敌人强度不大，但是能用的手段也少，慢慢熟悉了游戏的套路以后体验慢慢上升。到了三四回，手段多起来了，但是快慢刀，数值怪，起手离谱的投技越来越多，还有免疫技能的机制。结果玩法反而没有随着游戏的进程而变得更丰富。分身术，打工人广智，大头儿子这些个技能无非就是削弱boss血条，余下的部分还是得乖乖闪避，然后轻击蹭，重击输出。
点名表扬：寅虎（读指令快慢刀，免疫定身，复读落叶闪现，逆天投技），青背龙小黄龙（活全家的数值，长联段，高伤害，还血牛，逆天投技），毒敌大王（寅虎plus pro max ultra）。
除此之外：
1，锁定视角跟不上怪物，怪物翻到屏幕外面，屏幕里面看风景。
2，模型体积判定很离谱，贴着怪劈棍重击，结果被怪的模型顶开（不是攻击掉血）然后空了，幽默。
3，大体形怪只能锁腰，跳起来配合第一条要被晃吐了。
4，掉帧攻击，我这一刀，一拳，一法术下去，掉15fps，看你能不能躲掉，点名表扬所有放电，放旋风的怪，特别嘉宾：疯虎。
老实说，除了个别粪怪以及第一章黑风大王，黑熊怪交了点学费以外，大部分怪都是一两次就过了。这游戏基本规律就是感觉终于是玩爽了，然后就给安排一个粪怪消消锐气。我看着才发售三天，毒敌大王成就都有8.5%的人“打”过了，也许玩家基准线出奇的高呢。
------------------------------------------
地图设计常见的问题就不提了
1，宫崎小高的yin毛过于常见了，你以为塞几个独木桥和弓箭手就是魂味了？不，杨总小时候开了隐身去打弓箭手，以为十拿九稳，结果螳螂捕蝉黄雀在后，上面还有个飞天怪趁你打弓箭手时给你推下去。太对味了。
2，堆怪，堆远程怪。
3，我家地图还蛮大的，你们要不要来探索。雪山和盘丝洞都缺乏记忆点，一眼望去不尽相同，地图又大又空。
------------------------------------------
优化问题
1，切换地图的时候光照会很明显的变颜色，或者卡一下，太出戏了。
2，每次进设置都会卡住几十秒，然后才跳出来。
3，更新了显卡驱动，终于不会顿卡的时候直接闪退（至少五六次了），卡一下比残血打boss还刺激。
------------------------------------------
说了这么多，其实只是冰山一角，这要是个互动电影，我得给满分。但这是个游戏。是个出圈的游戏。</t>
  </si>
  <si>
    <t>画面美术场景；音乐音效配音；演出角色怪物设计；动作打击手感；Boss战斗节奏；难度挑战；锁定视角；判定反馈；地图路线；空气墙可达性；探索隐藏支线；引导迷路单线；优化帧率；崩溃闪退；Bug兼容硬件；整体完成度；推荐价值判断；西游悟空符号；童年记忆情怀；本国媒介路径；国产3A身份期待</t>
  </si>
  <si>
    <t>CN-N-209</t>
  </si>
  <si>
    <t>不是很热爱难度偏高的游戏，但这款游戏第一次突破了我的自我限制</t>
  </si>
  <si>
    <t>CN-P-210</t>
  </si>
  <si>
    <t>2025-01-03</t>
  </si>
  <si>
    <t>老规矩开篇叠甲。预售购入豪华版，自20号至今玩了50小时，作为中国首款质量过硬的诚意之作，各种美誉已不需再说，我个人对游戏持绝对推荐态度。只要你不是毫无单机经验的小白，我都建议至少购入标准版体验游戏。差评百分之八十原因为了让制作方看到游戏诸多问题，剩下的二十是因为严重低于个人预期，是绝对主观的个人原因。如果您看到这里就已经红温，触发暴跳如雷。那我觉得您大可不必再往下看，一个好的作品，特别是这种体量的作品，有争议是必然。我作为从第一支预告片关注到预售，然后第一时间购入豪华版并用心体验了50小时如果还不能自由的发表一些自己的看法，那我只能说咱们的游戏环境实在是太糟糕了。 如果您愿意从别人的视角了解游戏，感谢您的观看，本篇目前测评不是完整版，想到哪说到哪。我目前只推到了第四章的一半，后续可能还有补充
作为老国单玩家一路从三剑，古剑，荡神志，刀剑封魔录这些过来有个毛病：喜欢舔图。一是
那时候不怎么会找攻略，游戏资源总是很匮乏，经常短缺，前中期一颗止血草我都不想放过。
二是那时制作经费和能力受限，游戏内容体量太小，支线和隐藏内容非常珍贵和惊喜。甚至是
NPC一句话我都不想错过。这就有了第一个我非常难受甚至无法接受的点：这游戏想完整舔图
极其困难。我前四章50小时起码有一半的时间在摸图记路。BOSS也就寅虎打了仨小时（半小
时初过，两个半小时练闪避识破）其他的基本没卡，也没迷路。就是记路特别麻烦，而且这个
麻烦是人为故意造成的。你没有地图我可以理解，箱庭探索需要沉浸感，弱引导甚至无引导都
行，但你不能误导。这种感觉1-3章逐步递增。其实黑风山打完我是很惊喜的，游戏画面不必再
夸，毫无疑问世界级。战斗视角问题也还没有暴露出来，第一章很轻松的就走遍了地图每一个
角落，而且确定一棵草都没落下。到了黄风岭就开始难受了，明明知道是线性游戏不是开放世
界，但地图设计给我的感觉就是目之所及哪都能到。空气墙后边有山洞有拐角，甚至有一条路
一扇门。玩着玩着我总有种感觉是不是这附近有隐藏的交互我没看到？加上过亮的地图风格
（其实是加分项，挺完美的展示了八百里黄风岭风貌）和粪怪偷袭，舔图记路的时候开始有些
烦躁。而且第二章开始暴露出了几乎所有人都会提到的视角问题，我印象很深的是一个门前有
三个老鼠刺客，忘了叫什么了。进去之后三个活畜生就开始排队突刺，两边地形也不是很宽阔
我只能退出来伺机而动。退出来之后旁边有个大裂缝，你只要翻滚下去那算完了，视角马上卡
死在那个裂缝高低差边缘，这时候你看这仨BYD扎不扎你就完了。给我扎的取消锁定都跳不上
来。这里跟打寅虎差不多，卡了我差不多有半小时。正常推到这技术也不成熟，又一直卡视
角。就突然特别烦，之前为了想跑支线记的路也忘了，总之就是特别破坏游戏体验。这种糟糕
的感觉延续到了小西天，第三章地图设计纯灾难级表现。特别是滑雪下来之后，茂密的植被，
迷眼的雪景，扯淡的上下多层设计几乎没法记路。从低处到高处既能跟着走台阶上去，也能莫
名其妙打着打着走雪坡上去。到处都是雪和树，感觉这地儿来过，又感觉没来过。感觉是跟前
两章一样，能到的地方都到了，但至今我也不知道第三章东西拿没拿完。战斗体验第三章也是
到了最差，大模型怪越来越多，视角锁定丢失的更快，锁定的位置更狗屎。亢金龙飞起来劈
你，甚至看不到地上的预警。而且粪怪也增加了，被群殴的次数也增加了。怪一扎堆锁定视角
就乱转，也没啥顶用的AOE技能，然后被打死。黑风山我在非战斗状态经常停下来转动视角欣
赏风景，黄风岭就打完BOSS会停下来看看，到了小西天，一直被错乱的空间感围绕+被各种粪
怪偷袭以至于我根本无暇顾及游戏美学，只有无尽的烦躁和对跑图的厌烦。这种极差的游戏体
验等到小雷音寺的时候到达了顶峰！在经历了极乐谷精神错乱般的地图设计之后，迎来的是一
个极其庞大的区域小雷音寺。好消息是这里没有树啊雪啊那么多干扰项，路很好找。坏消息是
除了路好找之外偌大的地形几乎什么也没有，连土地庙也几乎没有。极乐谷一个小地方塞四个
庙，这么大个寺就给俩。一个在门口，一个在BOSS房。要是不小心死了就得以不快的移速再
跑好久。终于被海上僧打死两次之后我心态终于崩了。直接关闭了游戏两天没玩。
第二个就是老生常谈的游戏视角问题，这个纯战犯级设计。只要是打大型怪，没有不难受的。
一锁就水平固定，也不拉远，位置也特别奇怪。打吧，不好打到。闪吧，不好闪开。搞得我以
前从不练弹反的人开始找虎铁匠练了俩多钟头。而且我个人十分讨厌粪怪的设计。在缺乏远程
攻击手段和范围伤害手段的情况下，竟然多次出现两只小怪，三只小怪，精英加小怪，精英加
精英怪，BOSS加小怪，小怪加粪怪，精英加粪怪这种让人无语的组合。你也没给啥处理手段
啊？而且你不知道你战斗视角有多灾难吗？你整这干啥呀？打小雷音寺那个四腿金刚的时候，
死了好几次都是被雷劈死的，我观察了好久连它起手放电动作都没看出来，我还以为出BUG
了，又雷又火的。硬顶着雷给他打死了。结果都打死了我发现还一直被电，跑了一圈才发现八
百里开外有俩杨永信在楼上输出我。你干脆让第二章黄风岭的楼顶的老鼠跑第三章射我吧行
不？打个虎伥能给我劈到桥下，这时候空气墙呢？明明能打的有来有回的战斗，最起码有百十
次是因为视角问题打不到躲不开。战斗一到大模型建筑就拉近卡住，一到狭窄空间就天旋地
转，一到大模型BOSS就抬头仰视。游戏难度完全被游戏机制强行抬高。
第三个是引导性的问题。黑猴的隐藏内容占比很大，但支线的引导可以说几乎为零。对于补全
游戏世界观那么重要，甚至影响最终结局的重要支线剧情，你可能漏听一段话就全完了，更多
的时候听了也没啥用。玩游戏我喜欢一周目开荒，尽可能找出全部隐藏，二周目再看一下攻略
查缺补漏（别问为什么说话前后矛盾，热度太大了从没主动搜过但被漏麻了）。但我目前为止
遇到的唯一有一丁点指引性的是只有白衣秀士问三口钟你可都见过了？像第二章飞龙鳞片，老
爷子就一句在黄风岭中，不是视频刷到位置我十周目估计都打不了四龙。这么重要的道具，你
告诉我在黄风岭，你干脆说在黑神话悟空这游戏中得了。更别说疯虎那种恶心人的触发条件
了。还有瓜田，正常推到这时候都是带更好用的定身法，这狗日的都冻成那个B样了也不舍得
说句：好汉可有火源能让我取暖？反正给我的感觉就是恶心，没有任何过度，藏的毫无意义。
不查几乎永远都找不到，查了就全漏了没有任何惊喜。不说让你UI里带，哪怕你关于飞龙鳞片
这种重要道具的线索带一句：黄风岭壁画之中大有玄机。我一面墙一面墙的找我也认了。线性
流程藏成这样，我认为已经破坏了正常的游戏体验。只有隐晦才能讲出好故事吗？举例古剑
三，支线大多都给的是直引导，但一点不妨碍游戏剧情的宏大叙事和丰富角色的人设补充。退
一万步讲，你风险和收益这么大的分支项，哪怕给些存档位呢？结果错过了只能二周目，再忍
受一遍各种逆天的战斗视角和地图设计。
说的真不少了，全都是槽点，有些客观大多主观，绝大多数都是从自身出发切身感受到的。说
的不对的地方欢迎各位批评指正。
还是那句话：整体上我真的喜欢并且十分推荐这款游戏，不是怕被暴，而是发自内心的为国单
迈出的这一大步感到高兴。我们也能有这种体量这种质量的好作品向外输出中式文化了。当过
刺客，当过猎魔人，当过牛仔，终于童年的梦也实现了当了一次齐天小圣，哈哈。图形技术，
游戏音乐，艺术性，创新玩法这些优点我就不过多赘述了，破圈的热度，牛逼的销量还有这如
潮的好评已经证明了太多的东西。影神图里连每个小怪我都细细看过，故事都很精彩，对于我
丰富游戏世界观有极大的帮助。这个是我个人最喜欢的一点。后续我也会继续通关然后开启二
周目，但时候如果有新的体会再和大家交流。
抱拳。
评论区低能儿是真多，有的甚至第一段加粗都没看完就开始喷粪，佛了。。。我大概看了一下，无脑喷粪的基本上都是属于那种短视频给脑子刷坏了的，扭大屁股能一看看半晌，长文看不了一点，看见差评俩字就直接应激了。
只回应一个问题：为什么魂类有同样的问题我不骂：因为我不玩魂类，也没买过。我登录界面都不知道啥样我评价人家干基霸啥？我只对自己购买并且体验过的内容给出评价。
君子和而不同，小人同而不和。莫说我对游戏总体质量持肯定且推荐态度了，我就算是完全的差评，喷它个狗血淋头，那也是我花了时间花了钱之后应有的权利。就像去一个饭店吃饭，我夸他菜又实惠又好吃的同时并不妨碍我说他厕所对着大厅就餐环境太糟糕。</t>
  </si>
  <si>
    <t>画面美术场景；音乐音效配音；动作打击手感；Boss战斗节奏；难度挑战；锁定视角；地图路线；空气墙可达性；探索隐藏支线；引导迷路单线；Bug兼容硬件；整体完成度；推荐价值判断；西游悟空符号；童年记忆情怀；外部资料依赖</t>
  </si>
  <si>
    <t>CN-P-211</t>
  </si>
  <si>
    <t>承受他的意志有多难熬😡我比你更懂😭
开！😡😡
小猴子，你果然有几分他的影子😊既然如此我也不必留手😠得罪了👏
今日替他👈教教后人🤲
躲不过这刀，还不如再来过😕
不知为何，一见到你😩我就想起很多事情😭😭😭
你这猴子真令我欢喜☺️
天上那些庸才😡不如我者多👉胜似我者少👈从前他在时🤧就只有他😋值得一战
再走生死路😡让我好生羡慕
我的三尖两刃刀有些钝了☝🤓正好帮我磨一磨😡
你想接他衣钵，这条路……太苦了😫
当年他被押去斩妖台，刀砍斧剁，枪刺剑刺，毫发无伤，如今他用自己换回了你来……😭
让我试试👆你和他到底有何不同！🙌
你，终究不是他😞☝
此番想见，是喜呀😏
你不在的每一天，我都在想你😘
撑不过去，那也不配为齐天大圣🙏
法相天地！果真🐵是个好猴子！☝
既然帮你，便帮到底罢👐
大刀，杀到！👿🔪
若敌不住，就教杀了💀
太钝了，与你斗……还是这般费力损刀😩😩
石头，就得……硬！😓👊😡
烧死了，一毛不值，挺得住，才配做……齐天大圣！👏😡
现在有十分像你了！😄👍
是他赢了……我遣众兄弟一路试你，就是为了这一刻😭
那一战后，我今日才明白……😢
一世名，锁不住他🏅😫🏅
一道箍，捆不住他😖👋💫
但愿你，不会辜负他😑</t>
  </si>
  <si>
    <t>难度挑战；引导迷路单线；推荐价值判断；西游悟空符号</t>
  </si>
  <si>
    <t>CN-P-212</t>
  </si>
  <si>
    <t>2025-01-07</t>
  </si>
  <si>
    <t>庚子年，余肄业高中。时疫疠横行，停课居家，假期屡延。一日偶观黑神话首支实机预告，十三分钟之影像，如石投湖心，荡起千层浪，久不能平。彼时余于游戏一道懵懂无知，常玩者，唯我的世界联机与原耳，然此预告竟在心中生根。​后每有新讯，必往观之，念念不释。及高三暑假，见巫师三打折，遂购入。玩至五十余小时，终未通关 —— 盖为昆特牌所迷，又耽于探索地图之趣也。其间查攻略，屡遭剧透，虽憾，亦叹其世界观之宏、剧情之妙、地图之精，实乃大作。​既而，于隔壁平台购 2077 及 DLC，DLC 剧情毕，本体主线至华子处，便停滞不前。余不知如何抉择结局，亦不愿抉择。"夜之城没有活着的传奇"，此言不虚。现实中余本微末，游戏里亦茫然。自 1.7 版至 2.0 版，亲历数次更新，虽觉距预告仍有差距，然其进步亦可观。​后蒙友荐，入怪猎世界，并购冰原 DLC。始用铳枪，继换盾斧，终执长枪，累计二百三十小时。复玩崛起，仅二十四小时便止，盖不喜百龙夜行之玩法也。​再后，闯黑魂三，三十五小时方过艾尔德里奇，今仍在寻洋葱骑士，欲挑战尤姆。老头环趁打折购入本体与 DLC，至今未启。​述此种种，皆为引出余对国产单机之深情。及黑神话可预购，余即刻下单。忆去年八月二十日，心潮澎湃。时假期将尽，余趁最后几日居家，急下载之，却未敢启封，如待稀世之珍。网间相关视频，亦避之唯恐不及，恐遭剧透。​入大二，开学至校，与同窗亦不敢多言，惧泄剧情。总计四十余小时，杨戬已过。及击败大圣残躯，心绪激荡，久久难平。此乃余唯一预购且通关之游，虽成就未全，亦无憾。​余本讷于言，玩毕未评。今见它国单上架，忽忆此事，遂补此评。洋洋洒洒，只为圆五年之愿。​"今日欢呼孙大圣，只缘妖雾又重来。"《黑神话》者，国单之光也。余信此后国单必蒸蒸日上，再创辉煌！​又念余涉游事未深，所见所感，不过一己之浅见。笔力疏浅，言辞简陋，唯抒胸臆耳。若有偏颇，还望诸位海涵。</t>
  </si>
  <si>
    <t>难度挑战；地图路线；探索隐藏支线；西游悟空符号；外部资料依赖；国产3A身份期待</t>
  </si>
  <si>
    <t>CN-P-213</t>
  </si>
  <si>
    <t>一口一个不在意这件袈裟，结果没有得到自己最想要的还要到处破防，制作人还要专门发千字小作文助长情绪。嘴上说的光明正大，全是爱国主义文化自信，实际干的反倒是把自卑和自怜自艾一字不差地写在脸上。一边说着白皮低等文明不要评价黑猴，一边看着国外主播夸黑猴的熟肉切片傻乐。到头来在乎的也只是谁能给自己提供‘赢”了的情绪价值。生怕得到哪怕是一点批评和哪怕是一点不认可。你们在乎的也不是中国自己的好游戏，而是一时间的脸上有光而已。把死要面子放在第一位到处出警到处造谣到处拉踩，塑造自己是多么的道义盎然，还要被你们行为伤害到的玩家社区与你们一起歌颂所谓的丰功伟绩。游戏素质本身不谈，还要强行将游戏与前人绑定。结构前人思想，自我感动，也只是为了一时的狂热而已。你们不是真正的爱这款游戏，干那么多谋杀了普世价值的事情终究也只是为了自己的一段意淫。</t>
  </si>
  <si>
    <t>CN-P-214</t>
  </si>
  <si>
    <t xml:space="preserve"> 11.4 小时</t>
  </si>
  <si>
    <t>这猴好玩瑕不掩瑜的3A大作，确实存在各种各样的问题，空气墙多且粗糙、打击感偏轻（这个看个人，我是觉着棒子应该再重点）、篝火设计有点不合理等等但这些小缺点完全掩盖不了本作给我的惊喜：美术、动作和诚意，太美了太爽了，这是我游玩第一关时全部的感受。优秀多样的技能、机制设计；精细至极、风格各异的大小场景以及让人一眼难忘的美术设计都让人流连忘返，不知不觉一下午就过去了。而从第二关开始，体量那真的是成倍的加，现在暂时打到小雷音寺，那真是完全探索不完的感觉，一关打了六七个boss还觉得是不是有的地方没去到。原来观音禅院真的只是教学关，可探索道路多、boss多且风格迥异，爽，爆爽，真的爽dnmd都这样了我还能说啥？吹！使劲的吹！开香槟！使劲的开！</t>
  </si>
  <si>
    <t>画面美术场景；动作打击手感；Boss战斗节奏；地图路线；空气墙可达性；探索隐藏支线；整体完成度；推荐价值判断；中国文化宗教语言审美；国产3A身份期待</t>
  </si>
  <si>
    <t>CN-P-215</t>
  </si>
  <si>
    <t>2025-01-11</t>
  </si>
  <si>
    <t>毫无疑问，黑神话悟空是目前国产游戏的巅峰。整个游戏除了地图设计稍有不足之外基本没有缺点，游戏的美术设计以及音乐毫无疑问是目前世界顶尖水平，boss设计水平也非常之高，整个游戏boss数量众多，设计得各有特点，而且完全没有复制粘贴的boss，大圣残躯的演出效果堪称一绝，是我目前玩过的游戏中演出效果最优秀的。游戏唯一的遗憾就是地图设计水平稍显不足，尤其是第六章花果山的地图设计，明显能看出赶工的痕迹，地图设计水平跟不上美术设计水平，导致没有将游戏中设计出的优秀场景充分利用起来，难免有些遗憾。</t>
  </si>
  <si>
    <t>画面美术场景；音乐音效配音；演出角色怪物设计；Boss战斗节奏；地图路线；整体完成度；西游悟空符号；国产3A身份期待</t>
  </si>
  <si>
    <t>CN-P-216</t>
  </si>
  <si>
    <t>2025-01-17</t>
  </si>
  <si>
    <t>单机游戏 早期被定义为洪水猛兽，一篇电子游戏禁令所有人都对游戏当鸦片看待，内单机游戏  居然到了2016年 玩家才普及正版游戏，那时候，国外的盗版游戏，那时候，国外的盗版游戏，因为罪恶都市我上小学就知道迈阿密这个国家，因为GTA5我上初中知道洛杉矶的道路规划，因为战神我查阅了大量资料了解希腊神话，甚至一战，二战，也是从游戏里了解的，俄罗斯或者前苏联永远是反派，美国人永远可以一个人，单挑一群人。近几年不止黑神话，还会有其他单机游戏陆陆续续会出来，很多年前就已经开始做了，黑神话能出圈是必然不是偶然，没想到的是，游戏是好评如潮的，社会舆论却是各种负面的，到底是谁想杀死我们的游戏。</t>
  </si>
  <si>
    <t>地图路线；外部资料依赖；角色期待意义偏移</t>
  </si>
  <si>
    <t>CN-P-217</t>
  </si>
  <si>
    <t>2025-01-20</t>
  </si>
  <si>
    <t>第一感觉是震撼，从来不玩单机游戏的我被开场给震撼到了，后来在网上看到黑猴有多优秀，开始以为水军居多，结果真正看了几个BOSS的挑战，才知道这个游戏不一般，而后又接触了其中的一些剧情，更是被深深吸引，那个时候没有独显电脑，用的是华为MEATBOOK  D15这个核显笔记本下载下来的，而且还是借用的朋友的共享，一个R5  3500U的核显CPU，一个飞智冰原狼2的手柄，陪着我闯过了八十一难，身边的好多人都嘲笑我，画面都卡成PPT了，你还玩？可是谁童年的心中没有一个大圣梦呢？随着章节的一步步解锁，随着神珍大圣套穿在身上，我的大圣梦也实现了，年底了，忙活了一年，借着国补，买了新电脑，今天也买了数字豪华版，给我的大圣梦画上一个圆满的句号。不管你是4090，还是像我一样的核显CPU，我们的童心依旧未泯，只是在生活的伪装下犹如一粒灰尘藏在心底。夜深人静的时候，这粒灰尘如天上的星星，承载着我们童年的美好回忆。</t>
  </si>
  <si>
    <t>画面美术场景；Boss战斗节奏；难度挑战；Bug兼容硬件；推荐价值判断；西游悟空符号；童年记忆情怀</t>
  </si>
  <si>
    <t>CN-N-218</t>
  </si>
  <si>
    <t>游戏整体有所欠缺，有些坑没填，但这不是主要的，游戏群体都是极端，一点问题都不能说，必须是毫无瑕疵至高至上供起来的祖宗，说了你就是罕见，说了就要逮着你骂，跟斜角一样</t>
  </si>
  <si>
    <t>CN-P-219</t>
  </si>
  <si>
    <t>2025-01-24</t>
  </si>
  <si>
    <t>什么叫八十一难啊？从20年第一部宣传片开始期待的游戏，等了它4年。靠复读劈棍高歌猛进，直到被黄皮耗子拦下，做了两周的牢，道心破碎。因为工作太忙，作为“开服玩家”四个月后才有时间继续玩，忍着躲开了所有讨论，就怕被剧透。好在攻略都出了，也改变了打法思路，意外顺利地秒掉了耗子，并且越打越顺。为了凑全成就，一周目反复搜刮，地皮都秃了，才发现必须打二周目。二周目唯一的乐趣就是用数值和各种后期装备逃课，全程不超过12个小时。弹出全成就的这一刻，我终于走完了我的八十一难。虽然键鼠体验不太爽，剧情强差人意，第五、六章还有明显赶工的痕迹。但置身于古色古香的场景，穿着帅气的披挂，听见NPC吟诗作对，识破出招，用我的棍子敲烂BOSS的时候，这一切都是值得的。最后，希望黑猴越做越好！！！\^o^/</t>
  </si>
  <si>
    <t>画面美术场景；动作打击手感；Boss战斗节奏；推荐价值判断；外部资料依赖</t>
  </si>
  <si>
    <t>CN-P-220</t>
  </si>
  <si>
    <t>2025-01-25</t>
  </si>
  <si>
    <t>我玩游戏很慢。慢到用足足五个月整才打完全成就，两番轮回耗费一百六十五小时。慢到遭逢路边小怪也想看清它会使出什么招式，再心满意足地一棒子打死。慢到赶路途中总被路旁的风景吸引，然后花好长时间调整各种姿势只为一张成片。慢到打头目或者妖王时总掐着定身术和四豆棍不放，期待它下一步用出帅气的姿势接着定住拍照。慢到我明知道那不是主路，却总是被各种支线吸引，追随着配角的故事渐行渐远。慢到经常暂停主线，打开行囊，仔细端详我获得的每一件物品，阅览我（袁守诚）誊录的每一篇故事。《黑神话·悟空》就是这样的游戏——它满足了我对一款『游戏』久违的期待、惊喜与感动。</t>
  </si>
  <si>
    <t>画面美术场景；动作打击手感；Boss战斗节奏；探索隐藏支线；推荐价值判断；西游悟空符号；原典知识人物关系专名；角色期待意义偏移</t>
  </si>
  <si>
    <t>CN-P-221</t>
  </si>
  <si>
    <t>不是特别推荐（7分）前三章没话说，美术音乐剧情都做的无可挑剔，大量的新内容让人停不下来，而且场景，支线和boss的设计我个人感觉很独特后三章纯一坨，赶工痕迹明显，剧情就不谈了草草收场，那场景感觉就是从素材库里复制粘贴过来的，最重要的是视角，判定和空气墙问题十分明显（比如能在百眼魔君boss面前放个空气墙真是没谁了）玩完黑神话我就知道国内不仅跟风狗多，而且大伙儿对中国游戏公司的包容度是不是太大了。游科从一开始发售到现在近半年时间，受人诟病的锁定视角定位混乱//大型boss脚下设置空气墙//各种无敌帧出手等最基本的问题不解决，反而疯狂出周边捞钱真的让人挺无语。最后说一句给不推荐我不是见不得国产游戏好，而是希望国内游戏公司能认识到自己的不足加以改进，从而越走越远</t>
  </si>
  <si>
    <t>画面美术场景；音乐音效配音；Boss战斗节奏；锁定视角；判定反馈；空气墙可达性；探索隐藏支线；优化帧率；推荐价值判断；国产3A身份期待</t>
  </si>
  <si>
    <t>CN-P-222</t>
  </si>
  <si>
    <t>2025-01-28</t>
  </si>
  <si>
    <t>完整打完了两周目，连战后面几关不想打了。其实全成就也有好一段时间了，一直拖到最近才把截图都整理完，现在记录一下（可能很主观的）个人体验感受。黑猴既是首个国产3A大作，也是第一款我在steam预购的大作以及第一款我玩到的UE5大作。我目前玩过的大作并不多，尤其是近10年这类吃操作的第三人称越肩视角ARPG，我都是云的。因为填坑老游戏，加上自己对这类游戏也不是很感兴趣。可几年前，黑猴第首支宣传片横空出世，它真就像那只从石头里蹦出来的猴子，沸腾了国内低迷的单机圈子。之后每支新宣传片都带给我新的感动，我常开玩笑说就指着这游戏活了。直到2024真的来了，我内心既期待又忐忑，感觉国产单机能走到这一步真的很不真实，反而等到舆论平静后才开始玩。因为政治因素和文化差异，国内外的评测可能多少都会有点滤镜，所以自己体验是很有必要的。而真正上手后，我想说它虽不属于我最喜欢的那一梯队的游戏，但的确超过我的预期，是款绝对值得推荐的优秀游戏。首先游戏画面毋庸置疑，世界一流水平。尽管我的破PC只能勉强用着中画质，但我还是沉迷拍照模式收获了不少值得纪念的瞬间，它也是我目前截图最多的游戏（宁可送死也要拍照，谁懂！？）。UE5的表现着实令我惊讶，场景色调协调，光影层次自然，以假乱真的画质仿佛身临其境，满足！游科塑造了一个磅礴的玄幻世界，耳熟能详的神怪配上华丽特效与振奋人心的BGM，演出效果一绝。过场动画也是国风十足，黏土动画都有，很用心。而不同区域的敌人风格各异，连土地庙的设计也很应景（喜欢插上香后的动画）。天命人的装束各具特色，我最喜欢那套锦鳞服的青白配色，很多面具也好酷，有些装备升阶到神珍还会再变样。武器则以悟空惯用的棍棒为核心，设计了不同精致款式，特效也不错。游科对美术细节的打磨下了很多功夫，从大古建到小珍玩，琳琅满目的中式元素尽收眼底。最令我感动的还是这些美术资产背后传递的文化与艺术价值，走访古迹实地扫描建模的实景带动了一波热潮，实打实的文化输出。此外，各种道具的说明用词也很讲究（什么五成四、些微…），而图鉴——影神图，斐然成章，看过那些或喜或悲的小故事后，我总是会再瞧一眼绘图，念一念题头的打油诗，意犹未尽，还有些连载的短篇故事，很逗乐。在地图和关卡设计，确实能感受到游科有些力不从心。黑猴体量很足，实际惊喜远比PV展示的多。但它给我直观感觉是很多场景虽然很宏大，但也比较空洞。这种感受还不光是说BOSS之间放置的小怪比我想得少，或是偌大的地盘什么都没有，而且还是，我一直有种深深的孤独感。我个人挺不习惯主角是哑巴这点，我玩过的RPG基本是主角遇到死路或者背包满了都要念叨一下的那种hhh，而这里只能看BOSS自言自语。它也不像有些游戏那样，一直有随从或伙伴（二叔别去探路了好吗）。我更习惯路上有些小规模遭遇战，或者插些有趣的解谜推动剧情。对我而言，解谜可以缓和连续战斗的疲惫感。因此，我眼中的黑猴有种魂系列的“高冷”特质，不太习惯，所以没能特别喜爱吧。可毕竟是处女作，决策上考虑精简，像剧情也是突出一种“孤勇者”基调，倒也挺符合首个国产3A的形象。说回地图，本作没有很复杂的机关回路或立体层级，结构较单一。我猜游科没有第一时间做地图可能是觉得没必要，毕竟就那么扁平的几个形状。可对玩家而言，身处这些陌生荒野中心就很容易迷路，因为看不见空气墙会产生景深错觉，又缺少明显的地标或指引。确实，我在第二章就能充分感受到空气墙的存在，明明有路非被拦住，而有些看似没路的地方却有隐藏，因此习惯性贴边试探，地毯式扫图就难免处处碰壁，会有些小不爽，但其实也没太影响我的探索体验，有些合理的墙还是有用。而在缺少参照物的中心区域，再回头都不确定是否来过，迷路更难受。此外，有些岔路缺少差分指引，难以辨明主副线，由于无法SL，只能缩手缩脚地前行。顺便提下某场BOSS战做了三个可选战场，却毫无引导，我不明白用意，要让玩家自己注意就太碰运气了，结果就是白费了设计。好消息是，最近的大更新增添了地图（还画得很美），改善了上述很多问题。倒不是图上标示得多细，而是有迷雾就能知道还有路，一定程度上让玩家不易错失隐藏，也起到了指南针的作用。大概第四章开始，空气墙的问题淡化，只是后面的关卡逐渐有些缩水，四的体量就挺刚好。可能是工期缘故，终章比较取巧地给玩家个筋斗云去随意探索开放式地图，但因为缺指引而让人很难爽玩。我大多时候只能贴地飞行，寻找哪里有秘密（事实上就…还挺空的），而且地图也没大到可以飞很久，比较遗憾吧。如果要说哪关印象最深，我其实最喜欢浮屠界那段设计，第一次魔音贯耳时看到灯笼鬼好有感觉，瞬间紧张起来了。战斗挺过瘾，但也有些缺乏重玩的乐趣。本作一个亮点是法术技能很多，都是熟悉的悟空的戏法。【定身】【安身】【禁字】三大奇术，用得好能改变战局。【隐身】和【铜头】两大身法，应对不同BOSS有各自乐趣。【毫毛】能打群架能复活，多周目下猴子猴孙复制技能真帅。最特别是【变身】，没想到总共有10种之多！独立血条和机制，像个中场限时小游戏，BGM也很俏皮。收集的【精魄】还能再提供个瞬发技，可惜很多前摇太长，并不实用（大头yyds）。此外还有隐藏的几样【法宝】，数量不多但个个有妙用，互动性不错。可惜法术毕竟是辅助作用，而大概到中期，该有的技能都有了后，武器类型单一的问题就慢慢凸显，我逐渐开始对频繁与重复的战斗有些烦闷。三种棍式的轻攻击连段好像没区别，劈棍、立棍、戳棍和各自派生在成长初期还是很有意思的，打击感也很好，而到了打BOSS总感觉三板斧。劈棍前摇长，立棍偏AOE，后期感觉还是“劈棍识破（判定有点迷）+棍花攒豆（这个爽！）+闪身凤穿花（瞬发戳）”打BOSS最舒服。套装、葫芦与珍玩效果虽多，但对玩法没有太大影响，因此BD构筑没我预想的那么丰富。技能树末端并没有更帅的新招式机制，后期加点是便利性与数值提升，所以可以理解很多玩家缺少多周目重复游玩的动力。BOSS设计有好有坏。像虎先锋、毒敌大王就做得很棒，兼顾观赏性和挑战性。BOSS快慢刀还挺多的，而且有些连段数也太多了吧，要一直闪躲没完。有些BOSS会读指令限制某些技能，所以要变换一点打法思路也挺有意思，但也因此限制了多周目下的不同打法选择。有些巨型BOSS的锁定的部位很怪，或是频繁飞天和扭身，常有蓄力砸空的尴尬场面，有点烦。而到了第五章，我感觉难度有些失衡。这一章好几个BOSS的概念设计得相当有趣，但是技能完全构不成威胁，甚至几棒子敲死都来不及见到一些技能，而此前第四章的关底BOSS可是给我不小压力（忘了法宝…），挺可惜美术的，要是再多点时间，可能会呈现出更有趣的技能机制吧。其实最影响我战斗体验的，是预输入的问题。以前玩别的ACT游戏倒没这个概念，好像搓招都挺顺的，但是黑猴总让我觉得衔接有点卡壳，不清楚是不是输入时间判定有点严格，且后摇过长导致下一指令容易被吞，像有时候明明动作是识破到了，却判定不成功。最无语的是常感觉按了吃药却在发呆，有时又连吃两次，导致要习惯确认上个动作完全结束再按。不过高手们熟悉了这套闪避的逻辑，再配合不空的躲闪，操作起来也是能行云流水。总体游戏难度不算高，多死几次背板也过了，比较照顾那些喜爱西游记但很少接触游戏的受众群，倒是小心有些BOSS血少时会增加攻击欲望与变招。而高周目与不久前新增的【连战】玩法，就很适合想要挑战自己上限的玩家。最后提下剧情方面。如标题的“黑”，本作选择了一种黑暗的世界观作为改编续作，我个人不太喜欢这种故事主调，由于前面提到的“空洞”感，全程玩下来还挺压抑的，到最后才有一些高光，然后就完了。另外，天命人不说话，本作叙事又比较零碎和谜语人，细节就要靠图鉴的文字来拼凑，而全部读过去挖线索挺累人的，且仍要脑补。所以别说老外，可能很多国人都一头雾水，这里大致记录下。在这个弱肉强食的世界，金字塔顶端的神佛掌控着“长生”，剥削着下界生灵跪拜上贡。西行后的悟空正是看透了这虚伪与不公，主动辞去果位。可否定神佛势必要受制裁，或许悟空知道自己势单力薄，逃不了宿命，干脆用性命作为赌注，分离为六样根器。他的死，给妖怪们提了个醒——成佛救不了自己。于是神佛为了维护自身正确性，只能谎称悟空可以复活，顺应天命人计划，实际要让天命人困在循环或是再度洗脑成为斗战胜佛。而悟空正需要借此让后辈寻回六根，继承他的意志。恰恰是在一遭遭寻觅妖王的艰辛路途中，天命人见过生灵涂炭的众生相，才能看透神佛体制的黑暗，最后从那个看不懂悟空，一直等待答案的杨戬手中取回最后的真“意”，彻底脱胎换骨成为新的大圣，而不是沦为神佛的工具。正所谓“以肉身之死，换意念永续”，命只有一条，精神可以不断传承，而这求真之路上数不尽的天命人或许就是玩家你我，我们都是传火者，就像游科拿起了国产单机的接力棒，相信后继有人，总有一天，星火可以燎原。值得一提的是前不久官方（黄成希老师）给出第五章的解读是“中年人的伤痛”，我表示能理解，这样套到每一章确实都说得通，迷茫、欲望、爱情……只不过对于大部分受众是否显得有点沉重了…… 希望续作的叙事和立意能更鲜活明快一些吧。综上，虽有些遗憾，但黑神话的品质足以跻身世界舞台，它无疑是中国单机史上一个意义非凡的里程碑。不过也正因为天时地利人和，吃到了IP红利，本作才能如此破圈。希望游科真的开了个好头，让更多人能抓住机遇，带来更多精彩、有价值的作品，也让一些人明白，或许游戏并非他们口中令人玩物丧志的电子海洛因，而是真正能弘扬文化，传递精神，令我们骄傲的第九艺术。</t>
  </si>
  <si>
    <t>画面美术场景；音乐音效配音；演出角色怪物设计；动作打击手感；Boss战斗节奏；难度挑战；锁定视角；判定反馈；地图路线；空气墙可达性；探索隐藏支线；引导迷路单线；整体完成度；推荐价值判断；西游悟空符号；本国媒介路径；中国文化宗教语言审美；原典知识人物关系专名；角色期待意义偏移；国产3A身份期待</t>
  </si>
  <si>
    <t>CN-P-223</t>
  </si>
  <si>
    <t>太多业余的设计毁了原本优秀的卖相，在游玩中总有很多点让人很难受。关卡设计和引导在A1-A3阶段实在是一言难尽，缺乏视觉引导和初期不肯提供地图的奇怪决策让探索变得及其烦躁，再配合前两章某些看似能通过但是及其粗糙的空气墙限制让人更烦躁只想尽快打完。A4整体流畅的体验和之前相比完全不像是一个游戏，无论是地图纵向纵深还是整体视野能给人的位置判断都完全不是前三章能比的，而且也几乎没有空气墙误判的烦躁的点，可能是因为盘丝洞本身的路就比较窄而且边缘清晰所以显得空气墙很自然？但是最后关卡问题到A6又变得更为严重，似乎是纯赶工凑数出来，就是在一块纯平面的地图的各个位置放上一些BOSS点位，中途用零星的小怪填充，完全没有任何设计，实在是让人大跌眼镜......战斗体验在面对一些机动性没有那么鬼畜的BOSS时还比较正常，但是一遇到能在空中乱飞的各种BOSS后主角远程攻击手段匮乏的缺点就被无限放大，玩家本来就没有任何低成本的防御手段，而机动性还比一些鬼畜BOSS差太多，导致只能被BOSS遛狗。等BOSS全屏乱飞半天好不容易靠近之后打一两下还得提防BOSS无休止的出招，而视角还得随着这些速度飞快的BOSS一路疯狂摇晃，让人打着非常心烦，最典型的就是亢金龙。另外某些BOSS的设计着实是根本不考虑实际情况的粗糙设计，比如王灵官的开场突刺，我试了很多次想要通过他做出动作之后目押闪避基本很难，这个突刺的动作太快而且隐蔽(黄风大圣和白眼魔君的投技也同样又快又隐蔽，几乎没办法判断出导致及其难防)，只能根据动作读秒预判，而且不论距离远近它突刺过来的时间似乎没有差别，所以他的突刺速度不是固定的，单纯就是确定了他和玩家的距离后用固定时间刺到玩家位置，设计实在是不合常理过于粗糙(同样的问题还出现在这一章的算是大怪的河马身上而且更严重，河马用身体划一个弧线冲撞玩家的这一招也是无视距离速度，只要确定了自己位置和玩家位置，它就一定会在固定时间撞到玩家位置，为此我故意引诱它快要出招时后撤非常远的距离后就会有特别搞笑的一幕，它仍然用固定撞近身的极短时间撞到我面前，但是因为距离太远，导致它的脚的移动动作和实际移动距离及其不协调，它实际上是在地上飘过来撞人的，动作设计简直是偷工减料到了极点)。另外一个特别脑残的设计就是整体体验下来最粪的BOSS百眼魔君。他双腿前面一大片莫名其妙的碰撞体积却又没有hitbox都勉强忍了，但是不使用金针就只能顶着一格体力打这个设计真的是纯纯脑残。并不是每一个人都想照着攻略先去取得针对性道具然后按部就班推图打BOSS，这种感觉就和上班差不多完全没有自由探索发现新东西的惊喜了。所以如果没有取得金针就打BOSS的操作体验应该怎么设计估计开发者是没有怎么花心思的。通过削弱玩家行动能力的方式来增加BOSS难度这种脑残设计真不知道到底是哪个大聪明想出来的，纯纯就是坐牢，而且还因为明明能通过操作和BOSS的招式交互却因为耐力太低导致操作可能性被限制的太死，这对动作要素的游戏简直是背道而驰。我硬生生死了3个多小时顶着一格耐力一棒一棒敲死百眼魔君之后完全没啥爽快感只觉得失望。还有一些其他略微粪的怪例如晦月魔君、云步鹿、浪波波问题也十分明显就不一一举例了。总体来看，黑神话的完成度某些地方还不错但是又有太多地方感觉完全没有打磨或者设计思路很奇怪，让整个游戏的体验及其割裂。很多BOSS设计有板有眼很有趣味，探索却非常枯燥乏味。但是BOSS战又是穿插在这些探索中的导致那些精彩BOSS战短暂的爽快体验也被无趣而漫长的探索覆盖了，实在是整体体验下来最让人遗憾的地方。至于剧情个人感觉反倒是还好，网上总有人吐槽黑神话的剧情，但是整个体验下来感觉不痛不痒，或者说即便剧情不好也不影响它优秀的部分，毕竟还是战斗部分才是这游戏的核心。如果想体验顶级的剧情那有太多优秀的剧情游戏可选而不应该在这个游戏里面硬找，这是缘木求鱼。最后，只能说国内游戏制作水平确实离顶尖的那一撮还有不小的差距，可能也受限于成本、项目管理经验等等只能不得已而为之。能完成也实属不易，希望以后能一步一步变得更好吧。</t>
  </si>
  <si>
    <t>画面美术场景；动作打击手感；Boss战斗节奏；难度挑战；锁定视角；判定反馈；地图路线；空气墙可达性；探索隐藏支线；引导迷路单线；优化帧率；整体完成度；推荐价值判断；西游悟空符号；外部资料依赖</t>
  </si>
  <si>
    <t>CN-P-224</t>
  </si>
  <si>
    <t>2025-02-02</t>
  </si>
  <si>
    <t>玩了两百小时才来评论的，也是在steam发布的第一篇评论。个人觉得：· 人形boss设计的都挺不错,很多人形boss打起来都很有感觉（像虎先锋，寅虎，小黄龙等，，）。· 大型boss大多数都是纯粪怪，战斗体验很不好，视角锁定很靠下比如黑熊精，离近只能盯着他裤衩看，离远又有概率识破不到，类似还有紫蛛儿，鸡哥等等（尤其是大石敢当）。 ·美术设计对于一个没有经验的游戏公司来说很惊艳了，看到很多人吐槽大量场景堆积出现找不到路的情况，个人感觉还好（相比于只狼和发环已经很友好了），本人一周目无攻略过的，基本没有遇到迷路的情况，但很多支线会遗漏。· 识破系统上手难度相比于正常弹反来说 微微高，但是熟练掌握后玩起来很爽，但个人感觉识破时机和转识破时的操作反馈(像黑熊精，碧水兽这种带有偏红色特效的boss有时会出现boss特效和识破特效接近，不仔细看会弄混) 还是有优化空间。· 游戏后期有很明显赶工痕迹，结局有点烂尾，例如梅山过断崖那一段明显是会有剧情演出的，但后边被砍了，让人过这段感觉很突兀。打完杨戬再打悟空才能触发第二结局个人感觉也有点突兀。· 动作系统就不多说了，个人直接给满分，用慢动作录过，黑猴能在攻击动作花里胡哨的同时做到每个动作都有真是的切手动作，没有一点割裂感，很牛批。· 最后，我的评价和网上大多数观点一样，这可能不是一款绝对完美的3a（个人打90分） 但对于中国的单机市场毫无疑问的具有里程碑意义，这一棍可能没有敲醒很多活在氪金网游中的人，但为中国单机市场撑起了一片天。再最后，祝中国单机游戏越做越好，可不能像燕云十六的sb领导学习。</t>
  </si>
  <si>
    <t>画面美术场景；演出角色怪物设计；动作打击手感；Boss战斗节奏；难度挑战；锁定视角；判定反馈；探索隐藏支线；引导迷路单线；优化帧率；推荐价值判断；西游悟空符号；外部资料依赖</t>
  </si>
  <si>
    <t>CN-N-225</t>
  </si>
  <si>
    <t>2025-02-12</t>
  </si>
  <si>
    <t>好玩，就是地图设计个人感觉不是很完美，没什么场景提示</t>
  </si>
  <si>
    <t>画面美术场景；地图路线；推荐价值判断</t>
  </si>
  <si>
    <t>CN-P-226</t>
  </si>
  <si>
    <t xml:space="preserve"> 57.8 小时</t>
  </si>
  <si>
    <t>2025-07-01</t>
  </si>
  <si>
    <t>我国游戏工业化的里程碑作品，可惜的是完美符合我对国产游戏的所有刻板印象（美术音乐疯狂堆料，动作玩法应付过去，关卡设计几乎灾难）。虽然说是村里的第一个大学生，但这个大学生有民族资本注资、有跨国企业技术支持、有公权力的全面绿灯推进、有脍炙人口的神话故事原著打底，表面上游科只有100人，但在后台出力的真的可以说是全国人民。可问题是“举国之力终于培养了一个大学生，可大学本身又在哪里？”黑神话悟空当然优秀，这么多财力物力人力时间堆了这么久，有魂系只狼各类动作游戏前辈的市场证明，做得想不优秀都难，尤其还在游戏小年发售，真的是占尽天时人和地利。可是《黑神话悟空》在非游戏性的部分做到了行业顶端（保守一点说是在国内的顶端，但我私心觉得美术和演出在国际上都能说是无出其右了），在游戏性环节却充斥着不自洽甚至可以说是完全灾难的设计（所有的地图完全没有设计感，没有引导没有安排，虽然借鉴魂系，但赶路极其疲乏极其劝退，而最后一章花果山是我见过最差的关卡设计没有之一，甚至比很多国产独立游戏都差）。技术和野心我们都有，可一些属于设计基本功的东西却差成这样（因为这是目前国内的标杆游戏了，我只能相信这就是我国的顶尖人才的顶尖水平了）。因此，对我而言，我怕的真的不是游戏被人尬吹被爱国情怀营销什么的，我真正怕的是同《流浪地球》之于中国科幻一样，《黑神话悟空》是一条无法被借鉴的创作之路，是一个被故意托举的昙花一现、绝世孤品。</t>
  </si>
  <si>
    <t>画面美术场景；音乐音效配音；演出角色怪物设计；动作打击手感；地图路线；引导迷路单线；整体完成度；西游悟空符号；童年记忆情怀；中国文化宗教语言审美；角色期待意义偏移；国产3A身份期待</t>
  </si>
  <si>
    <t>CN-P-227</t>
  </si>
  <si>
    <t>2025-02-20</t>
  </si>
  <si>
    <t>其实我一开始对这游戏还是有点意见的，比如在刚上手没有查攻略的时候，不知道黑风山是个一本道，在最开始那里转了半天（当然我在游戏里方向感也是真的差，所以没地图对我影响还挺大的），然后就是四周的空气墙，一碰一个不吱声。至于战斗上，还是能感觉出和一些老牌动作厂商的差距，比如缺乏远程手段却塞一堆桥和射手，韧性不受防御影响挨一下踉跄一下，boss隐身直接丢锁更是烦人的很，大型boss横冲直撞，肘一下就拉开也是烦人得很（点名批评碧水金睛兽，跟个疯狗一样）。那为什么还要给好评呢？主要是因为被显圣二郎真君打了一顿（，不开玩笑地说，二郎神确实治好了我在火焰山岩浆下面打滚攒出来的一身怨气，试想在这样一个魂系的世界观里，打到游戏快结束，我满脑子都是蜈蚣精的那句“天地不仁，以万物为刍狗”。然而，那个开局一副小人嘴脸的二郎神，却独自一人坐在梅山的雪中，好像一位久别的故人。在打起来之后，灌江口杨二郎的招式更是令人欢喜，规规矩矩、一板一眼，却又在搏斗中变化无穷，其高额的数值不允许一周目的玩家莽过去，而对于法术的反制也激起了人的胜负心。在经过前前后后近五个小时的鏖战后，随着二郎神飞向天空露出他的法相天地，我就知道这个游戏我必须给好评。（当然这个b的法相天地真不是青狮废案么）虽然难以言说，但我认为能够设计出这种能让人沉下心来，反复挑战的boss，本身就是值得肯定乃至赞美的，我也建议使用法术战胜二郎神的朋友们，尝试用禁字法和识破与其来上一场紧 张 刺 激的战斗，领略一下动作游戏的独特魅力。</t>
  </si>
  <si>
    <t>动作打击手感；Boss战斗节奏；难度挑战；地图路线；空气墙可达性；引导迷路单线；推荐价值判断；西游悟空符号；外部资料依赖</t>
  </si>
  <si>
    <t>CN-P-228</t>
  </si>
  <si>
    <t>2025-02-22</t>
  </si>
  <si>
    <t>现在在线的猴子有222W，而天庭有10W天兵天将，平均每个天兵要打22.22只猴子！有个在意过天兵天将的感受吗？没有！你们只在乎你们自己！</t>
  </si>
  <si>
    <t>中国文化宗教语言审美</t>
  </si>
  <si>
    <t>CN-P-229</t>
  </si>
  <si>
    <t>2025-02-27</t>
  </si>
  <si>
    <t>思考再三，还是决定给了差评
结论写在前：优缺点都非常明显的游戏，若比较重游戏性和动作类玩家可以无脑入。
缺点：
1. 游戏没有提供难度选项。
当然不提供难度选项的游戏不在少数，但黑神话的问题在于太火了，而且西游+国风+国单的巨大流量注定了会有很多非核心玩家花钱购买，也许只是想扮演一下孙悟空，也许只是被精美的美工吸引。也许只是单纯的跟风，但无可否认的是，对这类因诸多原因选择购买的非目标人群而言，游戏的难度并不合理，很易劝退， 至少我身边就有两个人购买后因为过于受苦而吃灰。
2. 游戏的引导很成问题。
如果是动作游戏的新玩家，会很明显的感到无所适从，游戏省略了很多本该有的教学内容，无形中增加了一定的学习成本。
举个例子，我打完了百眼魔君和朋友聊起来才知道有绣花针可以拿，并可作为针对法宝来降低难度，同时我也错过了四妹支线，且补不了，我只能读档重打。这些隐藏内容的设计本来是加分项，但游戏内却没有给出明确的提示告知你存在这个东西，同时，地图的道路设计也不会有意识的去引导你去走到这个地方去。
游科本可以在打最终boss前，用土地公出面来点警言一类的形式来提醒玩家，让玩家意识到打了这个boss这章就结束了，并且存在隐藏的法宝可以来克制他。
同样的，游戏的文本描述也很具迷惑性，或者通俗点说就是脱了裤子放屁。“少许增加，大量增加，消耗一定的棍势” 小老哥，我多嘴问一句，这个“少许”具体是多少呢？我必须对比装备前后的数值变化才能知道这个增益量。
我不太觉得有玩家可以在不依靠攻略和获知外界信息的情况下，第一次通关就打出不戴紧箍的结局。以我为例，我第三章就跑到了浮屠塔，对我来说在当时这里我已经搜刮完了，也不存在可交互的NPC，自然后面也不会想到再回来，我甚至一度困惑小西天居然没有隐藏地图和法宝。甚至谈不上弱引导，完全是无引导，和老头环学的是吧。
私货内容: 我在游玩的时候我希望尽可能的节省认知资源，或者说我想省个脑子省个手，但是宝箱的设计毫无区分度我只有打开才知道是什么，如果它的宝箱分门别类的设计好，我远远看一眼我就知道是什么了，没用的就不开了。
3. 地图设计存在不足
首先明显对记忆力稍差和方向感稍弱的人群很不友好，大概是出于秀肌肉的造景考虑，保留了原汁原味的自然风光，但这种缺少人造建筑的场景里真的很容易迷路。如果仅仅这样也就罢了，第一章以后岔路真的很多，玩家会感到困惑和犹豫，因为游科并没有对支线路径和主线路径做一个视觉上的区分。但如果你打完后会逐渐意识到大部分岔路的两端都是主路，都需要你走一遍的，但你却往往会在走很长一段路后，然后发现路到头了，想回原来的路只能传送或者走回去，真的很蠢。而一些通往支线和收集品的小路却又很难被玩家注意到。我只能理解为地图设计为美工让步了。
P.S. 某些地图休息点少的可怜，点名批评小雷音寺，我玩的时候总怀疑我是不是漏了某个土地庙。
4. 第六章的一些boss设计过于抽象
本来花果山这种半成品地图没什么好说的，凑字数的结尾也没几个老师会较真批评吧。但我还是红温破防了，这的怪人均后撤步，太抽象了，点名批评王灵官和浪波波。本来回合制玩的好好的，到你们反而开挂了，毫无交互感。前几章的boss都躲不了我的重棍，你们百分百躲，前几章怪攻击有个明显起手动作，你们和疯狗一样，还金刚不坏，你们该去前几章当这个最终boss。
5. 收集系统存在缺陷
我觉得大部分国人玩家可能都会尽量去做一个全成就。但这个收集品概率掉落有病吧。同时它没有一个类似图鉴的设计，我只有在查攻略后我才能知道总共有几样，我还差哪个。
我觉得任何情况下，当一个玩家把相当一部分的时间和精力用来查攻略，那显然是游戏本身出了问题，这一行为背后的驱动力不是愉悦和放松感，而是焦虑和烦躁。
6. 孱弱的剧情
剧情是导致我决定差评的直接因素。这个孱弱体现在两方面，其一，游戏本身的重心就不在讲故事上，大部分设定都塞在影神图里，还有一部分或许依托于西游记原著（存疑？）大部分玩家通关后可能都搞不清游戏到底讲了个什么故事，只记得打了多少boss。
孙悟空三次打碎自己的爱人，明显指白骨精，试问这白骨精是好是坏啊，再试问为何他俩谈上了恋爱孙悟空又要三次打碎她。再试问这四姐为何对天命人这般好，理由为何，按这剧情演出，多半是余情未了。而这天命人大抵又是悟空转世，所以理由又何在？又是哪一世的风流债？
游戏有太多设定未交代，又有太多内容模棱两可，只凭玩家脑补。
第二，游戏的故事格局很小，非常小，弱爆了。
序章剧情刚展开，我的眉头就皱起来了，原因很简单，这个大圣和我认知中的小有出入。
自述自己西游功勋多么显著，暂且不论其无半点经历81难后修心养性的成长。我怎么听怎么觉得这取经一事这猴子是打心底当交易而言，不乐意的啊。
“ 我只求在这花果山终老，你他娘的杀我猴子猴孙” 我印象中的大圣是嫉恶如仇的，而这自扫门前雪，只愿在花果山终老，再次的反抗只是因天庭动了花果山，你说的这个还是那个孙大圣吗？若神佛行邪道，则神佛自然便是妖魔，孙悟空自当铲奸除恶，为天下苍生博个未来。
“ 待会我拔下你额头上那颗眼睛尝尝鲜 ” 如果我有孩子的话，我一定不会当着他的面玩这个游戏，我会选择给他放西游的动画或86版西游，显然后者的第一印象正面的多。
我想要看到的孙悟空，是宝莲灯电影中成佛后人性佛性猴性并存的孙悟空，是中国奇潭中予小妖三根毫毛心存善心的孙悟空，是与唐僧争论中始终善恶分明的孙悟空，是扬了生死簿，闹了凌霄殿，与天同齐的孙悟空。
游戏明确给出的剧情，始终解释不了孙悟空为何要以一死来摘了紧箍。若只是为了自己能脱得自由身，那这个格局太小了（你这个人，满脑子真是只有自己呢.jpg）；如果说为了搏一个能够放开手去推翻这个尸位素餐的仙佛秩序的机会，游戏里也完全没有提到。
孙悟空之死是故事的起因，一切都是围绕这个开始，但就目前剧情的描述，孙悟空究竟怎么死的都很模糊。所以游科，你究竟在讲一个什么样的故事啊，你究竟想讲一个什么样的故事啊，究竟想去弘扬一个什么样的价值观啊。
西游记如果只是一个只讲述神魔情仇的三流网文，是传不到我们这代的。孙悟空为什么那么具有魅力，一定不仅仅大闹天宫所象征的反抗精神。我认为更重要的是取经路上的所作所为，那个嫉恶如仇，分得清对错，象征着纯粹的人性之善的一面。所谓金猴奋起千钧棒，玉宇澄清万里埃的猴子，不就是指的那个降妖除魔，惩奸除恶的猴子吗？
但就这个游戏零碎的剧情中我看不到这个孙悟空任何值得我喜爱和尊重之处。能打？能打的人多了去了，还好中国不崇尚慕强文化。
我是不喜欢阴谋论的，原著中取经的篇幅远远多于闹天宫的戏份，孰轻孰重，我想吴承恩费了的笔墨足够说明问题。何苦只揪着闹天宫和神魔这些不放。这里借鲁迅的一句话权当表达我的立场，“譬如勇士，也战斗，也休息，也饮食，自然也性交。如果只取他末一点，画起像来，挂在妓院里，尊为性交大师，那当然也不能说是毫无根据的。然而，岂不冤哉？"
取经是非常重要的一部分，西行组也在经历了八十一难后有了各自的成长，淡化或者否定取经的意义我觉得和否定原作是没差的。
游戏和原著相比，少了些人味，游戏中基本上没有出现过人，小西天的妖僧，黄花观的妖道算人吗？我觉得能和天命人55开的存在，大抵是超越人类的。
我这里的人，自是指的最是平凡的普通人，即老百姓，苍生黎庶。
游戏的寺庙里没有或为自个，或为父母妻子往来祈福的香客，山间小路上没些横刀拦路的绿林好汉，既没了人世间勾心斗角的算计，也没了以身殉道的愚者。
不过也是，人类毕竟太过渺小，不足以融入神魔大战的宏大叙事之中，只是到底少了些烟火气。再一想，这悟能余情未了，悟空嗔怒不息，天上神佛又诸多争斗，说是神佛，倒比人更像人，倒也合理。只是我又转念这么一想，伯夷叔齐不食周粟，介子推守节绵山，这些普通人的品行比这神佛更加高洁。诶，好奇怪哦，中国的神仙不都是因人成仙的嘛，要么气节流芳后世，谓之关圣帝君。要么功绩卓于四海，号为托塔天王。
想太多脑壳痛，但仍有一事不解。
若神佛为恶，取经不过是上界利用所为。那么取经究竟意义何在？孙悟空在内的西行组是对强权的屈服？最后各自位列佛位，算是和光同尘？
若神佛为恶，第二章动画里的狐狸还要修炼成仙，那她太坏了，被做成狐狸皮活该（
我素来以为行正道做善事谓之仙佛，走邪道逞凶恶谓之妖魔，未尝想过神和妖竟有种族之别。
7.优化和空气墙
你做的这个猴子是可以跳的，然后空气墙？？？犄角旮旯又赛一些东西，极大降低了玩家的探索欲。今年更新后游戏出现了画面卡住，闪退等问题，搜了一下不止我有这个问题，并且我朋友也出现了相同的问题。
游戏的光影也有很大的问题，当然也不止黑神话这一款游戏有这个问题，FF7re，刺客信条都有这个光影问题，由暗入明异常刺眼
优点：
1. 出色的动作设计
点名表扬二郎神和大圣残躯的招式设计，真的会让兴奋，赏心悦目，真帅啊。
玩家扮演的天命人也有非常多的动作模组，只是可惜果然还是想用大圣的这种气势如虹，大开大合的技能啊。
2. 繁多的怪物种类
这个体量的游戏一般而言换皮怪是很多的，比如战神4和艾尔登法环，但黑神话完全出乎我的预期。boss的重复度很低，丰富的boss种类，一定程度上延长了玩家的新鲜感。即便是小怪，也是到了第五章才感觉到有明显的换皮。
3. 绝美的场景和服饰设计
没什么好说的，中式美学在技术力加持下的完美呈现，无须多言。
4. 诚意十足的玩法设计
以前我经常和朋友吐槽，这个boss的技能怎么比我帅啊，他是主角我是主角啊。游科的变身系统就很好的回答了我这个疑问。
同时劈棍戳棍的不同流派的玩法和出装思路也极大程度了拓展了游戏的可玩性。诶，你问为什么我没提立棍，问就是江海翻这一技能树的含金量。
玩家可以在土地庙随时随地的洗点，来尝试不同风格的打法，一周目的点数是肯定点不满所有的技能，那玩家必须有所取舍，也意味着在鼓励玩家探索不同的打法，这点非常棒。
譬如我在打晦月魔君的时候发现劈棍很容易空，于是改变了思路，玩禁字法立棍。
5. 震撼的剧情演出
盘丝洞诸姐妹和八戒情绪性格的细腻刻画 ，梅山四大天王的战神式的运镜，大圣残躯的酣畅动作设计。都是给了我极大的惊喜，观感是非常不错的
6. 高质量的章节动画
章节末的通关动画质量上我觉得甚至要比游戏的质量要高，非常精致。
唠些题外话。
我玩这游戏是自然是冲着cos孙悟空来的，那么问题来了。我打杀妖怪得有理由吧，我若见非人之物便杀，我与妖又有何分别，妖若为恶，除之未尝不可。彼若未作恶，他日潜行修炼或可成人或可成仙，也算不得妖。
但一些boss没有给我一个打怪的理由啊，譬如五龙，龙在我的认知中大都是善的，且剧情中没看到有何过错，反倒像是被迫害方。这时候借我朋友的一句话“那不是你要去打的吗？你选的啊”是的，我有罪，我为了个成就就去打了。
中肯的讲，游戏前三章剧情都是OK的，属于还可以圆的范畴。第五章的剧情就突出一个抽象，红孩儿囚父逼母，这种虫豸，动机和行为思之令人困惑，共情不了半点，只觉得是个畜生，就这种角色我甚至不能手刃他。一路走来，棍下冤魂，无辜者不在少数，偏偏这个禽兽居然还得以自杀，自杀的理由也突出一个幼稚和抽象。
游戏的故事是没讲完的，设定是不全的，如果拿西游记作为设定的补全参考，完全是前后矛盾，但仅游戏目前的故事脉络，也就那样了。
港版TVB的西游记的主题曲我一直很喜欢。万里之遥，唐僧须是有信念的，若西行只是神佛的骗局，走不到灵山的。
任生关死劫轻轻送
千般色相偏看重
镜不染尘凡心动
今天果靠当天种
手中经要心里颂
对天对地圆我梦
用芭蕉扇拨不清
念紧箍咒心澄明
合指一算扬起袈裟取我西经
凡间仙界比坚贞
烈火深雪考虔诚
合掌一笑无需爱恨只爱西经
戒恨戒憎不戒深情心也未能静
但戒欲戒痴可会超凡和入圣</t>
  </si>
  <si>
    <t>画面美术场景；演出角色怪物设计；动作打击手感；Boss战斗节奏；难度挑战；地图路线；空气墙可达性；探索隐藏支线；引导迷路单线；优化帧率；崩溃闪退；Bug兼容硬件；整体完成度；推荐价值判断；西游悟空符号；本国媒介路径；中国文化宗教语言审美；原典知识人物关系专名；外部资料依赖；角色期待意义偏移</t>
  </si>
  <si>
    <t>CN-P-230</t>
  </si>
  <si>
    <t>2025-03-15</t>
  </si>
  <si>
    <t>我35岁了 玩了二十多年游戏 一直很不喜欢魂类游戏觉得难度大 受苦 和我玩游戏“简单轻松快乐”的初衷不符甚至玩一千多小时的cs也基本只玩官匹休闲可我在玩黑神话的时候就觉得憋着一股气想要打通 想要打赢每一个BOSS大头打了40分钟 小黄龙打了三个半小时 二郎显圣真君靠地图外戳棍其实我很菜 完美闪避经常出不来 也只会劈棍一个式纯靠自己的时间和意识来熟练我有时也会想 到底是因为这是西游戏的国产情怀还是真的好玩 让我一直坚持下来？打通黑神话悟空 又一次听到老猴子说“你们一定听过他的故事”突然就想到了第一次看到黑神话的宣传片那时的评论毁誉参半 就像近些年的游戏 画面越来越好 操作越来越极限但好游戏却越来越少（至少对我来说）黑神话悟空确实是一款静下心来做出的游戏虽然有点虎头蛇尾 但仍然瑕不掩瑜它如果不好玩 我不会把每个加班后疲惫的身体投入到它的世界因为我的年龄不允许我对世界充满幻想用情怀消耗自己的热情了千方百计想打赢的BOOS 都是生活中的困难无论是在游戏内外 我们都有摆脱天命的希冀祝大家早日通关</t>
  </si>
  <si>
    <t>画面美术场景；动作打击手感；Boss战斗节奏；难度挑战；地图路线；推荐价值判断；西游悟空符号；童年记忆情怀；国产3A身份期待</t>
  </si>
  <si>
    <t>CN-P-231</t>
  </si>
  <si>
    <t>优缺点都极其明显和势均力敌的一款作品，最终优点略胜一筹
我会分几个大点来讲：画面，音乐/声效，玩法/战斗，UI/无障碍选项，以及剧情。
画面
第九世代开启，初见虚幻5演示之初，很多喜爱极致画面的玩家对Epic展示的Demo可以说是赞不绝口。更真实的光照技术以及细致许多的材质都让人震惊游戏的画面还能继续发展到这番地步。然而，随着半个世代的过去，大多数虚幻5游戏首发优化表现不佳，让甚至众多高端显卡机器都败下阵来，且对比以前游戏的画面进步时而被总结为乏善可陈，甚至倒退。
《黑神话：悟空》是少数将画面和细节做到有肉眼可见进步的游戏，地图的各种材质细节都让我仿佛回到了当初观看虚幻5演示的模样。游戏内使用的粒子特效，也极大增加了法术和战斗氛围的沉浸感。
优化虽不是顶尖但也尚可接受，我的3080TI +12900K 电脑在大多数时候1440P （DLSS质量+设置全高）基本跑80帧左右是没有问题的，但后期的体验的确出现了更多的掉帧和卡顿，而拥有低于我硬件性能的好友表示这种现象更为严重。纵然没有了像近年知名厂商大作以及各种虚幻5游戏发售期间的优化灾难，但依旧有不小的进步空间需通过更新来达到。尤其是开启光追会导致延迟被狂拉高，肯定是会让想要开启极致画面的高端显卡用户略失望的。
若感到游戏画面偏糊，也是因为游戏的默认锐化等级被设置到了3.6667，而不是正常的1，可通过下载Mod进行修改。游戏中有一层类似迷雾一样一直伴随的特效也可能对部分玩家的观感会造成影响，同样可以通过下载Mod来解决。至于官方会不会更新这个，我既然写出来自然是希望会的，现在是无奈只能用民间高手的办法。
音乐/声效
《黑神话：悟空》的音乐质量是觉得过硬的，它做到了在需要它的时候发挥关键的作用。
许多歌曲都有着不是活泼就是气势磅礴的感觉，很好地陪衬了剧情画面和Boss战斗。也有一些比较阴暗的歌曲，搭配更黑暗的地图和剧情。
活泼如熊竹英老师作为无头僧（）在第二章沙漠回歌颂的几首二胡小曲，帮助天命人获得新的技能，提醒他注意敌人的位置和如何破局。
YouTube™ 视频: Black Myth Wukong - All Headless Singer Cutscenes (4K) 
观看：1,383,951 次
Are the Headless Songs stuck in your head? Well look no further then all Headless Monk aka Bodhisattva Lingji Scenes in Black Myth: Wukong.
气势磅礴的歌曲如游戏前期就播放的经典老曲《云宫迅音》，《善恶若无报》，《法天象地》等。
阴暗氛围的歌曲有《妙音妙音》，《哪有怜香惜玉心》，《虫儿也欺负人哩》。这类更多都是来自于第四章的Boss歌曲。一遇到虫子Boss就挺毛骨悚然的...
接下来是游戏的声音效果，比如挥动棒子时，下雪，敲打金属的这些声音。我觉得都已经足够真实，可以进步的空间不大，在棍子敲打敌方防御护盾的时候我甚至听出了打铁的味道...这方面的反馈我是觉得已经够好了，环境声也没问题。
玩法/战斗
a.战斗
这块是游戏开始有争议的部分。游戏科学之前说过这款游戏更接近于《战神》，没有普遍的类魂游戏那么难。然而和战神其实还是有不少区别。《战神》的攻击和奔跑是“无限耐力”，《黑神话》有耐力条。《战神》可以扔斧扔矛，天命人除非使用立棍或者跳上去平台，远程的小兵打你只能用棍花弹开攻击，也不能反弹回去。再就是存档方面，《战神》允许在各种地方进行存档，《黑神话》想要玩转自己的游玩存档得去文件里专门捣鼓一波，因为它存档只在土庙（休息点），捡东西或者打败Boss的时候。
除了这些和《战神》的不同点之外，《黑神话》在部分Boss的出招能力上限和逻辑也都难称得上简单，这同样增加了难度。大多数Boss可以说是容易和颇具挑战这两个的其中之一，但有些Boss因为能触发致命连招和大范围攻击不太好躲开，导致天命人很容易变成猴肉馒头（悲）。也有一些Boss的可攻击点不多搞得天命人会一直锁定对着空气打。
当然也完全没有难到过不了关的情况，背好Boss招式，尝试不同的Build套装，技能组合，都是可以的。即使游戏在不变身的状况下，只有棍子这一种武器可以使用，还是能通过强化不同的技能，属性依旧能玩出许些不同的花样。然而，这未必对所有人都是说的这般容易。
像大多数游戏一样，游戏科学把《黑神话》经常会看到的加载页面用作于玩法小提示的放置处，但这些提示仅留存于比较表面的机制介绍，比如你的装备可以升级，你要注意耐力云云。在前期很有用，到了后期需要知道战斗技巧和一些物品用途的时候，游戏就不给更多提示了。比如玩家其实有无限次使用的道具可以传送到土庙，可以跳后迅速打出一个漂亮的劈棍，蓄力两点重击可以打断Boss的一些攻击，还有搅棍只要耐力允许是可以一直弄下去把敌人搞死的（棍花也可以）。
给予的战斗提示偏少很容易让不怎么熟悉这类动作游戏的玩家感到一些迷茫，好在现在的视频平台上有很多分享不同打法帮助的视频，但如果一款游戏玩家需要看视频来保证通关的频率越高，就越代表它不简单，从而设立了一定的游玩门槛。如果你对较高挑战难度的游戏并不感冒，《黑神话》的确能将你拒之门外。
且从妖王或者头目的密集度来看，称其玩法为Bossrush是不为过的。小怪是有的，也不少，但小怪有些也不是吃素的啊！还很喜欢搞偷袭，群殴，不讲武德也！每次跑路遇到这个情况的时候总会有那么些次成了不经意的初见杀。当然，如果你更在乎的是击败Boss获取的成就感，以及和这些不讲武德的小怪谈笑风生，那么《黑神话》还是有足够让比较厉害或者坚持不懈的玩家能获取不错的满足感。
b.指引和地图
除了加载页面的提示，《黑神话》的引导基本都做进了台词或者是指向你去土庙的光束，告诉你找到了新的地点。但是台词这玩意，你稍不留神就可以忘记过场动画里头说过啥了。有些NPC对话是可重复的还好一些，过场动画里头的就不一定记得住了。而且如果你中途需要离开，CG是不可被暂停的，我不知道是什么原因，但这在今天是有点不太应该的。希望后面会更新能暂停CG的功能。
最要命的还是地图。和FromSoftware以前的游戏一样，游戏内不具有地图，玩家只能自己找路。但《黑神话》有个大问题也就是空气墙，会出现在各种反直觉位置上。比如这个平台你能跳上去，但你跳不上去，因为你被墙卡了。还有这个河你能走过去，但你不可以通过这个位置走，另一个位置才没墙。这种现象也许可以变相看待是一种指引，强制告诉玩家哪里可探索哪里不可探索，你能走顺的尽是道路，走不顺不走也罢。但这毕竟只是因为没有游戏内地图让玩家不得不采用的一种探索方式，这种现象通常是令人困扰和反感为主的，因为明明有路偏不能走，本可以节省很多时间，但就是不得。
地图的规模在后续的章节也变得越来越绕和开始复杂起来，并非绕不出去，但由于天命人既没有地图看也没办法在一个位置留下标记，告诉自己走过此处，在场景极其相似的地点里会容易再走过一遍同样的路，这在我的游玩体验中出现了数次，而对于耐心不是太高的玩家只会带来更多烦躁。
c.收集刷刷刷
游戏里有几个收集项，分别是种子，盘坐（免费拿升级点），怪物图鉴，精魂，葫芦，以及所有的装备。别的都还好，一周目就算错过了，二周目都能再轻松找到。种子只能靠刷，而且爆率极低。《绝地：幸存者》让我烦的找不到东西，《黑神话：悟空》方便寻找可却难以获得。如果你缺钱缺经验，那就得无脑刷刷刷了，没有别的好办法，不够强就得苦练！
UI/无障碍选项
《黑神话》的UI 设计是有点问题的，比例不可调整，无法设置别的颜色，左边吃药的略缩图UI 根本无法第一眼看出具体是什么药，完全靠背什么位置装的什么药，或者在使用前按下扳机键放大UI看到药的名字。
耐力，血量，法力值三个条都很重要，但是血量条的大小远大于另外两个条，在游戏一开始的时候导致注意力都只是放在了血量而不是最下面的耐力条。蓝条是因为颜色过于醒目所以没被无视的太厉害，哪怕耐力条不能改大小，位置更改（比如放在中间）或者改颜色也可以做到可以的效果。这并非绝对必要的设计，但倘若问《黑神话》和现今最受好评的大制作游戏还有怎样的差距，这就是其中之一。
字幕同样有着类似的问题，无法改颜色，无法改大小，无法添加黑色背景，导致在一些环境下，根本看不见，对视力有点问题的人也直接不友好了。
最后一点就是蜘蛛恐惧症选项，当然有Mod也可以用Mod来解决，倒不一定非要官方搞。有些玩家对蜘蛛的恐惧感可以说是拉满了的，盘丝洞这章会打的很憋屈，如果有这个选项倒是可以缓解不少，把蜘蛛全部变成馒头眼睛之类的东西，失去让人恐惧的特征。
剧情
小心剧透。
全游戏争议最大的就是剧情，主要聚焦在就是标题的人物：孙悟空。
《黑神话》设定下的悟空是一个和白骨精有恋情，被二郎神和四大天王几下就搞定的大猴子。
先不管他反天庭二次的理由，明明有了上一次的经验，他又要去反，西游记整个旅程直接被全盘否定了。最后战败的是二郎神这块也很有问题，但我觉得，明知单枪匹马反抗的结果就会是失败告终还要反的问题更大，因为这体现了孙悟空在这里毫无智商只有头铁。散落成的遗物流放给了各路妖魔鬼怪尽情使用，不仅没有给人间带来更多益处，反而是黄眉等人统治下的乱世。
因此，全剧细想最不吸引人的角色，就是标题的悟空。他被降智，实力被砍（最终Boss战打残躯的时候反而重新认识了），衍生出来了让人措手不及的儿女情长，还是个背刺好友（牛魔王）的阴险小人，一个角色让人感到无语的地方他全占了。降智顺带的实际上还有二郎神，二郎神和孙悟空如果开场的战斗是做局，这局做的非常烂。孙悟空现在已没法收到佛祖的紧箍咒限制，战力就是完整的，天命人可以获得孙悟空原先的战力多少完全就是未知数，二郎神不选择组队反而是带着四大天王亲自打碎孙悟空，那你到底是不是一队的？然后这俩偷偷又有啥感情了？硬要磕相爱相杀是吧，真牢啊真牢啊...
游戏剧情的高光部分反而是在于对其他反派的塑造和二师兄的角色表现。二师兄与天命人的讲话和互动是整个游戏阴暗剧情最光鲜亮丽的部分，他说话的一贯风趣和对过去的回忆都让人听着津津有味。而他角色在剧情里展开的剧情在没有过于背弃人设的情况下，也给这个角色的悲情元素有了应得的探讨。选择西天取经夺走了他能拥有一个完整的家的机会，这将会成为他余生无奈的悔恨。他也借这番故事超脱了“猪八戒照镜子，里外不是人”的谚语，因为他照镜子的那一刻真正看到了天蓬元帅。
其他反派比如金池，黄眉，黑熊精，不空都配合着每章结尾的精心制作CG得到了完整的背景故事和个性。黑熊的狡诈，金池的贪念，黄眉的偏执，不空的伪善，在战败他们并观看相关的CG后，给予的是浩大的满足感。其他一些算是亦正亦邪的Boss比如 不能 从台词和架势上也感到与其他Boss不同，读完背景故事更是得到了确认。这些有趣值得玩味的人设让阅读游戏内的相关文献很有一种津津乐道之足。
可惜同样的话完全无法对整篇故事围绕的孙悟空去说。因为当你看到CG知道了《黑神话》想要带来的悟空后，你感到的更多是困惑，并质疑这一路上你作为天命人的旅途所继承的东西。
不断轮回是故事的主题之一。不断有天命人“重走西游”，黄眉不断地自我感动论证其的歪门邪念，天庭不断地培养新的妖怪练成丹药。《黑神话》真结局的意味应该是轮回终于有了变数，天命人挑战二郎神成功，获得了其的三尖刀，战胜了大圣残骸，获得孙悟空的全数力量。可接下来他是否还会继续挑战天庭？就算他比孙悟空强大许多，又怎能战胜如来？即使他做到了推翻了天庭，也挺不过轮回，这时又怎么办？《黑神话》的结尾到底想要的是一个游戏科学眼里所谓更完整的，没有污点的大圣带来新的希望，还是一个无法逃脱轮回和压迫的大圣，一路黑到底？我觉得游戏科学很可能原本想给出一个答案，但他们没有时间了，只好砍成了一个没讲完的故事。然而绝对可以肯定的是，如果你希望大圣的形象是正面的话，《黑神话》讲的不是这个故事。倘若不能接受，敬而远之。
结语
《黑神话：悟空》在画面，稳定性，声音这些基本功相当扎实，呕心沥血的付出和各路业界大佬的支持都算是功不可没。但在其他方面有着相对不太成熟的表现，部分Boss的设计，探路的体验，以及匮乏的无障碍/自定义选项，都让其对比最高档制作游戏有着绝对的差距。剧情的不完整，以及对齐天大圣传统形象的偏离，说是整款游戏最大的短板或许并不为过。这是一款若能接受其中缺点依然值得原价或小折扣购买的游戏，也是近些年完整度和稳定性足够对得起价格的游戏。希望国内还有其他的开发者能借此势头打造出自己风格的游戏，并凭借自己的完整度，荣获众多地区玩家的喜爱。</t>
  </si>
  <si>
    <t>画面美术场景；音乐音效配音；演出角色怪物设计；动作打击手感；Boss战斗节奏；难度挑战；锁定视角；判定反馈；地图路线；空气墙可达性；探索隐藏支线；引导迷路单线；优化帧率；Bug兼容硬件；整体完成度；推荐价值判断；西游悟空符号；童年记忆情怀；本国媒介路径；中国文化宗教语言审美；原典知识人物关系专名</t>
  </si>
  <si>
    <t>CN-P-232</t>
  </si>
  <si>
    <t>豪华版预购，42.3h通关二结局，应该有资格评价吧？该评测标准为:黑神话悟空是一款开发6年，并且在2024年推出的3A游戏先说结论，整体7分，情怀1分，舆论环境-3分，最终5（8）分。优点:1.无与伦比的美术风格。就目前来看，在 2024 年的所有游戏作品里，黑猴在美术方面的表现堪称卓越，无疑是其中的佼佼者，它仿佛是一把神奇的钥匙，开启了通往儿时幻想世界的大门。各类 boss 的形象设计更是别具一格，每一个 boss 都有着独特的造型和个性，给我带来了强烈的视觉冲击和全新的游戏体验。但这种真实又沉浸的美术风格其实也催生了一些缺点，下面会提到。2.回忆许久，没有想到可以称作第二个优点的地方，硬要说的话，可能是选题大纲是基于“西游记”吧。（这里打引号后续会解释）缺点:再次重申，这些缺点是我以它是一款开发6年，并且在2024年推出的3A游戏1.糟糕的战斗体系。如果黑猴在2020年放出实机演示后，在2022~2023年中推出这款游戏，我觉得他的战斗系统是合格的。黑猴的战斗完完全全地是依赖天命人手中的“棍（也有枪）”，我做的所有事，使用的法宝、法术、变身，都是为了我能更好地用棍攻击敌人。我认同这个底层逻辑，毕竟大圣的战斗就是用棍取胜，别的道具都是辅助作用，那可以把棍的输出体系做的完善一点吗？看似拥有三种棍法，还有枪这种长柄武器，最后的大圣套棍法也算一种新的棍法吧，这些棍法的底层逻辑就是想办法积攒棍式，然后用消耗棍式的重攻击输出敌人。游科也进行了各种设计让你更好地增加棍式的作用:完美闪避可以增加棍式，有的药可以积攒棍式，平a可以积攒棍式，高蓄力的棍式打中敌人会根据敌人已损失血量增加伤害，跑步可以回棍式的套装... 这套底层逻辑可以应用于99%的敌人。劈棍和戳棍的gp基本可以忽略，因为黑猴的boss大部分都是多动症，想要比较舒服的攻略boss就是无脑地去压制boss而不是与boss玩回合战，在无脑的压制boss过程中，我打出更多的闪避比完美的gp更加重要，因为gp后接输出会消耗棍式，而完美闪避在有了天赋后可以增加棍式也可以增加输出空间。立棍的“钢管舞”和追加攻击更像是因为立辊招式太少而特意添加上去的。花棍的用处仅仅在于我可以抵挡远程攻击，并且在打一个小关卡中最后一个小怪的时候可以用花棍磨死他以便于积累更多的棍式用于下次战斗，并且花棍后可以接重击的天赋也十分鸡肋，完全不如跳起来接轻攻击+重攻击实用。最终对于不同boss使用不同棍式完全就是在于哪个boss那种棍式的重击更好命中罢了（甚至绝大多数boss也不用考虑）。这套公式唯一不成立的boss就是杨戬，因为他会读指令躲掉你的重攻击，也是我在游戏过程中唯一卡了比较久的boss。这时候我才会想起，原来我有这么多法宝、法术、变身可以用，但打了几次后发现杨戬厉害的点就是在于有了一层盾+读指令防重击，失去盾后只要对着他连续轻棍就可以解决。这时候就变成了解决杨戬几次回盾的问题，最后选择了隐身躲技能+变石头哪个变身去砸他的盾，失去盾后用棍平a。又变成了一个我干的所有事都是为了我能更好的用棍打的逻辑，而这样为什么不好前面已经说了（用棍打的大多数招式无用，只需要注意闪避+轻攻击蹭+重攻击输出就好了）。并且打杨戬甚至把这套逻辑简化了，你只需要想办法破盾+轻攻击一直按就好了。。。退一万步讲，打杨戬即便真的是用了和之前不同的体系打法，那也只有这一个boss，整体的战斗体系仍然是不合格的。可以看到其实在2020年的实机演示中，天命人的战斗体系实际上和今天玩到的并没有很大的区别，四年的时间中推出了许多战斗优秀和战斗不优秀的作品，也没有让游科意识到他们的战斗体系设计问题，这点让我怀疑游科是不是真的在闭门造车。额外提一句，糟糕的索敌视角是增加战斗难度的另一个点，但毕竟第一次做这种游戏，我完全可以接受这种错误。2.完全为美术服务的令人迷惑的关卡设计。这点我觉得大多数评测说的已经很详尽了，不需要再重点陈述了。这里列举一个游玩游戏中发生的例子，场景为水帘洞往石猴的路上，击败了路上的所有天兵后会通过一个山洞，在走进山洞一半后我放下手柄低头看了一眼手机（大概持续了5秒），回来时候我已经完全迷失了方向感，最终选择往我觉得是前进的路线走，走到甚至快要到水帘洞门口了，我才意识到这是我来时的路。这时候已经玩到了游戏最后了，我觉得这就是整个游戏关卡设计的缩影，为了场景美观真实而忽略了关卡设计的重要性。3.令人迷惑的剧情。先表明一下我对西游记及其相关作品的理解程度，小时候看过86版西游记，初中时由于西游记是必读刊物，所以买了一本很薄的只有重点故事的西游记读了一下，玩过斗战神，看过大话西游，看过某站首页推送的西游记阴谋论视频。首先最让我不能接受的一点是，游科（杨奇）说黑猴是基于西游记原著来编写的剧情，在玩完游戏后，我现在怀疑他们（他）参考的原著可能买错了。最终不还是一套阴谋论+情情爱爱的剧情端了出来，至于各种细节上的不基于原著，对剧情不满意的老哥们的评价比我说的都好我就不展开了，单说说剧情中让人无法理解的迷惑地方。剧情逻辑性比较差，很多事情没有解释，即使你不是基于西游记原著你也应该解释一下吧，这个世界发生了什么变故？我到底反抗反抗的是谁？是西方还是天庭啊？二郎神说路才开始为什么？第二章灵吉我觉得一看就有问题吧，到最后也没交代清楚。这个游戏看似文本量很多，但实际上文本的信息熵很低，影神图里的设定和描述不是在完善世界观和人物设定，是纯粹的“人物描述”，这些文本看了跟没看没有区别。这里举个其他游戏的例子（感觉要被扣帽子了）。比如说环，我根本就不懂西方的那一套东西是什么，环的文本量更少，但我至少在玩的过程中知道了各种事情，了解了各种人物，并且许多物品我一看就知道这个物品和谁有关，甚至不需要去看物品的文本描述。最后一段老猴子的划船说教，看起来是又说给猴子又说给玩家的，我可以接受说教没问题，但我干啥了，我遵循你的旨意去寻了一圈6根最后你说教起来了？（可能是我真的没看懂吧）总之，最后剧情上还是迷惑的点偏多，整个故事没办法形成一套鲜明的逻辑链条，仿佛是在为了讲谜语而谜语。即使有上述缺点，但他整体达到了一个3A游戏该拥有的质量，并且因为情怀，很轻松地可以给出8分的评价，但最离谱的事情发生了。4.毁灭般的游戏社区环境。*本人常用平台，某站，某吧，某音。我知道评价一个游戏的好坏应该忽略其他人的影响，忽略掉这些因素，但作为一个在2024年玩游戏的玩家，谁能毫不在意游戏的社群环境，完全忽略对于这个游戏的各种声音？当这个游戏的舆论热度大到超出了游戏本身的时候，那游玩这个游戏本身就会受到非常大的影响了。如果一个游戏社区有很多非黑既白的二极管我觉得这是一个很正常的现象，许多游戏都有许多很极端的黑子和白子。但黑猴的社区环境是无法让中间的理智派生存的，你说他的优点或者缺点都会被一派直接打入一个极端，你必须选择一个非黑既白的形态才能勉强从社区环境中找到共鸣（并且现在看来你需要选择当白子，直到现在无脑的白子比无脑的黑子多了非常多）。各种up主无限地渲染黑猴，拔高所有人的预期，并且是以年为单位的看涨黑猴，直到游戏发售前来到了无语伦比的高潮，这些宣传已经不只是介绍游戏和推广游戏了，而是拔高样的宣传，游戏的各个方面都是开创性的等等言论层出不穷，几乎每天都能看到从不同方面吹黑猴的视频出现。再到一些大的up提前玩过，不停地在社区渲染黑猴比你们想的深奥的多的氛围，让整个社区沉浸在一种“我虽然没玩完/没开始玩，但黑猴真的是绝中绝的神作“氛围中。再下一步就是无论什么领域的up主都要涌入玩黑猴这个游戏来维持自己的热度/吸引新观众，据我观察，从竞技类游戏博主(cs/dota2/lol/瓦/暴雪系等等)，到手游博主，到体育博主，到生活区博主，甚至到擦边区博主都要玩黑猴，如果不玩黑猴仿佛就要被贴上标签。之后又发展到，科技速通黑猴吸引无数流量，所有人都想看到结局，一个科技速通黑猴的视频被整个社区如同爆款般宣传。再之后白子们开始yy剧情，yy各种隐藏，每天费尽心思想各种奇特的思路，找到一些科技主播弹幕指引寻找他们心目中的”真结局“，并且这些白子他们可能压根游戏都没玩过，从游戏刚发售一直云云到了觉得自己是懂哥的地步。这种云夸张到的什么程度？某站有个播放量很高的系列视频，标题叫:《帮你找到...（省略，看过的自然知道）》，这是一个明显的攻略向视频，里面却充斥着各种云玩家（从弹幕到评论区），本想看看大家玩到这出现什么问题，结果弹幕有问土地庙有什么用的，评论区全在讨论隐藏剧情会是怎么样的，各种其他猜测视频链接乱飞。最后总结一下，游戏虽然有许多瑕疵，但依然可以让玩家在西游世界享受当大圣的快乐，一周目体验良好，但如果打二周目可能会因为新鲜感消失和游戏性贫乏而失去动力。可惜黑猴社区现在已经宛如浮屠塔，玩游戏的玩家就像是游戏中的天命人想要快速逃离这个地方，而云玩家就像是浮屠塔中巡逻的路灯妖怪，只要哪个玩家敢发出声音被他们看到，就要被扣一个帽子丢入深渊。</t>
  </si>
  <si>
    <t>画面美术场景；音乐音效配音；演出角色怪物设计；动作打击手感；Boss战斗节奏；难度挑战；锁定视角；判定反馈；地图路线；探索隐藏支线；引导迷路单线；整体完成度；推荐价值判断；西游悟空符号；童年记忆情怀；中国文化宗教语言审美；原典知识人物关系专名；外部资料依赖</t>
  </si>
  <si>
    <t>CN-P-233</t>
  </si>
  <si>
    <t>长处很长，短处很短；一场充满矛盾的旅程闭眼玩家莽夫型通关了，30/81，大部分隐藏内容都没有解锁，也完全没有自己寻找的动力。虽然游戏有着用心且优异的美术与人文底蕴，也有着出色的boss战设计与演出，但令人糟心的地图设计、与大量的空气墙将我的探索欲望压至极限；整个动作系统的贫瘠也让后期面对一只只血牛时的我疲惫不堪。评价永远是主观的，就像有人能认为GRIS是一件精雕细琢的艺术品，而有人却认为它是一款游戏性为0的下水道步行模拟器。黑神话有着它非凡的历史意义与人文价值，但是在游戏性上我个人还是认为它并不值得被推荐。游戏的第一章有着绝妙吸睛的演出、与恰到好处的流程和隐藏内容；但到第二、三章，层出不穷的糟糕地图设计实在将我劝退：不仅仅是伸手不见五指的黄、看不见的白、随处可碰的空气墙，更是没有任何逻辑的随性地图连接、与无意义的环境内容堆料——看不到边界的雪地森林使我绝望，一层一层又一层的地牢让我想起堕落之主。到了第四、五章，剧情虽然一转中二网文，但简化的流程和辨识度提升的地图、让我的游玩体验直线回暖；但第六章那网游般糟糕的设计又再次毁灭了我的体验：腾云而起使得坠落伤害显得滑稽、密密麻麻的树林与空气墙让我分不清南北、找到剧情需要的boss花费了我三个小时以上。整个通关过程，我的心情犹如过山车一般起伏，最终在还算荡气的boss中，落在了中间的位置：嗯，恰如其分的媒体81分。虽然游戏有着大量的boss战，但前期以及道中的boss却又很难给人留下印象：一方面敌人虽然技能华丽、演出炫酷，但实际能力孱弱，而主角的闪避性能又太强：大量初见过的boss与杂兵无异，却又在一场又一场的强制战斗中，无形地凸显着游戏动作系统的贫瘠——游戏没有足够多可供升级的派生与连段，单一的棍棒武器使得游玩的前中后期差别、只在boss的招式与血量上。后期每一场都需要花费十分钟以上的战斗使人疲惫，更别提一不小心失误又要从头再来的失落感了。而在战斗体验上，游戏却永远处于一个爽不起来的如爽阶段：不仅仅是连段的缺失、以及酷似巫师3对马岛一般没有变化的轻重攻击。在删除了防御键后，极度依赖轻攻击衍生的弹反、远远不如有一定判定延迟的闪避；伤害最高且能打出硬直的重击，却又依托于轻击与蓄力的棍势；缓慢喝药与体力限制还破坏了互动的连贯性，在我以为游戏的战斗能像仁王一样流畅爽快时，它却总能在基础性能上带来卡壳。很奇怪的是，你总能在黑神话里看到各种各样游戏的影子，但却并没有借鉴到它们的优点。你能看到除了外皮颜色外99%相似度的仁王和黑魂怪物；能看到人物酷似仁王的输入判定、行动逻辑、甚至是美术风格；能看到不明所以的狭窄木梁和转角藏怪。但是仁王那极具深度的畅快动作、黑魂那精致的箱庭地图，却一点点踪影都无法寻觅。我当然不配揣测设计师的想法，但这般借鉴是否本末倒置犹未可知。无论如何，这是国产的第一款3A，也让世界看到了中文玩家的消费力，在这层意义上它无疑是一块丰碑。我们也能看到它的用心，在人文与美术上它不会输给任何人。但堆料并不意味着它好玩，奎爷拿到自己的双刀时，刷出的一波小怪使我心潮澎湃；但小圣拿到神器时、刷出50个天兵却只让我感到疲倦。将减法做至顶峰的只狼告诉过我们：简化的系统、优质的战斗、迷你的流程一样可以让人感到畅快。在堆料就是胜利的世界里，堕落之主已经拿下goty了。++++ 极高的人文艺术价值、与历史意义+++ 优秀的关底boss战设计与演出+ 高质量堆料的整体美术、与种类繁多的怪物设计= 墙角吸附、人物滑步，非常一般的行动操作手感= 大量的隐藏内容与支线= 魔改且网文味的剧情- 不连贯的游玩体验-- 单调贫瘠的动作系统、功亏一篑的战斗体验---- 糟糕的地图设计、负反馈拉满的推图体验长板很长、短板很短，游戏也确实是好游戏。但仅从游戏性的角度出发，我并不认为这是一款足够好的作品8.1/10</t>
  </si>
  <si>
    <t>画面美术场景；演出角色怪物设计；动作打击手感；Boss战斗节奏；难度挑战；判定反馈；地图路线；空气墙可达性；探索隐藏支线；优化帧率；整体完成度；推荐价值判断；国产3A身份期待</t>
  </si>
  <si>
    <t>CN-P-234</t>
  </si>
  <si>
    <t>2025-04-01</t>
  </si>
  <si>
    <t>不觉发售已半年有余，恍然如梦一场，此刻精神状态恰如似醒犹眠时分，便趁着工位摸鱼之际，简单记录个人感受。 黑神话是我非常满意的游戏，丰富且契合设定的boss设计简直是在我的爽点上蹦迪，连战更新后更是酣畅淋漓，有种梦回当年神居五门的感觉。此外，游戏中包含的文化属性极为突出，摩崖造像、楼阁台榭也好，诗书经文、文物珍藏也罢，都可在现实景区/博物馆内寻得出处，也难怪发售后联动了一堆地方文旅局。但是，最让我喜爱的还是每章结束后的动画短片和音乐曲目，颇有画龙点睛韵味，尤其是各首曲目的作词，对仗工整，用典熟练，立意深远，非常非常非常合我的胃口，后了解到所有作词都是冯骥一人包办，不得感叹“主创不去转行干作词人真是可惜~”，遂把本篇测评当作歌词本，摘抄游戏曲目内我所喜爱的歌词（初中上课时偷摸抄歌词，上班后依然摸鱼抄歌词，这应该算不忘初心）。 戒网 山海半生漂泊  一叶孤舟、天地两世零落  几处离愁；本是一处同飞鸟  余生无所求  空把青丝等白头。踏破银河无觅  玉颜红袖、寻遍宫阙不见  良人佳偶；一夜雨声多少事  月下强说愁  红豆如何敢消受。 未竟 英雄被写成诗  只剩爱与勇敢  诗凝成画  不容悲欢；你我原是  有情有欲人  天地不平心不甘。他们被说成书  区区八十一难  书刻成碑  光明灿烂；试问有谁  再打破顽空  不堕轮回万古传？ 勿听 月光  在初见的桥头、月光  在惜别的城楼、思念  是眉间的痒；月年年望相似  寻常最长久。忘了  是新添的垢、记得  是老套的旧、知音  是相拥无言；愿天黑话到明  总归说不够。汹涌如江流  忐忑似轻舟喧闹如江流  宁静似轻舟寂寥如江流  缥缈似轻舟 看见 口中念  心中言  现世报  却方便；修行路  无明尽  幡动时  莫等闲；一身功名轻如烟  最苦人无再少年； 醉时引火醒时眠  贪嗔痴  看见。 不由己 谤我  从未辩驳、欺我  宁愿沉默、辱我  我可以躲；轻我  何必言说、贱我  一笑而过、恶我  我把心锁。（陈彼得老爷爷唱的太令人触动）除有作词的曲目外，游戏内的其他几首ost也很好听，诸如《称王称圣任纵横》《有经处有火》《历代驰名第一妖》《善恶若无报》《万里江山都是颤》等等，希望dlc也能保持相同的音乐水准。第一个pv已快五年，当时的震撼依然难以忘却，同时也是亲身经历了这一路的舆论风波，或好或坏，令人感慨。某次茶闲之时，脑中突闪高中所背的一首词，便想搬运其中几句，为本测评（歌词本）作结： “横空出世，莽昆仑，阅尽人间春色。飞起玉龙三百万，搅得周天寒彻。夏日消溶，江河横溢，人或为鱼鳖。或功或罪，谁人曾与评说？”</t>
  </si>
  <si>
    <t>音乐音效配音；演出角色怪物设计；Boss战斗节奏；难度挑战；整体完成度；推荐价值判断；本国媒介路径；中国文化宗教语言审美；原典知识人物关系专名</t>
  </si>
  <si>
    <t>CN-M-235</t>
  </si>
  <si>
    <t>2025-04-03</t>
  </si>
  <si>
    <t>芸芸众生芸芸命，试问当时可耐何?因果轮回皆自渡，空山明月照心河.</t>
  </si>
  <si>
    <t>原典知识人物关系专名</t>
  </si>
  <si>
    <t>CN-P-236</t>
  </si>
  <si>
    <t>2025-04-08</t>
  </si>
  <si>
    <t>直到发售我都没有购买，不是不感兴趣，不是不喜欢，只是处在如今这么一种「吃过见过」的状态里，很难有什么东西能让我有热血澎湃、非买不可的感觉了。现在的我更喜欢将欲望搁置、暂时延迟，等到最佳时刻再入手的快感。毕竟后来这些年对我来说是「早买早　难　受，晚买享折扣」。不过每天还是有去翻看相关内容，就这么看了 8 天后，有四个借口催促着我按下了购买键——「配乐太棒了！」「章节动画真好看！」「老公你打这个给我看~」「不行打俩小时再退款。」
然后第一次玩就打了 4.8 个小时……
之后每天左看看，右挠挠，在老婆的注视下，最终花了 43.1 小时双结局通关。感觉又是那种量大管饱、细节可推敲、完全无法让我几下就能把感受表达清楚的好东西，所以再次选择这种「想到哪说到哪」的叙述方式，不着急，慢慢来。
……
我那像「忒修斯之船」一样的电脑终究是老了，打起来真卡。在狗牙、一步一卡中硬是走过了一关又一关。
声音……感觉响度总是忽大忽小的。
好黑啊，好亮啊，这光影怎么调啊？还得下软件？算了。
更新下驱动试试……真的好多了！但久了还是会卡……重进游戏试试……又好多了！
据说帧生成会增加操作延迟，关掉试试……的确稳定了，但动作也僵硬了不少。
低情商：优化不好。高情商：老设备也能玩！
……
原来是 Boss Run 啊，怪不得小怪比较单调，Boss 都要比小怪多了，笑。
难度还可以，但大多时候没有初见杀。因为到新地点会卡，遇到新敌人会卡，新敌人放新招数更会卡……
想起了 JoJo 里的 Dio，「砸瓦鲁多！(The World)」，然后我的时间就被暂停了（卡住），但 Boss 看着卡但它其实并不卡，无奈地狂按翻滚，仍免不了被其一通猛抽。
这有个紫色的大头和尚……这么猛？！还会「地爆天星」？！不行我跟你杠上了。重试 5 次后搞定。
我觉得自己不擅长受苦型游戏，但通关后发现，能让我重试超过 5 次的好像就只有「大圣残躯」以及「杨戬」。很多能初见杀的却没做到，是因为……「砸瓦鲁多」……
时常边玩边有个念头冒出来。《黑魂》？《艾尔登法环》？《只狼》？《装甲核心》？《仁王》？《卧龙》？《战神》？……可能都像，但也可能最像它自己。
有中文配音真好啊~但个别角色的演技感觉不是太好，有读稿的味道。不过绝大多数都不错。满足。
怎么到处都有这个小钟？打打看。然后这口钟就在地图里滚啊滚啊滚……
我很喜欢在充满压抑的世界中，有「蒲团」这么个东西。它可以打破节奏，让我暂时抛开紧张，坐下来深吸一口气，然后慢慢吐出去。听我最爱的风声、水声、鸟语声，看本该可怖却突然显得那么和谐安宁的山山水水。（可惜这蒲团太素了，不是肉的）
正在战斗，突然有个圆了吧唧的东西从显示器旁边向我冲来，吓得我一激灵……结果发现是那个刚才打倒的钟……滚啊滚啊滚……
……
卡关了……太难了……我受不了了……不想玩了……
没错，就是卡在监狱这关的独木桥上了。满地图的空气墙，偏偏这会不见了。前面还有弓箭手和小刺客，分分钟把你踹到下层。更恶心的是还摔不死，只能回城重来。
后来跑到中间，用花棍挡开弓箭，再冲刺躲开刺客才过去。
然后就碰到了无数人在自制地图里标记过的「高几率卡死点」，你别说，触发后还真的就只能强制关闭，重启游戏了。
这种卡死点，我碰到过三个。%…#￥）
火焰山的两只隐身老鼠，刚开始还现形，后来怎么一直隐身啊？是我搞错了什么？需要特定道具、技巧？结果发现，这是 BUG ……
打杨戬，进不去地图，只能看着他像动物园的猴子一样对我开大，还打不着。我进不去，他出不来。这也是 BUG ……
人身虫尾的百眼魔君，那么长的蜈蚣身子，锁定却只能锁在那么小的人身上？！下方居然还有那么大的空气墙，导致我打不着？！发现好多 Boss 都自带空气墙，无语。可这不是 BUG……
……
音乐真挺好的。好不好听先不说，但起码不装高雅，也不恶俗。新版《云宫迅音》，吉灵菩萨的陕北说书，小西天听起来那么神圣又那么毒邪，偏偏讽刺的命名为《屁》的音乐等等全都很棒。当时正在玩命翻滚，躲避「不白」的毒、冰攻击（这俩字放一起写可得注意顺序，还有粉、白），突然响起了《往生咒》……我感觉有什么东西被升华了。
其实我对音乐还挺挑剔的（虽然自己做的跟粑粑一样），我其实不太怕难听，但巨怕恶俗。这也是为什么我不太喜欢短视频的其中一个理由，往往有着那么好的画面，配个让我 5 秒就会生理不适的曲子……感觉像有人在我的耳朵里呕吐似的。
文字方面，之前几乎所有游戏的文字我都是不想读的，我是很喜欢看书，但在游戏里看书……总让我觉得像是得到一块钻石，然后拿去切玻璃。可以，但没必要，而且有种糟蹋东西的感觉。不过《黑神话》的我读了不少，想起了在我很小的时候，父母上班，都会把我送到爷爷奶奶家，然后我翻出一本纸张发黄变脆的《聊斋志异》。虽然很多时候我的审美有点崇洋媚外（毕竟很多软实力的东西跟国外确实有着至少几十年的差距），但我真的很喜欢中国古代故事，它们往往真实的可怕，结局往往突兀，却都能散发出诱人的魔力。边读这些故事，边让我恍惚，感觉这些家伙们变得越发鲜活起来，有血有肉。
动画就真的没什么好说的了，之前绝大多数游戏我都很厌烦那些过场动画，尤其是二次元粉丝向的，它们总是能简单的让我感觉在慢性自杀。可这游戏的动画就像是电影，精巧、新奇、镜头感足、信息量大、不拖沓，每一个镜头我都不想落下。想起了前段时间的《中国奇谭》。所以原来我不是讨厌在游戏里看故事，而是你这个故事，最好它配叫故事。
……
剧情方面已经有很多种说法与解释了，我就不再多赘述。只想说一嘴「猪八戒」。他并不高大上，也不伟光正，在这么压抑的世界里，有个小猪跟着你到处跑，陪你战斗，你受点伤他就给你治疗，你不动了他会讲故事，甚至吐槽。捡个果子会说「呸，不好吃！」定住敌人后会夸奖「定的好！」自己受过那么多辈子的苦，一边嘟囔抱怨，一边却对你百般照顾，不离不弃。看着他被迷了心神，放下嬉笑怒骂各种不正经后既坚毅又痛苦的样子，很是心疼。在船上，老猴子各种大道理指责悟空，而他却「师兄师兄」的各种袒护。最终战你要离开船，他甚至大喊「好侄子！打不过就跑！悟空的名头，咱不要也罢！」我一直很在乎人的目的，对我来说他总是在袒护你，心疼你，你仅仅存在着对他来说就很重要。他像是我从来没体会到过的长辈，一位憨厚又像太阳一样温暖的亲人。我的哭点很高，但我心里有哽咽的味道。（卧槽，我老婆看这段时哭了 0.0）
……
打了那么多的强敌，刷了那么多的材料，看了那么多的故事，进行了那么多的思考。很多人说「瑕不掩瑜」，可对我来说那「瑕」就像是麦田中的一根稻草，不值一提。我不喜欢给作品评分，因为太过主观，随着时间和成长，评价也容易变动。但在「Fine」「OK」「Good」等游戏分类里，我毫不犹豫地将其放在了「Great」里。我也不喜欢「三观正」这种非对即错、非黑即白的说法，但这种几乎没有善恶只有利益的世界，高强度符合我的价值观。另外，前阵子不管看到哪条相关内容，都流行喊一句「文化输出」。我也不喜欢这种拔高调、攀龙附凤、扭曲了本质的说法。对我来说，就像是我知道有人会做出一桌好菜，现在终于成真，来自五湖四海的同好纷纷坐下，大快朵颐。曾经吃过一些的我笑着问道「好吃吧？」他抬起头，咧开了泛着油光的嘴巴笑道「嗯！」
能和你一起享用，我很荣幸。
欢迎订阅我的「个人鉴赏家 DEV RULES 」
以及 游戏实况[space.bilibili.com] 来观看我的更多“偏见想法”</t>
  </si>
  <si>
    <t>画面美术场景；音乐音效配音；演出角色怪物设计；动作打击手感；Boss战斗节奏；难度挑战；锁定视角；地图路线；空气墙可达性；优化帧率；崩溃闪退；Bug兼容硬件；推荐价值判断；西游悟空符号；本国媒介路径；中国文化宗教语言审美</t>
  </si>
  <si>
    <t>CN-P-237</t>
  </si>
  <si>
    <t>2025-04-12</t>
  </si>
  <si>
    <t>Black Myth is the first Soulslike game I've ever played - though some people don't really consider it a true Soulslike. It is quite beginner-friendly compared to what I heard about the Elden Ring and the Dark Souls series. The way to combat is highly flexible - and with a good mix of spells and talent builds, you can often make tough fights a lot easier.The game's story, visuals, and music are all absolutely stunning. Every character and boss is well-developed with own background story, and the cutscenes at the end of each chapter are impressive. Even when I got stuck on a boss, I am willing to keep trying since I want to see the upcoming story.Whether or not you're familiar with Journey to the West, I would say Black Myth is a standout game that is definitely worth playing.-------------------------------------------------------------------------------------------------------------------------黑神话悟空是我接触的第一个魂类游戏，尽管很多人不愿意将其称为魂类游戏。相比于传闻中艾尔登法环和黑魂系列的操作难，我认为黑神话对于我这个魂类新手来说，是很友好的。战斗的方式非常多元化，搭配各种法术和天赋加点，经常可以化繁（难）为简。游戏里的剧情，画面和音乐都非常震撼。每一个遇到的人物/小妖/头目都拥有完善以及细致的介绍，每个章节之后的动画更是让人眼前一亮。哪怕卡在某个头目上的时候，仍然会因为希望知道后续剧情而愿意一遍又一遍的尝试/失败。无论是否有《西游记》的背景，我认为黑神话都是一款回味无穷，并且非常难得的好游戏。（尽管现在我还卡在第四章。）</t>
  </si>
  <si>
    <t>画面美术场景；音乐音效配音；演出角色怪物设计；动作打击手感；Boss战斗节奏；推荐价值判断；西游悟空符号；本国媒介路径</t>
  </si>
  <si>
    <t>CN-P-238</t>
  </si>
  <si>
    <t>2025-04-13</t>
  </si>
  <si>
    <t>这战斗系统真的暴露了游科并设有做相关动作游戏经验的缺点。最明显的就是预输入和输入窗口设计的不合理，如果玩得细心一点儿应该都能发现，黑猴的一大堆动作并设有预输入的设计，设有预输入带来了吞指令的问题，相信很多人应该都有这个情况，有时候按了喝药却设有动作，这就是固为喝药不能预输入，只有当前动作完成才会执行下一个喝药的指令，你喝药的指令是在之前的动作中输入的，固此这个喝药指令被吞掉了。当然，喝药被吞这其实不是什么大事，但切手技能被吞就很奇怪了，最典型的，搅阵如果在后腿过程中按佳直接计么动作做不出来，原地罚站，还会导致断后续的进尺和退寸。而且切手技的设计和定息存神Q矛盾了，你四段轻棍，每一段的输入时机都不一样，定息存神很容易卡到第三第四段轻棍，导致切手技没法及时放出来。同时索敌机制也是有问题的，打小白龙那一段，有多少玩家的视角被锁在一个诡异的视角导致不知道自己在哪。地图也有一些缺陷，尤其是最后一张，花果山没有明确的指引，或者说这个指引不够清晰，boss和精英怪散落在空旷的地图上，二周目就能拿到全成就的玩家少之又少，更何况市面上出现了大量的地图工具。我明白游科是在隐藏地图来增加地图的沉浸感，比如法环。但法环有一个大树来作为视觉的锚定点，黑猴是缺乏这样一个锚点的，尤其是盘丝洞，再加上大量空气墙，让玩家非常痛苦。最后是地图与奖励的不匹配。黑魂中走多远的路，大概就能拿到什么样的奖励，路越长怪越凶狠奖励越好，但黑猴不是这样的，可能走了很长的路，发现只有一个木头盒子能掀开看看，给玩家的反馈是不匹配的。但不得不说，能看到游戏制作者对游戏的用心程度和完美的制作想法，希望之后的作品能越来越好，也希望像黑猴一样的作品能越来越多</t>
  </si>
  <si>
    <t>画面美术场景；动作打击手感；Boss战斗节奏；难度挑战；锁定视角；判定反馈；地图路线；空气墙可达性；探索隐藏支线；引导迷路单线</t>
  </si>
  <si>
    <t>CN-P-239</t>
  </si>
  <si>
    <t>总的来说是不错的，支持，但是后两张略感粗糙，期待DLC</t>
  </si>
  <si>
    <t>CN-P-240</t>
  </si>
  <si>
    <t>2025-04-20</t>
  </si>
  <si>
    <t>打到五周目了，全成就了，新更新的连战也打完了。回过头来仔细回味，其实作为国内的第一个3A单机游戏来说中规中矩，如果有中评的话就不会给差评了这游戏在画面和音乐方面都算得上中上游水平，游戏的前三章都很好，后三章的质量就急剧下滑了，不管是地图、画面、剧情。就我自己而言，我是一个剧情党，玩游戏首要看剧情写得怎么样，无论它对标原著还是它的前身斗战神，其实到了后面有很多东西都是没说清楚，与前三章塑造的形象有冲突的，经不起仔细推敲，希望游科能尽快出DLC把剧情补救一下吧</t>
  </si>
  <si>
    <t>画面美术场景；音乐音效配音；地图路线；整体完成度；中国文化宗教语言审美</t>
  </si>
  <si>
    <t>CN-P-241</t>
  </si>
  <si>
    <t>2025-04-29</t>
  </si>
  <si>
    <t>全成就打卡，花果山的好好好是好玩好看好听，赶路的时候最喜欢听到“无有因”，打boss前最爱看风景，识破疯魔到去识破二郎神的狗。ps：掉落物的成就真是败笔</t>
  </si>
  <si>
    <t>画面美术场景；Boss战斗节奏；推荐价值判断；西游悟空符号</t>
  </si>
  <si>
    <t>CN-P-242</t>
  </si>
  <si>
    <t>2025-05-01</t>
  </si>
  <si>
    <t>本来想给四星的，但是转念一想这是村里第一个大学生，要求别太高。黑神话最精彩的地方有两点，一是boss战，杨戬和大圣残躯的设计放在整个游戏界都是非常优秀的，其他的大小boss也是各有亮点（除了石头一家，都是大奋）。二是文化输出，不管是游戏文案，人物台词，还是音乐和美术，都极其成功地向世界展现了中国的西游故事和佛教文化。当然这游戏也不是十全十美的，地图关卡设计还是欠缺火候，我印象里只有第三章还能看，其他地方一本道太严重了，没有探索的乐趣。然后就是制作人藏的太狠了，很多重要道具，支线任务和隐藏boss，你不看攻略根本找不到的，有点不爽。最后是第五六章，我就不多说了，纯nt设计。希望黑猴赶紧把dlc端上来，也希望中国游戏越来越好</t>
  </si>
  <si>
    <t>画面美术场景；音乐音效配音；Boss战斗节奏；地图路线；探索隐藏支线；西游悟空符号；中国文化宗教语言审美；外部资料依赖；国产3A身份期待</t>
  </si>
  <si>
    <t>CN-P-243</t>
  </si>
  <si>
    <t>2025-05-04</t>
  </si>
  <si>
    <t>我曾作为牛仔，骑马驰骋在美国西部拓荒时代。我曾化身战神，在希腊和北欧神话中大杀四方。我也当过猎魔人，双剑在手披荆斩棘中寻找妻女。我还在江户时代的日本，成为最厉害的武士忍者。我也去过遥远的交界地，从不被黄金树赐福的褪色者成为艾尔登之王。我也曾作为一个刺客，游走于文艺复兴时代的欧洲，归隐于托勒密王朝治下的古埃及。可这些年我一直都漂泊流浪在外，但这次，我终于有机会回到故乡，做一回我们的齐天大圣 ─「 黑神话：悟空」。</t>
  </si>
  <si>
    <t>CN-P-244</t>
  </si>
  <si>
    <t>2025-05-05</t>
  </si>
  <si>
    <t>将近百小时沉浸体验，最打动我的不是战斗，而是那股独一无二的中式美学：山河神怪、佛道意蕴、斑驳古意，真正做出了东方幻想世界的厚重感。</t>
  </si>
  <si>
    <t>Boss战斗节奏</t>
  </si>
  <si>
    <t>CN-P-245</t>
  </si>
  <si>
    <t>2025-05-09</t>
  </si>
  <si>
    <t>《七律·和郭沫若同志》一九六一年十一月十七日一从大地起风雷 便有精生白骨堆 僧是愚氓犹可训 妖为鬼蜮必成灾金猴奋起千钧棒 玉宇澄清万里埃 今日欢呼孙大圣 只缘妖雾又重来</t>
  </si>
  <si>
    <t>CN-P-246</t>
  </si>
  <si>
    <t>2025-05-30</t>
  </si>
  <si>
    <t>感觉游科还是急了，后面两章多打磨打磨晚个一年半载上线要好很多，希望dlc能带来惊喜吧。。不管怎么说确实翻开了国产单机新的篇章，希望后续越来越多的厂家能够投身到国产单机的开发中，让我能少吃点二游屎</t>
  </si>
  <si>
    <t>整体完成度；国产3A身份期待</t>
  </si>
  <si>
    <t>CN-N-247</t>
  </si>
  <si>
    <t>2025-06-05</t>
  </si>
  <si>
    <t>除了美术，动作。一坨✓史首先说地图，显而易见，没有小地图，全都是空气墙，明明能走非要给你里个空气墙在哪，那你让我看到的目的是什么呢？显着你地图大吗？就是非要让我在一个个地方跳来跳去才觉得你关卡隐藏的好是吗？再说说剧情，从发售前开始，全在开香槟，沙沟哔站up主一个个“剧情的50%隐藏了”，“需要多周目探索”，“年度最佳预订”。哎实机一看，多周目？有人已经一周目不戴金箍了，呵呵。至于剧情隐藏，把新手村藏起来叫剧情隐藏是吧？出了个避水珠没有龙宫叫隐藏是吧？pv有打天兵天将实机没有叫隐藏是吧？最后总结，如果不是作为zg第一个3A，抛开国家情怀，我只能给你打个6.5分，剧情没讲完，地图恶心人,说是类魂又不像魂，最后故事故事没讲好，地图地图没做好，纯纯四不像。大家也都知道你公司人不多，做的慢，可是你没做完做了个半成品你说啊，也不讲话，dlc消息也不说。一个保密协议给你嘴也封上了是吧？22号把大伙当猴耍？英伟达龙宫，IGN真金箍棒，杨琦说隐藏条件确实苛刻。那个信息不是透露着还有第三个结局，现在告诉我没有了？当然了，作为第一个国产3A我打满分，因为就算你是一坨，我也会觉得是我的味觉出了问题，毕竟我没脑子，不是吗？</t>
  </si>
  <si>
    <t>画面美术场景；动作打击手感；地图路线；空气墙可达性；探索隐藏支线；推荐价值判断；西游悟空符号；童年记忆情怀；国产3A身份期待</t>
  </si>
  <si>
    <t>CN-M-248</t>
  </si>
  <si>
    <t>2025-06-07</t>
  </si>
  <si>
    <t>混沌初开石未烂，劫灰深处火重燃。  天命加身非所愿，孤征再踏旧河山。  云栈蛇盘悬日月，黄风蚀骨裂旌幡。  黑松林暗藏妖瘴，浮屠塔倾覆玉坛。  七十二变藏真性，百千妖骸证心丹。  定海针鸣惊鬼魅，藕丝履疾破重关。  铜头铁骨雷火锻，移星换斗战正酣。  画戟劈空裂玄甲，獠牙噬月血光寒。  刀山箭树从容过，业火焚身只等闲！  莫问前路存亡劫，棒底恩仇自量攀。  神佛面覆黄金假，妖魔心藏赤子难。  六尘蔽眼嗔痴起，紧箍锁魂哭笑残。  灵根育孕源流出，打破顽空须悟空。  紫电青霜凝刃影，毫光摄魄显真颜。  八部天龙皆作障，一棒澄清万里烟。  筋斗翻云十万界，重霄踏碎凌霄砖。  残经半卷埋荒冢，谁记西行旧誓虔？  荧屏骤雨妖魔舞，十指风雷天地翻。  石心未冷热血涌，火眼重开照忠奸。  此身非佛亦非圣，棒扫浊世泪痕干。  残阳如诉英雄殁，再问苍生何日安！</t>
  </si>
  <si>
    <t>西游悟空符号；中国文化宗教语言审美</t>
  </si>
  <si>
    <t>CN-P-249</t>
  </si>
  <si>
    <t>2025-06-08</t>
  </si>
  <si>
    <t>我不谈剧情，也不聊优化，我只说游戏性。我对游戏性的部分非常失望。
——————————————————
（全成就了，更新一下评价）
1.地图设计几乎只为美术服务。做的是箱庭式的关卡设计，填充的是开放世界级的内容。
地区辨识度几乎为零，地标性建筑可以说就没有几个，到处都是一样的景色一样的建筑，盘丝洞的小宅和雷音寺的庙宇不知道复用了多少次，有能力做那么好看的风景却没能力画几个不一样的房子？。我在进游戏之前就有了解到火盆是一种引导标识，然而即使是这样在探索的过程中也免不了兜兜转转，颇有走迷宫的感觉。并且在此基础上还有空气墙。本来我对空气墙是持中立态度的：只要你地图地标有辨识度，并且空气墙的位置符合人的直觉，那我都是可以接受的。但很明显黑猴的地图并不具备这两项条件。很多时候你觉着明明应该可以走的地方却有空气墙阻挡，而许多看似无法通过的陡坡台阶却又没有，给人很强的割裂感。这个问题在第二章开始就比较影响游戏体验了，到第三章极乐谷的时候更是发展到了顶峰。对全收集玩家来说探这种图非常折磨，而对一心冲主线的玩家来说也并不能很好的找到正确的路线，可以说是两边都不讨好，只为了展示制作组的美术资产。然而这并不能提升游戏的可玩性——如果场景精美好看并且真实就可以说是好游戏的话，那么微软模拟飞行就是当之无愧的第一游戏了，是这样么？
说完美术再来说说设计，场景布置和怪物位置的搭配可以说是一言难尽。我觉得哪怕是处于3a鄙视链底端的育碧游戏，地图设计也都是可圈可点的：刺客信条里那些有树又有怪的地方，老玩家一看就知道该怎么处理了。敌人能打到你的位置，你也能打到他，这才是合理且符合直觉的设计。而这个游戏第二章就给我上了一课：他们真的敢在屋顶上放远程兵，并且是在主角没有远程攻击能力，即便使用二段跳也无法上到那个屋顶的情况。而后石中人npc的位置更是堪称一绝：在远离地面的高台放弓兵，你和npc一说话就要被打断，只能先花一分钟绕路跑上去清掉再去交互，我不觉得这种强行拉游戏流程的小把戏有何意义，它并不会给玩家多好的体验。
这里再多提一嘴浮屠界：虽然很多差评都在说这张地图有多糟糕，但就我的感受而言它在地形设计和怪物布置上并没有多么不堪，影响我游戏体验的主要是场地内血量上限减半的debuff，玩家不能从任何地方得知它的机制以及应对方法，此时再搭配上这么一个有着较高地形难度的场地从而显得恶心。
2.角色动作和装备build系统几乎毫无深度，以及战斗系统的不完善。
虽然这一条对于占总玩家比例大部分的轻度玩家来说并不能完全算是缺点，但毫无疑问这个系统能给你钻研的上限太低了。首先是棍法，中期基本可以全部解锁，棍武器1轻3重的攻击模组对于一个只需20~30小时通关的动作游戏来说未免显得有些单薄（虽然这时间里面很大一部分是花在跑图和过场cg上）。中期解锁的楮白枪武器性能断档碾压同时期的棍，拥有高贵的动作取消机制。如若搭配劈棍式的gp，对于有动作游戏经验的玩家来说完全可以在初见中后期boss的情况下仅凭反应力一命打过。然而这个在机制上对其它武器拥有代差的装备却并没有任何升级途径。游戏中唯二的另一把枪便是杨戬给的三尖两刃枪，也就是说到了终局阶段你若想玩这个机制就只能用它。然而在面对后期多周目装备的时候它仍然是被数值碾压的，也就是说要么你忍受机制低下，要么就接受面板平庸。我其实是很喜欢枪类武器的，可它就是数量太少了不足以撑起多样化的玩法，实属可惜。
至于装备build只能说是聊胜于无，看似有十余套各类功能的套装，然而实际有足够强度的只有那么三四套，剩下的都是玩具。比如同为提供增伤效果的羽士和厌火两套：前者需要搭配泡酒物+隐藏装备下毒手，并且自毒的次数还受到葫芦限制，获得的也仅仅是20%的增伤，而后者就是朴实无华的固定25%增伤，不需要搭配任何其它特定道具（也就是说它可以去搭配任意道具，法宝和泡酒物的选择更加灵活）。讲道理很少在游戏里见到这种设计：使用门槛高、资源有限，获得到的加成还不如另一套装备的无条件常驻加成。这几乎迫使着玩家只能选择制作组想让你用的那几套装备，而剩下的绝大部分装备都成了图鉴上的一抹灰尘。
另外并且比较重要的一点是：因为装备是有套装技能的，穿两件四件可以获得额外技能，然而各个套装技能里较为强力的都在4件上，所以几乎就等于直接告诉你“就穿一整套吧别想着琢磨2+2混搭了”，这样装备搭配的复杂度上限就大大降低了，然而前面我也说了这对于轻度玩家并不完全是缺点，所以见仁见智吧。
战斗系统的不完善也是影响游戏在动作方面体验的很大一部分因素，我认为最大的问题是动作后摇与姿态变化的不匹配（注意我说的不是后摇长而是不匹配）。连招之间输入窗口明显短于动作后摇，导致你几乎无法根据动作来判断角色是否仍然处于连携态，进而导致战斗决策几乎完全依赖“预判”而不是“等招然后拆招”，可以说一定程度上降低了与boss的交互性。
最后就是指令预输入的问题，我想不只有我一个玩家遇到过如下情况：翻滚动作之后立刻接续的蓄力按不出来，喝血也喝不出来，只能在没有其他键输入的情况下输入成功。如果我按下了翻滚键，并且在翻滚途中按下右键蓄力，正常来说绝大部分游戏在收到这种输入的情况都会在角色翻滚结束之后立刻蓄力是不是？然而黑猴不是，你只能在进行以上动作半秒之后意识到自己没蓄上力然后尴尬地再按一次右键。这可以说是非常影响游戏流畅战斗体验的甚至能算是一个bug，它让我感觉像在玩回合制游戏，动作只能一个一个做。
3.一些和玩家便利性有关的设定。
首先批评的是目标视角锁定功能，虽然这个功能在绝大多数情况下都是正收益的，然而总会在某些意想不到的时刻给你捣乱。例如在击杀一个目标之后，同时近处有怪远处也有怪的情况，会给你锁定到远处的怪去了，直接打乱战斗节奏让你空挥+挨打，但看在这个设定可以关，我也不多批评了。更要命的是接下来这一点：boss战期间如果boss出了锁定范围再回来，会自动激活视角锁定。在打某些大体型boss的时候是非常要命的，首先引爆这个问题的就是亢金龙，它放落雷的时候总在可锁定范围的边界徘徊，然后稍微一动就强制进锁定+拉镜头，再配合地上的落雷，如果没有这个拉视角的情况的话落雷是非常好躲的，然而这俩组合在一起就组成了如此恶心的一个设定。并且这个强制进锁定拉镜头是无法在设置里关掉的！我把设置里所有跟锁定有关意思的选项都关了仍然没用，只能说不得不品。
其次：死亡不掉资源，回城免费洗点这些都是好评的部分，然而你们不觉得那个技能树想调整一下是非常麻烦的事吗？技能只能升级不能降级，你要是点错了一下或者想微调，再或者是卡了某个boss想切换流派试试其他玩法，那就只能慢慢往上点了，不能做个保存天赋页然后在家可以直接切换？不只是技能，装备、法宝以及酒都应该有这么一套保存配装然后快速切换的设计。
不是每个boss前都有存档点这个事我认了，但是能不能有个暂停快速读档的功能？我觉得这对于刷片玩家来说是很重要的，毕竟谁都不想被一点失误弄得就要多跑图半分钟一分钟。另外第二章石先锋boss是不是有bug，每一次见面都有开场cg，别的boss见一次就跳过cg直接站在那儿了。还是说制作组就觉得没有人会在这里死所以没测试到这点？
说到cg还有一点我不能忍的就是boss转阶段的cg，有些不能跳过也就算了，有些居然还和投技绑定在一起，什么意思，强行不让玩家无伤？小雷音寺墙壁上那场boss战着实是把我恶心到了，想转阶段就必须吃一个投技，你觉得这样很有趣？
另外，游戏流程内除了过场cg以外没有任何引导指示玩家下一步要去哪里做任务，我自己在打第三章苦海北岸的时候，因为打完boss进cg的时候看了手机回了一下消息，回来发现直接找不到目标，根本不知道下一步要去哪里要做什么，把整个苦海逛了个便总算找到了乌龟眼泪得以继续流程。你在游戏ui里不给目标无所谓，esc菜单里能不能放一句话指示一下？合着玩你们的游戏就得cg一秒不跳的看完不然没法玩呗？
4.大石敢当。
游戏里除了它之外的绝大部分boss，战斗体验我都可以给到至少9分以上。个别几个例如前期的虎先锋、后期的夜叉王以及终局的杨戬、大圣更是可以给到满分。然而大石敢当这一个boss我必须单独开一点讲，只有这一个boss我觉得是极其离谱的。它简直不像是动作游戏里的boss，更像是网游里的——极长的表演期加上极短的输出期，并且还对站位有要求：你站中间打不到它的手，它手的落点就那么点位置，你站两边没法躲砸地波不说，等到了输出期你还没跑到位置直接就过去了，让你再看它表演一分钟，再加上前面提到的强制锁视角，没错，它的手是锁定点，每一次挥手就是抓着你脖子扭180度。没体验过的可以想象一下怪猎世界的导虫拽视角，而且在这里还更离谱，至少怪猎打怪的时候不会拽你视角而且设置里可以关。这个boss扭你脖子也就算了它一边拽着视角另一只手直接砸地让你跳绳躲波，又不让你看攻击来的位置又要你躲，提升难度是你这么设计的？然后它表演完直接砸地上进输出期不动让你打，好家伙原来我是在玩单人raid呀，动作游戏boss的交互感可以说在这个boss身上几乎没有，可以说它凭借一己之力拉低了整个游戏的boss设计水平。我真想问问那些打好评的玩家有没有体验过这个boss？
——————————————————
已经全成就了，个人总体评价8分，虽然这个分数是不至于给差评的，但我感觉制作组就像是用力使错了地方。它的音乐和美术确实是无与伦比的，但是其身为游戏本身的问题还是太多了，只能说差强人意，这篇以后可能会改成好评或者删掉吧，单纯只是打完游戏心里有太多想法了才写点东西。不管怎样毕竟是全价支持的国产游戏，该吃还是要吃的。对我来说“支持”从来就不是无脑捧无脑夸，而是要正视缺点，让他们在之后的作品中得以做得更好。我是6月8号开放预售当天就入的豪华版，820当天更是爆肝近20个小时。但是当狂热褪去之后，游戏显露出来的问题让我无法无视，作为一名普通玩家，我能做的事也只是提出这些存在的问题罢了。还是希望国产游戏的未来能越来越好吧，这也算是开了个好头。</t>
  </si>
  <si>
    <t>画面美术场景；音乐音效配音；演出角色怪物设计；动作打击手感；Boss战斗节奏；难度挑战；锁定视角；地图路线；空气墙可达性；探索隐藏支线；引导迷路单线；优化帧率；Bug兼容硬件；整体完成度；推荐价值判断；西游悟空符号；国产3A身份期待</t>
  </si>
  <si>
    <t>CN-N-250</t>
  </si>
  <si>
    <t>2025-06-11</t>
  </si>
  <si>
    <t>这是我工作几年后唯一通关的游戏。装了些MOD——切手技优化、100%掉宝率。像给老花眼配了副眼镜，只为看清年少时错过的风景。游戏很好。金箍棒劈开黄风岭的沙暴时，我听见了自己二十岁的心跳。可越往后走，脚步越沉。筋斗云那关，空荡荡的云雾里只剩赶路的疲惫。最终停在二郎神殿前，手柄搁在积灰的显示器旁，再没拿起来。为何不打二周目呢。我盯着库里的《黑神话》，突然想起去年整理旧物，在老婆大学相册里看到空白页。她轻描淡写：“那时候总觉得以后有的是时间拍照。”原以为男人的遗憾是显卡跑不动新游戏，现在才懂，是4090的光追照不进三十岁的黄昏。少年时翻墙逃课打通《仙剑》的精力，早被地铁通勤碾成粉末；曾经为隐藏BOSS反复练习的耐心，如今在短视频十五秒切换里消磨殆尽。没打完的二郎神，像极了老婆衣柜里没拆封的旗袍。我们都在最好的年纪，误以为青春是取之不尽的点数。——致所有还能为游戏熬夜的年轻人：趁教室后窗的阳光还没移走，趁BOSS战的配乐仍在血液里燃烧。去通关，去拍照，去失败一百次。有些战斗，错过就是永远；有些美丽，过期不作保存。</t>
  </si>
  <si>
    <t>画面美术场景；音乐音效配音；动作打击手感；Boss战斗节奏；探索隐藏支线；优化帧率；Bug兼容硬件；西游悟空符号；童年记忆情怀</t>
  </si>
  <si>
    <t>CN-P-251</t>
  </si>
  <si>
    <t xml:space="preserve"> 78.5 小时</t>
  </si>
  <si>
    <t>“若不披上这件袈裟 众生又怎知我尘缘已断、金海尽干”游戏中的这一句话真的是直击心灵，曾几何时我还在游戏业里摸爬滚打的时候，看到国内网络游戏 手游赚取了远超一般3A大作的利润，我一度认为国内游戏业似乎永远也不需要3A游戏了，然而就像金池长老的袈裟一样，有时候这是一种枷锁，有时候却也是一种动力。如今的中国游戏业的利润产出冠绝全球，但是依然缺的就是这么一件“袈裟”，有了它，世界才会关注到中国游戏业是一股不可忽视的力量。《黑神话悟空》做到了，它成了这一件袈裟，不管它让多少人欣喜或者破防，它就是今年最大的话题之作，直接荣登3A大作之列，也终于轮到让老外们开始费尽心思去理解我们从小耳熟能详的故事了。纵观整个游戏，最大的感受就是“完整”，系统设计、画面、音效、动作、关卡剧情各方面都可以说达到了一个很均衡的状态，大家所诟病的一些瑕疵诸如空气墙、一些粪怪BOSS、稍显仓促的结局，其实都可以归为经验不足，但它的基底是优秀的，不然花费70多小时去打全成就，就会成为一件煎熬的事情，而《黑神话》显然还没有到让人煎熬的程度。游戏的第一章引导的很棒，充满神秘感，并且由于完整的复现了当初预告片中的部分初见内容，可以说是一开场就让玩家吃下了定心丸，至少我认为整章玩完，让我相信游科没有拿预告骗人。第二章，则是完成度最高的一章，影神图、对话、场景、关卡设计结合的很好，特别是打完国王父子后的两条分叉路，设计的很绝，因为两条路都能完整的形成一条闭环并在同一个地方收尾，同时这也是除开第一章以外唯一一章我通过自行发掘线索做完所有任务的地图，疯虎线只要认真读了影神图就应该能有头绪。第三章则是内容过多且中间插入了一个箱庭地图导致整体体验比较割裂和受罪，但是最后的动画直接让第三章的立意封神。第四章在剧情上稍微有些失望，因为第四章的剧情是之前的预告片里被讨论与深挖的最多的剧情点，实际剧情却很简略，略微对不起期待。第五章就太短了，可以感到制作组已经有些力不从心，很勉强的完成了剧情。第六章则是已经到了团队能力的极限了，筋斗云是个设计团队与玩家都觉得很酷的设定，但是使用筋斗云在地图上飞奔的体验很难做出有效引导，并且伴随严重的性能问题，体验不算太好，该章节的部分BOSS也是读指令有点太明显了。不过瑕不掩瑜，游戏在初见的30 40小时以内已经给到了足够的刺激，这一点已经很难得了。很多人认为游戏有点魂系，但我认为不是，它的内核和魂系完全不同，它不筛选玩家，天命人的技能和各种装备以及没有死亡惩罚，足以让玩家开发出各种打法来应对BOSS，强力玩家自然可以挑战自我，手残玩家也不必勉强，游戏系统鼓励你逃课，相比预告片，游戏的难度已经下降了很多了，这种为了让更多的玩家体验完整游戏的做法值得点赞。游戏里面基本上很少有数值怪或者换皮怪，基本上能够一直保持新鲜感，难度适中，大部分敌人稍微打几次就能摸清套路，当然游戏里依然有好几个精心设计的BOSS是成心不让你快速过的，但这些BOSS的设计本身就非常值得去挑战一下，它们的难不在数值，而是真正的招数变化，即便是背板也需要大量的练习才能打好。哪怕读指令也不是硬读，而是提醒你不要想着轮椅，比如大圣残躯一旦被控，你要是围观或者在旁边蓄力，他就会闪身过来，实际上是逼迫你短兵相接。杨戬则是如果不锁定他想着偷一个重棍，他也不会耍赖提前丢枪。这几个高难度BOSS都是在激励你大开大合的与之正面硬打，表现力、击破后的成就感都很爆棚。最后说点题外话，很高兴看到国产3A一战成名，“国产游戏”这个让人又爱又恨的免死金牌，也在当下永远的被撤去了，因为黑猴的存在，国产游戏将与对应的竞品直接对决而不再有任何情怀加成，毕竟已经有人证明了国人能够做出优秀的作品，往后的来者，做不好就是做不好，没人会国产游戏降低标准了，这也算是一个可期待的开端吧！</t>
  </si>
  <si>
    <t>画面美术场景；音乐音效配音；演出角色怪物设计；动作打击手感；Boss战斗节奏；难度挑战；锁定视角；地图路线；空气墙可达性；引导迷路单线；优化帧率；整体完成度；推荐价值判断；西游悟空符号；童年记忆情怀；本国媒介路径；国产3A身份期待</t>
  </si>
  <si>
    <t>CN-P-252</t>
  </si>
  <si>
    <t>2025-06-14</t>
  </si>
  <si>
    <t>整个游戏给我的感觉就是震撼，确实不错，希望早点发布DLC</t>
  </si>
  <si>
    <t>CN-P-253</t>
  </si>
  <si>
    <t xml:space="preserve"> 58.2 小时</t>
  </si>
  <si>
    <t>2025-09-05</t>
  </si>
  <si>
    <t>我打动作游戏一直很菜，340ms的反应时天生没救，脑子反应的过来手反应不过来。但是黑神话这种可以和敌人见招拆招的策略是真的优秀。9.5h，我只打完了黑风山，我看着关底的动画和影神图哭了，就掉了几滴泪，我这一次是绝对的原作党，而我是原作党的理由是我的国籍。我是一个探索型玩家，黑神话藏的东西让我很喜欢，给人的体验感很强，但是你们的地图设计是真的糟糕，就黑风山而言，到处都是看起来能走实际上不能走的地方，但是这一切瑕不掩瑜。我原来并不看好黑神话，从我的游玩思路就能看出来我不喜欢boss rush游戏，但是此时此刻，我对这个游戏的评价只有两个字，齐天。以上，是本人初见的评价，目前刚打完王灵官跑了一段图，我觉得有必要更改一下我的判断了。我打到现在错过的只有6个精魄，个位数的泡酒物，袁守诚哪里换的最后一个葫芦和三个珍宝，其余的应该是齐了。第一章，我愿意给88分，不好不坏的一本道地图设计，由浅及深的剧情脉络，种类丰富的boss战，以及持续到第四章一直很优秀的美术，黑神话的美术绝对是世界一流，极具辨识度和美感，同样给我留下如此印象的还有prey和bioshock。第一章的隐藏内容做的相比于后三章差了一些，但是整体上还是很优秀的。而这个游戏的问题也是在第一章显现的，到处都是的空气墙，自以为是的“弱”引导，锁定乖张的体型怪，这些问题在后面更加严重。第二章，我愿意给100分，第二章地图的设计有了一点起伏，但是整体上还是平庸。沙口村的设计还算是可以，沙国王父子的双人boss战确是优秀，黑神话的双人boss战设计并不是把两个削弱一点的单人boss放在一起，而是放入两个互有配合的boss。由这个boss战引出的沙二郎精魄和四渎龙神支线的隐藏的设计很优秀，在其后的石敢当石先锋斗蛐蛐和音游大师小骊龙也很有特色。黄袍员外的时间穿越沙国支线和井中疯虎与其他支线的联动属实是巧妙，虎先锋一家就是玩家的识破导师。而黄风大王的设计相比于其他boss也不逊色。最重要的是如此短小的第二章是衔接前后章节的一个重点要素。第三章，我愿意给95分，这也是游戏长短板分化的开始，优秀的美术还是那么优秀，不行的跑图和锁定还是那么拉跨。亢金龙和魔将妙音的锁定和体积绝对是有问题的，亢金龙只有头脚尾可以打，魔将妙音全程修脚，只能倒地一波清。浮屠界的设计是真的没学好的全学坏的了，优秀的捷径锁钥不学，净去学什么吊桥弓手和扑街怪，浮屠界看似是有四层的地图设计，实际上拉成一条直线看就很平庸，只有少数的跳跃收集点，妙音唱电音的时候更是离谱，因为本人并不长打动作类，所以直接全程隐身跳过直接找妙音了，也因此错过了一个图鉴，一个珍玩，一个精魄。浮屠界之后的地图更是乏善可陈，本人找路能力极强，所以没迷过路，正因为如此被这处处画圈的跑图设计气乐了，但是制作组很聪明，在乏善可陈的箱庭中放入大量boss和收集要素，来减弱跑图空虚的问题，也算是扬长避短了。在雷音寺外的支线并不如第三章吸引人，但是足够丰富，也算是无功无过。进入小雷音寺后，我只能可惜了这优秀的美术，疲于奔命的跑图，离谱的堆怪，但是本身雷音寺隐藏要素不多，再加上演出很优秀的黄眉boss战，这一切就不重要了。当然，最重要的还是八戒，确实能逗人开心。第四章，我愿意给92分，主要扣分扣在了粪到极致的百眼魔君，屁股下面是空气墙，腿上还有空气墙，空气墙不一定是游科的爹，但肯定是百眼魔君的爹。还有一个原因是本人在生理上有点讨厌蜘蛛，并且讨厌在游戏里和蜘蛛战斗，这种只会后退和远程的怪物属实是难受。第四章优秀的是比前几章有所提升的地图设计，虽然还是线性，地图也不如小西天大，但是整体有了一些层次感，虽然还是说不上优秀吧。盘丝洞内部隐藏要素和小怪的分布要合理很多，但是不碍着有一些欺负猴子没升龙的空中怪恶心人。最最震撼的还是紫云山，不仅是隐藏了一张地图的大度，还有毒敌大王和晦月魔君交互感不错的设计，但是这些交互感有一点被锁定拉了后腿，我唯一想吐槽的是为什么糜道人的剧情道具要刷而不是固定掉落？我整整刷了三圈才出。小黄龙读切手本人太菜打不过，直接戳棍跳了，然后我就用无敌的小黄龙教训了两次寅虎。第五章，我只能给70分，看出来没钱了，真没钱了，地图设计回到了第一章的水平，boss战要强很多，几辆车的设计有点幽默，全是三蓄腐乳。三组双人boss战确实是有意思，一攻一辅，一远一近，一左一右，大滚球路的设计很好玩，很喜欢把拦在路上的小怪送到铁球下面。火焰山土地的设计实在是太美了，不仅为马哥线作结，还有阴阳鱼这个机制特别有意思的boss，真的是阴阳鱼。碧眼金睛兽是真的离谱，和疯狗一样，碧水洞线性到不能再线性地图属实是搞笑，没钱了也是没办法。红孩儿没什么难度，但是夜叉王属实是离谱，但是还是韧性太差，搅阵有办法治他剩下的就交给闪了。第六章，我只开了一个头，但是我不想给一分，首先是优化明显变差，跑图直接变成了瞎猫乱撞，没有一点道路你就弄地标啊，花果山这么大地儿你直接当成开放世界做得了，确实与几个boss地表，但是整体聊胜于无，只能自己飞高了拿眼睛找大面积空地儿，属实是幽默。boss设计，搞笑。夜叉王我打了30+，小黄龙我是45次放弃开戳棍逃课的，但是王灵官我一点不想打，猴子什么机动？什么对空？什么韧性，你王灵官什么机动，对空，韧性？就搞笑，那只金角犀的体积肯定有问题角的碰撞快半个头了，我在身后轻棍打他都能碰到，而且第六章这的有美术吗？这8分真的不白给。提一嘴战斗，目前所有战斗流派攻略的主流都是满蓄轮椅，这就说明这个游戏切手技的收益是远低于三蓄一击的。原因如下一，所有切手技都需要轻击垫步来打出，不能直接打出。二，轻击后输入重击的时机不能发生于轻击快结束时，只能发生于结束后，通俗来说就是打架出完拳之后才能开始思考要踢腿，这显然不符合常识。三，动作取消少，游戏存在对轻击一二五段的闪避取消，但是不存在对他们的重击取消，也就是说大部分情况下切手技打不出无敌状态只能是换血。四，三四段轻击时间长，几乎无法打出无敌的切手技，只能换血。五，纯轻击接切手收益低，不如满蓄伤害高，不如满蓄容易打出硬直满蓄打出硬直就可以为下一套满蓄备东西了。六，除戳棍外，其他棍法完美的切手对体力消耗大，不适合长期作战，不如满蓄一击。七，对面会读切手的boss比读蓄力的多，别问，问就是小黄龙和寅虎弹的。轮椅之所以叫轮椅不仅是因为他伤害高，还因为他好用，消耗少，无论什么阶段的人都能学会，比起当一个健全的普通人，还是当一个上轮椅的高位截瘫吧。</t>
  </si>
  <si>
    <t>画面美术场景；演出角色怪物设计；动作打击手感；Boss战斗节奏；难度挑战；锁定视角；判定反馈；地图路线；空气墙可达性；探索隐藏支线；引导迷路单线；优化帧率；整体完成度；推荐价值判断；西游悟空符号；本国媒介路径；中国文化宗教语言审美；外部资料依赖</t>
  </si>
  <si>
    <t>CN-P-254</t>
  </si>
  <si>
    <t xml:space="preserve"> 96.7 小时</t>
  </si>
  <si>
    <t>很好玩！Def game of the Year！同时想给制作组提一点小小建议：1.添加游戏内地图：地图设计存在一些瑕疵，某些场景高度相似缺少好的参照物，游戏内地图能节省很多不必要的跑图时间。与许多兄弟交流中发现好多人都在用非官方的地图插件，但官方完全可以出自己的游戏内置地图来提升游戏体验。2.手柄支持游戏内改键：左摇杆没啥用，但是法宝必须要按下左摇杆+RT，经常在战斗关键时刻中按不出来（不习惯）。3.对影响战斗的UI自定义：棍势和体力条一左一右，对大屏幕玩家不友好，希望可以多一个选项放在同一侧显示。4.希望出一个BOSS重复挑战模式：也许还能出一个BOSS挑战竞速（hh）和留言条etc。</t>
  </si>
  <si>
    <t>画面美术场景；Boss战斗节奏；难度挑战；地图路线；探索隐藏支线；推荐价值判断</t>
  </si>
  <si>
    <t>CN-N-255</t>
  </si>
  <si>
    <t xml:space="preserve"> 39.7 小时</t>
  </si>
  <si>
    <t>求求你赶紧重做一下锁定视角修正吧，摄像机一整个大迟钝，百岁老人落枕以后往反方向转头都比你的镜头快，boss都飞镜头外又飞回来了你那个b镜头还在锁上一个动作；要么就是贴身视角锁一个非常固定的垃圾位置明明hitbox就在范围里非要给你回正到某个点位；要么就是给你把摄像机塞肚子里埋土里仰望星空，天命人是有什么严重的颈椎疾病不能回头吗边玩边记：好评的地方：篝火上香的设计很妙；英配翻译直接用yaoguai很好；音乐很好、美术很好；很喜欢每一章结尾的动画片，也很喜欢绘卷展开讲故事；随时洗点洗药大好评，解决了很多人开荒盲build的痛点，大坏大破烂的地方：字幕太小了我一个中国人我看得都难受、别说外国人了；天命人一点韧性都没有走过路过一条狗一个泥巴人都能给你平A拍出僵直了，与此同时连脆如纸的泥巴人的攻击居然有高贵的霸体；锁定视角修正大破烂做的像颈椎疾病一样； 道具使用反馈做得很差，比如喝药你也不知道喝没喝上，49%的可能没喝上，49%的可能喝了两瓶，剩下2%的可能是正好喝上了一瓶，重击蓄力不知道自己续没续上，发现没续上的时候才发现没续上（这不是一句废话！），预输入做的有问题，不是完全没有预输入但是单纯做的有问题；某些boss很粪而且完全没必要那么做，尤其是一些机制怪；还有些hitbox谜之判定比如打到了但是没达到以及没被打到但是被打到了，感觉偷懒了。浮屠塔这张图做得很不好（首先申明我并不是因为跑图破防，也并不是此地无银三百两、我自始至终觉得这游戏根本谈不上迷路，跟锁妖塔、神魔之井、三外问路篇比那都是小巫见大巫，而且我都是先跑上顶打了妙音再返回来探索所以没有受苦，但这张图确实做的有很多问题），不是说简单或者难，是单纯设计上的大失败，很没意思很不好玩，妙妙屋减血机制是很有意思，最开始也觉得配上bgm和特效很有感觉，但是浮屠塔整个part的长度不合理，主干道里外还是两条路，牢房里面箱子给破烂，光影有问题里面太黑但是又不像魂系列收集物是光点，导致里面有没有箱子根本看不清楚，配上前面说的失败摄像头，外面还放了几个故意学宫崎英高的怪，但是要知道环里面首先踹你下去摔死的怪是不会以这种方式出现的，其次所有潜伏的怪在能锁定的前提主角是有远程攻击手段的，第三在一些会掉下去但可以接住的地方你又配上你的妙妙屋半血把人摔死是很容易让人觉得难以接受的，但你说哦那你用隐身过不就好了，这就和有些boss的设计一样你非要说拿法宝打就好了但这有一种教人玩游戏的感觉，像这种明明玩家可以选但你偏要软性没收的设计不要那么多比较好。这一part删掉一半左右都可以，本来风景很丑又黑又红给人很压抑的感觉再加上扣血再配上你觉得很有意思的怪物，时间长了玩家会鬼火冒只想快点草草过掉这一段于是放弃探索，这是很失败的设计。关键是也没有什么东西，it's just no fun at all！上下层可以保留但是完全没必要两层之间给那么长的流程，走个演出效果到雪山明明是一个很不错的气氛转换， 结果马上就是超级大怪加超级小脚加超级破烂camera加超级莫名其妙激光网游演出，这些一个一个都没有很坏但是全部加在一起就很蠢，在游戏的前中篇，尤其是渐入佳境的时候突然强制让人吃下这样依托答辩显然是不高明的。其他地方：迷路这个我个人觉得还好吧，小地图肯定是没有必要，做出来太丑了太影响画面了，但是可以做个像法环那样的方向轴让大家分得清东南西北就好了，或者做一个相对糊弄的展开地图，不用把路都画清楚（其实纵向也画不清楚）但是指示一些大致的地点；剧情上改编的不是不能接受，但是比较讨厌火焰山那一整段剧情，看了很难受，红孩儿像个大脑瘫，铁扇和老牛也塑造得不好，完全就是超级大ooc，看完剧情只会觉得他们惨，心里很膈应；而且有些怪非要杀的动机没有，boss rush又不是无脑战斗爽，有些打完了也没有得到很好的解释，比如从剧情上来说天命人为什么杀四渎，总不能是因为它先打我所以我就得给它打死吧，非要说什么是它们的命运我觉得根本解释不通，类似这样完全毫无冲突的boss还有很多，稍微细想就很难受；另外就白骨精谈恋爱这件小事来说，从情感上来说我很不喜欢，因为三打白骨精那一段孙悟空被唐僧撵走是很难受很委屈很气愤的，从剧本设计上，我也完全看不到非要这么带一句的理由，完全就是画蛇添足，我不知道是不是游科觉得这是一个自家小彩蛋提一嘴，实际上就是挺恶心人的，而且谈恋爱不是不可以，猪八戒那个动画片就很感人，但是前提也是猪八戒确实就很容易对女色动心所以谈就谈吧，但是你非要让孙悟空谈恋爱确实有点莫名其妙，而且讲道理这个设定也没有任何推动游戏发展的地方，不懂这样做的道理，你要是真写一个惊天地泣鬼神的爱情故事也就算了，没头没尾加一句这不是给人喂答辩吗；其他什么阴谋论的天庭系统的剧情我觉得虽然有瑕疵写得不完整，但是不能说完全接受不了；开局CG对话有点cringe；另外就是有些怪物的招式模组太像某些游戏里面的某些怪了；手柄适配做得很不好，比如法宝的默认键位很不好按，相对来说键鼠就简单很多，这个我都不知道为什么会做成这样，抄一套也不至于；优化有问题，很多地方掉帧很严重；有些boss的动作设计不合理，从抬手到出招中间没有该有的过程帧；还有一些其他的场景设计问题例如引导和空气墙，我个人感觉无伤大雅就不写了。游戏外的话就感觉游科的营销确实有手段，热度一直维持却都是争议话题不用下场，很精明。另外几个贴素材的事情实在不是很好。。总而言之并非无瑕之作，游科也不太会藏拙，头铁未必是坏事，知道短板以后再精进；文化输出功大于过，虽然非要说是有点乱编胡说，但是能让人对其有所认知已经是很好的开始了，也许就会有更多的人去认真了解；而游戏本身能做到这个程度已经是远超出我的预期了，推荐给出，希望再接再厉。</t>
  </si>
  <si>
    <t>画面美术场景；音乐音效配音；演出角色怪物设计；动作打击手感；Boss战斗节奏；难度挑战；锁定视角；判定反馈；地图路线；空气墙可达性；探索隐藏支线；引导迷路单线；优化帧率；推荐价值判断；西游悟空符号；本国媒介路径；中国文化宗教语言审美；角色期待意义偏移；国产3A身份期待</t>
  </si>
  <si>
    <t>CN-P-256</t>
  </si>
  <si>
    <t xml:space="preserve"> 64.5 小时</t>
  </si>
  <si>
    <t>通关。
首先恭喜游戏科学的这一份答卷取得了傲人成绩。
在不剧透的情况下，谈一谈琐碎感想，想到哪写到哪，没什么逻辑。
剧情
剧情上以西游记为基础，继承了大话西游、悟空传和斗战神的部分故事背景设定，也因为版权之类的问题，大抵是有一些出入的地方。主题是西游的黑暗面（比如原著很多人就有疑惑，为什么越是靠近灵山，妖魔鬼怪就越多，就越是尸山血海血流成河）和大圣不屈的抗争，虽然有不少人觉得不满，认为猴哥已经功德圆满成佛做祖，改编不是乱编，细说不是胡说，故事不该如此，不过我想为了游戏性，为了让给大圣一个再次举起金箍棒闹他一闹的理由，这么安排也无可厚非，否则斗战胜佛在漫天神佛的加持下一路平推，似是少了些趣味。点名表扬每章结束后的小动画，真的太棒了，即便有些章节的故事编排不那么尽如人意，就比如第五章，我只能说，快跑，有牛！
说到悟空传，多少人中二病时期的终极幻想啊，“我要这天，再遮不住我眼，要这地，再埋不了我心，要这众生，都明白我意，要那诸佛，都烟消云散！”，我是悟空传、西游日记一路读过来，斗战神也玩到白骨夫人（当初宣传其实也是白骨之后，重走西游，毕竟斗战神白骨夫人之后因为产能不足肉眼可见的烂了，而当年可没有赛季这种东西），当年万妖集结的PV看的叫人热血沸腾，半面妆也一直在我的歌单里，兴许是年纪大了，现在看来未免有些中二。
战斗
战斗的完成度相当高，攒豆重击这套系统也是沿袭自斗战神灵猴的设计，甚至动作也一样，三种棍式搭配法术精魄化身能玩出很多花样，劈棍识破刚正面，立棍躲地面技，戳棍远程狙击各有特色，各有擅长应对的BOSS，化身也是各有特色和可应对不同的场景（黑神话悟空？黑神话广智！），法术可选不多但都相当实用，法宝更多是对关底和特定BOSS特攻就不多说了，横向对比战神法环，没有战神丰富的武器动作派生和依据场景实时切换武器以及大魄力处决，也没有法环海量的武器库法术库以及玩法BD，但是这套战斗系统随着游戏进程的推进其实缺乏足够深度，到了中期加点就变成单纯数值的加强，套路也愈发单一，很多BOSS战就变得缺乏交互，突出一个各打各的，开法术直接伤害灌死，实在令人失望。
BOSS设计叫我怎么说呢，优秀的不是没有，粪也是真的粪，很多BOSS飞天遁地长时间技能演出和我大眼瞪小眼就不提了，但是部分BOSS碰撞盒做太大让我致命空棍可太让人血压飙升了，还有更多是因为数值成长变得无趣的BOSS战，不过演出是真的好，一些BOSS还会因为你使用不同技能做出不同战斗应对或者说出不同台词。
总的来说，战斗差强人意。
地图
地图设计是真的稚嫩。先不说有没有地图吧，这是一个仁者见仁的问题，但我是真的迷路了，场景虽然美轮美奂，但是相同篇章里场景真的很相似，如果不是特意去记，指定得迷路，尤其很多岔路口还藏的特别隐蔽，根本找不到，还有部分场景对宫崎老贼的拙劣模仿就不多说了，感觉比老贼还故意膈应人，看人家老贼的设计，明明看起来很多条路，但是实际上只有一条路，最后走到关底在通过一个简单的机关之类把地图整个联通起来，唉，画虎不成反类犬。另外空气墙为美术让路我能理解，但是很多空气墙做的太反直觉，明明面前是一个平台而自己只能顶着空气原地跑步，太出戏非常影响游戏体验，在第二第三章尤其明显。同时场景也相当缺乏互动，应该是只有推门和钻洞，毕竟没有搞攀爬系统，第一次感觉猴哥竟是如此不便。
建立在实景扫描上的地图场景的确很美，但是地图设计也真的不大行。
其他
音乐，满昏，要情怀有情怀（云宫迅音），要传统有传统（陕北说书），要现代有现代（勿听），要创新有创新（往生咒）。
美术，建立在实景扫描和从斗战神开始积累下来的美术确实顶级，只可惜为了呈现效果不少东西做了让步。
配音，已经超越2077荣升为我心目中第一国配游戏，毕竟游戏简中才是默认语言。
角色建模，惊艳，妖有妖相，我对西游有情怀但不是86西游原教旨主义者，很多妖怪建模身上的那种异常感太符合我的想象了，女角色更是各有各的美，而不是那种古偶网红整容复制人。
节奏
游戏爆火的同时也引起了很多节奏，我无意多谈。我一向认为玩游戏，尤其是单机游戏，是一件很私人的事情，喜欢就玩，不喜欢就不玩。你喜欢，可以安利，但不是非要按着不喜欢的人也一定要说喜欢，你不喜欢，不关注就行了，不是非要拦着喜欢的人不要去玩。一款游戏不是说非要做到完美，也做不到完美，我也会抓着手柄玩的很上头，放下手柄开始骂街设计师不当人。关注游戏本身就好，这也是游戏科学自己所倡导的。
一周目错过不少东西，准备做全成就，开启二周目多了不少强力装备，又是另一番体验，这回真的是大圣归来了。
大圣，此去为何？
踏南天，碎凌霄。
若一去不返？
便一去不返。</t>
  </si>
  <si>
    <t>画面美术场景；音乐音效配音；演出角色怪物设计；动作打击手感；Boss战斗节奏；难度挑战；判定反馈；地图路线；空气墙可达性；引导迷路单线；整体完成度；推荐价值判断；西游悟空符号；童年记忆情怀；本国媒介路径；中国文化宗教语言审美；原典知识人物关系专名；角色期待意义偏移</t>
  </si>
  <si>
    <t>CN-P-257</t>
  </si>
  <si>
    <t xml:space="preserve"> 81.9 小时</t>
  </si>
  <si>
    <t>一次痛快的体验！只记得一周目打完了，直接就开了二周目，到目前为止，这五十多个小时的体验，真的挺感动的。第一章的时候,玩家游玩的过程是比较常见的ARPG过程，没什么很让人恶心的地方，不过体验了完整的第一章之后，相信各位玩家就可以笃定，只要游戏后面的章节保持住了这个水平，“黑神话”肯定就能取得世界游戏史上的一次空前的成功。毕竟，他给全世界玩家带来一种新鲜感，“黑神话”在世界范围内的成功，让全世界人意识到了，游戏背景可以不再是千篇一律的，可以不是乔治·A·罗梅罗作品中的丧尸背景，；可以不再是大家已经写烂了的各种神话——北欧神话，希腊神话，罗马神话；可以不是各种西方世界想象中的埃及，印加背景；也可以不是大多数中国人都不甚了解的新教、东正、伊斯兰；可以不是波澜壮阔的美国西部开拓史；可以不是惨绝人寰世界大战；也可以不是阿西莫夫、克拉克、海因莱因笔下令人浮想联翩的科幻题材；可以不是从托尔金、罗伯特·乔丹、乔治·马丁、C.S.刘易斯、J.K.罗琳笔下的西方奇幻世界；可以不是日本印象的武士、忍者，以上举的这些例子，说都说不完，但是黑神话跳脱出了以上的列举的范围，他开辟了一片全新的天地，让部分老外见到了一个有五千年底蕴国家的文化软实力，“黑神话”的美术真的是没得说，中国人太熟悉了，一款能让中国玩家颅内高潮的游戏，它有着完完全全、地地道道的中国味道，能让部分对大陆心有芥蒂的台湾网友都直呼不错。第二章有点初见端倪了，宫崎英高的味道来了，但是就一点点，仅止于墙后藏小怪，毕竟黑神话这个游戏还是比较简单的，“黑神话”确实不是魂，因为前面比魂简单太多了（虽然我魂游玩得不多，但我也有这个感觉），后面技能点多了，打起来更简单，而且你能随时洗点，对不同的BOSS采取不同的应对手段，当然我所有的怪都是用劈棍打的，因为劈棍就够了，而且第二章藏的小惊喜还不少，当时我以为这就是游戏科学的游戏设计模式了，一个鼓励玩家探索的出色的动作冒险游戏。结果到了第三章，一股子有点搞的感觉就来了，我感受到了恶意，比方说是近战配远程，或者不知道哪里会跳出来阴你一下的小怪，前面这些都是开胃小菜，也不算什么，但是掌灯狱使，这玩意时不时地出来，导致我打魔将·莲眼的时候被弹幕干死了几次，有点无语了，而且雪地的这种地图吧，还得好好优化。第四章盘丝洞，绕得我这个初见的小白死去活来的，这时，才想起这是一个2024年的没有地图的游戏，其实这也没什么，没有地图也影响不大，但是有些寻路苦手肯定受不了，有地图也就是游戏体验更好吧，这一章有一个BOSS我还有点印象——毒敌大王，好像为了他专门搞了一套加毒抗的披挂，那天我才发现玲珑内丹可以刷。第五章火焰山没什么好讲的，很线性的一张图，唯一的槽点可能是秒杀大铁球，我感觉吧，这个环节是不必要的，并且由于黑神话美术先行的特点，游戏内感觉躲藏指引并不明显，撞死了我好次啊，远超于打小黄龙，毒敌大王的次数。第六章的时候，游戏科学把不会做大型怪的缺点暴露无疑，当然，前面的章节就很能体验到了，大怪身上的空气墙让你打不着，而且倏忽漂移的锁定位置，让你感觉还不如不锁定，不过前面的一些大型怪，玩家可以通过三段重击、拖刀计什么的解决，可能有的还不如一些小型的，有很多特效，会对玩家的电脑造成掉帧攻击的BOSS，但是这一章的就不一样了，你没有四个点你就别想了，有四个点你可能都打不着，三个点你就更别想了，完全打不着，还有一坨大粪——大石敢当，哈哈，真是个“有趣”的怪啊，而且第六章的地图空荡荡的，感觉确实不如前几章，我最喜欢的还是第二章，又有传统动作冒险游戏的爽，又有一种探索的惊喜，第三章也蛮好，风景宜人。总的来说，这个游戏称不上完美，但是没有什么东西是完美的，大家都是活在追求完美的路上，但是该有空气墙的地方没有空气墙，不该有空气墙的地方一堆空气墙，这真的很难受。哦，对了，还有一个第四章的桥，我真醉了，死的次数怕是快赶上打寅虎了。但是对我来说，“黑神话”加上加加分项的分，比如出色的美术，熟悉的文化内核，爽快的BOSS RUSH；减掉减分项的分，比如反直觉的地图设计，很一般的优化，奇葩的各种第一次制作AAA游戏的小缺陷，也是一个有九分的游戏，是值得游玩的佳作，而且他取得的成就不已经是前无古人了吗？强烈推荐！！！恐怕有些无脑贬低黑神话的群体，在发售的当天，脑中还有着一股阴暗的思想在流动，希望“黑神话”可能会和数十年前的“血狮”一样，马上成为中国单机游戏产业迈向成功路上的滑铁卢，现在如何？服不服！</t>
  </si>
  <si>
    <t>画面美术场景；演出角色怪物设计；动作打击手感；Boss战斗节奏；难度挑战；锁定视角；地图路线；空气墙可达性；探索隐藏支线；引导迷路单线；优化帧率；整体完成度；推荐价值判断；国产3A身份期待</t>
  </si>
  <si>
    <t>CN-P-258</t>
  </si>
  <si>
    <t>2025-06-24</t>
  </si>
  <si>
    <t>如果问我2024年最期待的游戏是什么，那么我一定会说是《黑神话：悟空》。因为这款游戏是国产游戏划时代的一次革新，一次突破自我的单机3A游戏尝试，将会在中国游戏史上留下浓墨重彩的一笔，引领了后面的各种优秀作品。本作游戏以其独特的艺术风格、主流爽快的动作玩法、丰富的剧情内容和深度的游戏体验，自发售以来，迅速在游戏界掀起了一股热潮，甚至出圈，蔓延到了其他领域 。这款以西游为题材的单机动作角色扮演游戏，不仅让中国玩家为之振奋，也赢得了国内外游戏媒体的广泛关注和高度评价。
　评测出自： 网易 UU 鉴赏家培训计划
感谢由 网易 UU 鉴赏家培训计划 提供游戏
　加速 云存 领游戏，满足 热爱游戏梦！
中国玩家耳熟能详的题材
《黑神话：悟空》以中国四大名著之一《西游记》为背景，《西游记》和《三国》，这两大题材摆出来，对于大部分中国玩家来说那都是耳熟能详的，至少能叫出几个名字，说出几个传说和故事。也正因如此，这两个题材也更多的被应用到了游戏中，从我刚开始接触游戏，就一直被这两个题材所洗脑。应用了这种中国风味非常浓厚的题材，也正是文化输出的一个方式。然而本作的西游并未简单复刻原著故事，而是巧妙地借用人们熟悉的《西游记》自身的情节作为前传，游戏的内容则更多的是讲述了取经之后孙悟空因放弃佛位而引发天庭对其再次征伐的后续故事。这一设定不仅为玩家带来了新鲜感，还深度挖掘了《西游记》中的文化内涵和人物关系，同时也给与玩家在游戏内容上魔改做了前提，以及能够更加自由得创作全新的故事情节。
默认中文的含金量
我对《黑神话：悟空》的发售可谓是相当期待，当然不仅仅是游戏本身带给我的期待与魅力，同时也是为中国游戏黑暗的20年迎来转折而兴奋。要知道，我的童年其实是有很多著名的国产游戏的身影的，但是因为一些政策和对游戏的打压，以及盗版等现实存在的问题，很多游戏服务相关的工作并没有办法生存，以至于中国游戏从此一蹶不振了20年，这20年整个游戏市场完全被欧美日韩等厂商压制，国产游戏难有出头之日，以至于在很多舆论战中，中国游戏都是被抨击的一方面，没有技术力，没有创新力，没有文化力成了我们的标签。而随着近些年来游戏行业逐步的复苏，一些国产优秀的独立游戏开始出现。而同时，西方的游戏界却遭遇了瓶颈，优秀的作品让人眼前一亮的作品出现的频率也大大降低了。而就在这个东升西落的时代，这款号称首款国产3A大作横空出世，自然让中国游戏界为之一振。而其优秀的表现与强大的技术力也向世界证明了，中国游戏也并不落后，也是有能力制作出非常优秀的作品的。经历了玩游戏查字典、打汉化补丁、设置中文等方法修改默认语言的时代。如今我们游玩了第一款进入游戏后默认语言就是中文的游戏，简直不要太兴奋。这次轮到老外进入游戏后想方设法调整语言了，这含金量，难以用语言形容。游戏也为此推出了中文语音与英文语音。相比之下，中文博大精深在游戏中被很好的表达出来，中文配音完美的压制了英文配音，因此强烈建议玩家使用中文配音游玩。
关于游戏的云存档
本作游戏在Steam平台与WeGame平台均有发售，我也在两个平台都拥有游戏，两个平台也均有自己的云存档，但是偶尔也会遇到云存档上传下载不成功的时候。我为我的存档设置了双保险，那就是使用了UU加速器的云存档功能，无论是换电脑玩时存档误覆盖，还是各种问题导致存档损坏。相信这样惨痛的经历依然时常发生，但这次决不能。即便不是会员，也可以免费使用UU云存档功能，全程无需手动，完全自动备份，并且保留多个档位，面对一些抉择的时候，也可以多一个备份，让玩家免去二周目烦恼，直接在备份的档位再次选择即可。另外UU也提供了UU存档市集， C酱、黑桐谷歌等知名主播存档，玩家可以下载下来跟着主播进度玩，多种攻略配合存档，手把手教，包爽，此外还有各种全成就档、全收集档、boss rush档等。总之，你需要的存档，这里都有。另外当前还有抽奖活动，走过路过不要错过，试试自己的手气，说不定就白嫖了一个游戏。
虚幻5引擎下优秀的画面表现
游戏的画面无疑是《黑神话：悟空》的一大亮点。也是近些年来国产游戏画面的天花板。当然这样做带来的问题，便是对玩家硬件配置要求的提高，很多玩家可能会因为想要体验这款旷世佳作而去专门更换硬件设备。尤其是游戏进入到第三章，因为场景环境的丰富度提升，以及各种小怪的数量增加，会更加吃玩家的硬件配置。本作游戏采用了先进的图形技术，应用先进的虚幻5引擎，成功打造了一个精美细腻、充满东方韵味的奇幻世界，仿佛置身于真实的西游记的世界。游戏中从山川湖海、黄沙荒漠到庙宇楼阁。此外，游戏中的敌人设计和角色建模也极具辨识度，尤其是各种妖魔鬼怪的形象，既符合原著描述，又增添了现代审美元素，使得整个游戏画面既复古又前卫。搬运自我朋友的一句话“对比其他西方游戏，悟空的过场动画是我看着最熟悉，最舒服的。”
最熟悉舒服的剧情
游戏的剧情不仅保留了《西游记》中的经典情节，这些我们从小就接触到的故事，在游戏中以另类的形态展示出来，体验感是完全不同的。此外，游戏还加入了许多新的元素和角色，使得原版的整个故事更加丰富多彩。玩家将扮演一位“天命人”，为了探寻昔日传说的真相，踏上一条充满危险与惊奇的西游之路，让玩家重走西游路，体验那些所谓的八十一难。在游戏中，玩家将与经典角色并肩作战，共同面对各种挑战和困难。这些角色不仅形象鲜明、个性突出，而且与玩家的互动也充满了情感和深度，让人印象深刻。剧情部分有很多值得深究的地方，表达出来的内容也远比游戏原著给出的直球剧情更具深度。在玩家熟悉的前提下做出深度挖掘，是本作游戏剧情方面的成功之处。同时也将中国文化输出西方，为中国文化的发展贡献了一份力量。
爽快的动作战斗部分
《黑神话：悟空》的核心玩法是动作战斗，因此游戏的战斗系统相当重要，且注重动作性和策略性，玩家需要灵活运用各种技能和策略来战胜强大的敌人。游戏中的小妖、小头目、妖王和剧情BOSS人物数量众多，每个敌人都有其独特的招式和应对方法，使得战斗过程充满挑战和乐趣。同时，游戏还提供了多种武器和法术供玩家选择，使得玩家可以根据自己的喜好和战术需求来定制角色，在战斗中适时的使用法术可以帮助玩家渡过难关，并更容易的击败敌人。玩家可以在游戏中的剧情和战斗中获取经验值来提升等级，从而获得技能点，在一些打坐的地方也可以获得技能点，技能点可以用来提升主角的一些技能和基础属性等，从而在接下来的战斗中拥有更高的战斗属性。此外本作也是通过装备驱动来提升主角战斗能力的，玩家可以在地图中收集各种素材来打造强大的装备，也可以在探索地图的过程中发现一些装备。不同的装备还附有不同的技能，收集套装并穿戴将发挥更大的技能作用。在战斗过程中，玩家需要时刻注意敌人的动向，预判其攻击，并适时进行闪避和反击，这种沉浸式的战斗体验让人欲罢不能。很多玩家表示游戏的玩法接近于类魂，但是在我的体验中更倾向于《仁王》《卧龙》《只狼》之流，因为主角的动作速度较高，闪避灵敏，战斗节奏快速，因此也侧面的降低了游戏的难度。游戏在前两个章节难度相对适中，到了第三章开始，确实有了一些不做人的难度，例如在墙角藏怪，当玩家路过的时候突然蹦出来攻击玩家，以及更多数量的怪物和更高的属性让玩家的战斗难度直线提升。
丰富的隐藏内容和探索要素
《黑神话：悟空》的游戏世界广阔而复杂，并且充满了各种隐藏内容和探索要素，玩家可以在地图中自由探索各种场景和任务。一开始有很多玩家表示游戏的过程较为线性，缺乏分支，其实那是因为游戏的很多隐藏内容埋藏的比较深，并不是简简单单就可以探索到的。游戏缺少明确的地图导航功能，不让玩家通过小地图清晰地看到自己哪些地方探索了，哪些地方没有探索，考验玩家对场景的整体把控和一些细节的观察。即便没有小地图也并不妨碍玩家通过观察和探索来发现隐藏的任务和秘密。游戏中的场景设计巧妙，充满了各种隐藏元素和彩蛋，使得玩家在探索过程中不断有新的发现和惊喜，此外游戏还有一些隐藏的通道和捷径，甚至还有一些需要玩家在后买你的关卡获得道具之后再回到前面来挑战隐藏内容。游戏的主线内容大概只有游戏整体内容的一半，更多的内容需要玩家去探索和发现。
总结
《黑神话：悟空》无疑是成功的，带领中国游戏开辟了一次属于中国人的道路，也为未来游戏行业奠定了基调。《西游记》的题材将中国文化推广到了全世界，并且出圈到了其他领域，甚至上了央视新闻，非常牌面。而游戏也以丰富而深刻的内容，爽快的动作战斗和优秀的剧情赢得了来自国内外玩家的一致好评。</t>
  </si>
  <si>
    <t>画面美术场景；音乐音效配音；演出角色怪物设计；动作打击手感；Boss战斗节奏；难度挑战；地图路线；探索隐藏支线；引导迷路单线；Bug兼容硬件；推荐价值判断；西游悟空符号；童年记忆情怀；本国媒介路径；中国文化宗教语言审美；原典知识人物关系专名；外部资料依赖；角色期待意义偏移；国产3A身份期待</t>
  </si>
  <si>
    <t>CN-P-259</t>
  </si>
  <si>
    <t>2025-06-25</t>
  </si>
  <si>
    <t>2024年推出的大作很多，不乏兼具艺术性和玩法完美融合的《地狱之刃2》，在诸多独立游戏中杀出一条血路的《动物井》和《小丑牌》，P6之前的试水之作《暗喻幻想》等等，但是毫无疑问如果你问笔者去年最喜欢的游戏是哪款，那一定不是那个夹缝中登顶的机器人，而是载着数年艰辛，一路走来的《黑神话悟空》。而不出意外的是这款承载着诸多玩家童年回忆和期待的作品直接大卖出圈，笔者之前在隔壁国产平台凭借着大额优惠卷拿下，这次打折之后也终于有机会再次补票上车。本作已经很难用一款游戏来介绍，这款作品更像是国产游戏历史中的一款全新的里程碑。             欢迎关注 U_U鉴赏家培养计划                 关注U_U鉴赏家，开启精彩游戏之旅。     更进一步的国产类魂RPG，童年记忆之外的另一个.猴哥其实笔者从很早之前就开始关注游戏科学这个团队，单单是以笔者了解到的这个制作团队的故事来说，就足以看出其坎坷，这个团队成立的初衷可能和其他任何一个制作团队都不大相同，这个团队是成立在和腾讯联合制作的饱受玩家好评的《斗战神》因为入不敷出加入大量氪金要素之后，而正是因为团队中一些开发人员不甘于这样的惨淡收场，所以成立了游戏科学，而之后的几年中制作组也并没有大动作，直到几年前突然宣布了《黑神话：悟空》的立项，立马受到了诸多玩家的讨论和支持。游戏的战斗部分可以说完美的还原了笔者对于大圣手中金箍棒的想象，战斗的爽快度和动作的流畅度都可以排在笔者游玩过的动作游戏前列，其实棍子这个武器是笔者在大部分的动作游戏中都不喜欢用的，其大部分时间展现出来的爽快度相比于大刀等其他武器是有所不足的，但是在《黑神话》中，可以说完美的展现出了棍这个武器的魅力。而游戏中boss动作流畅度的设计感可以说碾压大部分市面上的动作游戏，几乎将仙侠这个背景发挥的淋漓尽致。游戏中玩家所扮演的主角一共有着三种棍势可以选择，其中有着主打一个爽快的劈棍，讲究一个等待时机的立棍以及一寸长一寸强的戳棍。三种棍法带来的体验是完全不同的， 同时本作中虽然没有明面上的弹反机制，但是却在劈棍中设计了一个轻重攻击切换识破敌人的设计，这就极大程度的增加了玩家战斗的爽快度，玩家不用因为敌人的攻击停下自己的攻击，去等待时机按下格挡键，玩家现在只需要在轻攻击中以恰当的时间按下重攻击即可消耗一层棍势值然后触发“完美弹反”也就是识破敌人的攻击。这对于游戏整体战斗的爽快度提升不只是一星半点。当然本作也还原了原著中的一些剧情，并且在一些剧情之上做出了一些延伸，制作组通过每一章之后的独特且优秀的国风动画为玩家讲述了故事脉络的前因后果，为没看过西游记原著的玩家介绍原作的一些重要剧情，同时也展现出了更加复合“黑神话”这个名字的另一个猴哥“天命人”。制作组在《西游记》电视剧之外更加还原了原著中的一些内容，同时也在游戏中隐喻了很多的道理。当然本作也在一些地方做的稍显逊色，比如游戏在前两章之后后面的章节相较于前面的章节总有种赶工的感觉，一些堆怪的设计，过分不友好的大量远程敌人等等小问题确实影响到了玩家的体验。总结本作基本上完美的做到了笔者所想象的一款国产的西游题材的3A大作所能做到的一切，当游戏故事开始的时候，熟悉的角色踩着脚下的云出场时笔者就已经潸然泪目，虽然有着一些小缺点，但是并不妨碍这款游戏的优秀，如果你喜欢动作游戏，不妨一试。</t>
  </si>
  <si>
    <t>演出角色怪物设计；动作打击手感；Boss战斗节奏；难度挑战；优化帧率；西游悟空符号；童年记忆情怀；本国媒介路径；中国文化宗教语言审美；原典知识人物关系专名；角色期待意义偏移；国产3A身份期待</t>
  </si>
  <si>
    <t>CN-P-260</t>
  </si>
  <si>
    <t>2025-06-29</t>
  </si>
  <si>
    <t>先说些不好听的话吧，这游戏的画质和优化有问题，没有想象中和视频中说的这么好，游戏整体的躁点感很强，而且开场和后期到花果山的筋斗云全是马赛克。我知道有人肯定要说了，谁让你不把特效质量和超采样清晰度拉最高的？谁让你不开4K的？是我不想拉高吗？说这话的人有没有考虑过大部份人的电脑配置是什么样？反正我是没见到别的游戏在1080P全选中高选项时会这么多躁点和马赛克，你不能把游戏优化不行全推到玩家电脑配置不行上是吧？那你的建议和推荐配置又何必写成1060和2060呢？我说的这些都是事实，那些上来就喷你电脑配置差活该的人，大抵是出于炫耀的心理，否则我不明白这么说的原因。和别的3A游戏相比在画质上也没拉开距离，为什么性能却差这么多呢？这并不是我觉得这游戏别的方面不好，我认可这游戏在游戏性和别的方面来说都达到了艺术品的程度，但起码在优化上是真不行。另外游戏的数值设定有点迷，大量技能使用些微，少许，一定这类词条来描述。你说你又不是厨子。。放少量，适量的盐是吧？少许增加暴击率是百分3，假借须弥少许增加消耗法力就是从50点加到80点，这快增加一半了吧？大大增加定身术的时间却只有3秒？禁字法词条描述也是一定，却足足增加了70多点攻击！你这个量词是不是太随意和不精准了。游戏本身的剧情，音乐，配音，战斗各方面都很强，因为剧情故事是发生在西游之后，也可称为西游后传了吧。。虽然并不是全开放地图，但每个场景都很大，地型很复杂，收集物很多，还有很多隐藏支线和地图都做的很深，路痴迷路中。。学到老贼精髓了。游记中的影神图记录了所有小妖，头目，妖王，人物的生平和故事。里边有些故事很有深度，有种在看聊斋志异的味道。读罢只觉不管人妖都有好坏之分，有些小妖心地还挺好呢，反倒是有些人类却因人妖之分和私心却害了小妖和人的性命。西行之路本身也是众佛安排好的，有后台的妖都有佛护着，没后台的妖王虽然也护了一地国泰民安，但被除去后当地的不信佛的小国和民众也没好果子吃。黄风大圣也挺可怜的，那灵吉菩萨的脑袋见肉就长，长到了黄风大圣手上，影响了他的神智，所谓菩萨，就是满口谎言和双标。说什么万物皆有根器和尊卑之分，乱不得，还问我对不对？对个毛线啊！一股三味！那身背佛头的巨虫莫不是你的坐骑？所谓菩萨难道就不是从妖修成的？不管人或妖，佛与仙，都是在与天争命，搏命而泳，有何高低贵贱之分？就像二章结尾的那个动画，明明只是假黄眉为了和金蝉子打赌让书生做的一个黄梁一梦，倒果为因。按理说书生哪怕做了这梦，选择权也在他，他可以娶狐狸为妻，也可以放生狐狸，完全没必要杀它取皮做围脖，既要杀，何必救？这中间难道不是佛起的因，书生造的果吗？还有天庭在人间开小幻境，做药品加工厂，用妖来炼仙丹，这些妖很多都是从天庭贬下界的。佛灭夜叉族，红孩儿是太上老君让铁扇公主喝了子母河的水借腹生子的，这也是天庭故意留的活口，想以后抓西方佛的把柄呢。可惜这天命猴是个哑巴！中低端显卡用1080P玩，超分辨采样建议选TSR，这应该是虚幻5自带的抗锯齿，A卡黄妈协助优化的，效果和清晰度比FSR要强。这次黑猴的FSR没标明是2.0还是3.0，也没有质量和平衡之类档位可选，至于DLSS得20系以上显卡才能选，而TSR和FSR是支持N卡和帧生成的。超采样清晰度默认是50，每提高百分10， FPS会降10帧左右，看着调吧。贴图质量是吃显存的，8G显存以下建议调成高。除了特效质量和全局光照以外，让人意外的是阴影选项也很吃性能，只能开低或中。别的选项可以自己按实际帧数来调节中或高。游戏平时能稳45-60FPS，但有时剧情动画时，帧数会莫明掉到20多，最难受的还是满屏幕的躁点和马赛克云了。当然我不会给差评，游戏本身的剧情和玩法是挺好的，对国产游戏来说是很大进步，值得鼓励，但优化是真不行。</t>
  </si>
  <si>
    <t>画面美术场景；音乐音效配音；演出角色怪物设计；动作打击手感；Boss战斗节奏；地图路线；探索隐藏支线；引导迷路单线；优化帧率；Bug兼容硬件；整体完成度；推荐价值判断；西游悟空符号；本国媒介路径；中国文化宗教语言审美；国产3A身份期待</t>
  </si>
  <si>
    <t>CN-P-261</t>
  </si>
  <si>
    <t>2025-07-05</t>
  </si>
  <si>
    <t>两个结局全通，可以评价了带情怀滤镜的话10分，客观评价7.5分美术10 音乐10 动作8 剧情6 地图设计3美术和音乐能拿10分是因为上限只有十分动作设计其实非常优秀，但战斗交互的设计，特别是boss战有很大问题。无起手快慢神经刀，零帧投技，还有几乎每个boss都有的无敌（来回龙车/飞天/无法选中）远程技。这就导致很难积累战斗的爽感。譬如王灵官，打完了只感觉刑满释放，而不是畅快。而诸如夜叉王这类能爽爽拼刀的boss打着就很痛快，加分不少。地图设计方面，很多人吐槽的小西天反而是我游玩下来体验比较好的：地下监牢基本是单行道；龟岛面积不大没有迷路一说；雪山朝着高塔方向一路往上就行。但其余章节的山路充斥着各种反直觉的空气墙，能不能走全凭地图设计者的俺寻思之力：看似能走的地方空气墙挡路，似乎有空气墙阻隔的地方又偏偏能通行。例如刚下龟岛后的海岸。整体容易迷路的同时非常破坏探索体验。顺带提一嘴法宝。一周目直到打大圣残躯之前都只入手了避火罩，不知有定风丹和绣花针的存在（或者说其实知道有，但不知道在哪里拿），这也导致了被黄（雨）毛（夜）貂（钢）鼠（龙）的风墙以及百眼魔君的三阶段折磨得死去活来，愣靠背板硬嗑过去的。这其实没什么问题，隐藏法宝也算是鼓励玩家寻找支线的软性手段，只是集合糟糕的地图设计就变得很恶心人了。但到了花果山，在凤翅将军面前避火罩这个支线道具竟成了必须入手的存在，这点感觉不甚合理。然后是剧情。前五章的主要人物塑造和剧情演出都非常优秀，配上章节末尾的动画与绘卷，可以给到满分的程度。而影神图更是神中神，也是超出10分的存在。但关键问题在大不在小。整个游戏的背景剧情与结局可以说是平浅白，关键人物的塑造甚至出现了危机：妖魔化的杨戬张口闭口蠢狗，孙悟空突兀又一笔带过的感情线。或许有人分析开场的天庭势力是狮驼岭几位假扮的，还能结合衣着等给出“证据”；大圣的感情线来源于斗战神，属于情怀。但这些看似合理的分析无法从游戏中得到真正的证实，也就是说剧情本身是难以自圆其说的。继续拿魂三类比，魂三是碎且藏，但能交织出一个完整深邃的世界观；而本作在四年间让我产生了的“宏大奇诡阴暗却又草蛇灰线”的庞大叙事的误会，最终呈现出的却是一个未尽的，浅且白的剧情。不可谓不遗憾此外，对支线角色的挖掘非常浅。例如青年蜘蛛精和蛇女。这些人物更像是工具而不是一个个鲜明的人物。反观魂三，不用提洋葱哥，单论灰心哥哪怕是小偷。只需要几句特定对话，几样带描述的道具，最多再加上一场战斗，一个个朦胧但鲜明的人物形象就这样立起来了。这就不得不聊一聊资源的利用问题。本作里有大量精细的模型和动作，但更多的感觉是走马观花。小雷音的金色千手观音，藏在墙里的悟空求学图……它们只是单纯的存在在那里，路过看段对话，拿个道具就略过了，仿佛它们和路边一棵普通的模型树一般。而同章节里的人种袋里的佛像，地下监牢巨大转经筒种种就能让人留下深刻印象，正如当时打完狮子猿就忘不掉那尊卧佛一般，是对美术资源的高效利用。boss方面也是如此。许多放在别的游戏里能成为拥有大段独立剧情的，有着丰富动作系统和精细模型的boss，在本作中沦为了一笔带过的工具人，如晦月魔君。也许能说这是美术资源的溢出，亦或是一种炫耀：对未曾被发掘过的丰富文化遗产的炫耀。但这不是长久之计，哪怕不用担心坐吃山空，也断然不得作出取之尽锱铢用之如泥砂般的大手大脚。最后是优化问题。本人对硬件软件一窍不通，幸而有信得过的朋友帮忙配了pc，3060ti使用下来感受不错。发售前的性能测试在全高的设置中也能跑满80帧。但实际游戏发售后给了我当头一棒。极致的卡顿，画面卡住不动四五秒，过场动画卡死，音画不同步等等是家常便饭，战斗中吞掉关键指令输入的关键一卡更是让人血压飙升，整个50小时的游玩过程中也遇到了两次闪退，其中一次是打完杨戬的法天相地后cg环节闪退，不得不再打一遍。但这属于九成九能在后续更新中解决的问题，故而不作扣分项总的来说，黑神话悟空没有辜负我四年的等待，但也留下了更多遗憾。从开场拉跨文案与动画的怀疑，到大战黄眉的惊艳，再到仓促结局的不甘。它像是一盘不到火候就被急急忙忙端出来的菜，还能吃出些为了马上出锅火力过大产生的焦糊味。它是个未完成品，可能游科已没时间继续打磨。需要打磨和积累，无论是对游戏本身还是游科都是如此。只希望主创团队不要失了当初希望证明自己的心气，以及推动国产单机的冲劲。若是能保持这个势头继续冲下去，甚至能再加点速，再等几个四年又何妨感谢游科</t>
  </si>
  <si>
    <t>画面美术场景；音乐音效配音；演出角色怪物设计；动作打击手感；Boss战斗节奏；难度挑战；地图路线；空气墙可达性；探索隐藏支线；引导迷路单线；优化帧率；崩溃闪退；Bug兼容硬件；整体完成度；推荐价值判断；西游悟空符号；童年记忆情怀；本国媒介路径；中国文化宗教语言审美；角色期待意义偏移；国产3A身份期待</t>
  </si>
  <si>
    <t>CN-P-262</t>
  </si>
  <si>
    <t>2025-07-10</t>
  </si>
  <si>
    <t>“闪光的不全是黄金。” 作为一款备受期待的国产游戏，承载了巨大的文化自信和行业突破的期望。从游戏的概念到制作，再到最终的呈现，它在某些方面无疑展示了中国游戏制作的潜力，尤其在美术和音乐方面，达到了业界标杆水准。然而，游戏的整体设计和执行却未能完全兑现其应有的创新与深度，反而暴露出不少问题，尤其在核心玩法与战斗系统方面。首先，游戏的战斗系统存在显著问题。尽管游戏的动作设计试图打造一个硬派、充满挑战的战斗体验，但缺乏预输入机制，导致操作的延迟感非常明显。敌方的受击判定区域与模型的差距，也让玩家在战斗中产生了困惑。特别是在第三章之后，关卡设计质量急剧下滑，战斗节奏与深度几近崩溃，令人彻底失去新鲜感。此外，游戏中的BOSS战虽然在视觉效果上令人印象深刻，但大型BOSS的移动速度普遍超越了镜头追踪的速度，而部分技能触发时会解除锁定，使得玩家难以有效应对战斗中的变化。这些设计上的不合理，不仅让连招体系沦为摆设，也让玩家在战斗中感到束手无策。尤其是空中单位的应对手段匮乏，多数战斗只能采用“偷刀”策略，原本应充满变化与策略的对决，反而显得枯燥乏味。游戏的美术与音乐则无疑是其亮点之一。游戏的视觉效果达到了极高的水准，每一个场景、每一个角色的设计，都透露出浓郁的中国古典艺术风格。从细腻的场景刻画到人物造型的精致呈现，都让人感受到浓厚的文化底蕴和制作团队的用心。音乐的表现尤为突出，时而气势磅礴，时而低沉悠远，为游戏的整体氛围增色不少。这部分的精致度无疑是游戏的一大优点，展示了国产游戏在艺术方面的潜力。然而，尽管美术和音乐达到了行业标杆水准，其他方面的设计却未能与之匹配。尤其是游戏的叙事部分，始终维持在一个压抑的基调上，缺乏应有的情绪释放。游戏的叙事并没有给玩家带来情感上的高潮和真正的满足感。整个故事的收尾显得过于仓促，未能深入挖掘角色的内心世界，也未能在剧情层面上带来令人震撼的反转或深刻的思考。我看遍了人间沧桑看透了漫天神佛，忍着耐着，终于重塑金身做回大圣。他结束了，戛然而止。此外，游戏的探索与关卡设计也存在较大问题。场景中充斥着隐形的边界，极大地限制了玩家的探索自由。导致玩家在探索过程中常常感到迷茫。后期的地图空间利用率低下，且辨识度不足，严重影响了游戏的整体体验。尽管游戏在技术层面上还存在一些瑕疵，如贴图精度不足，但作为一款国产3A游戏，其技术积累和完成度仍具里程碑意义。开发团队在制作过程中所展现出的创造力和决心，值得肯定。然而，游戏性层面的重大缺失，尤其是战斗系统的漏洞，无疑让这款本应标志性突破的作品黯然失色。我很好奇，有些所谓的好评，更多是出于民族自豪感还是这款游戏本身呢？ 值得敬佩，但远未修成正果。  7 / 10</t>
  </si>
  <si>
    <t>画面美术场景；音乐音效配音；演出角色怪物设计；动作打击手感；Boss战斗节奏；难度挑战；锁定视角；判定反馈；地图路线；空气墙可达性；探索隐藏支线；优化帧率；崩溃闪退；整体完成度；推荐价值判断；西游悟空符号；中国文化宗教语言审美；国产3A身份期待</t>
  </si>
  <si>
    <t>CN-P-263</t>
  </si>
  <si>
    <t>2025-07-13</t>
  </si>
  <si>
    <t>当过猎魔人、当过西部牛仔、当过中世纪骑士、当过神话角色、当过超级英雄，现在终于有一款游戏能当一回自己文化的大圣，真是太帅了太爽了太感动了。虽然游戏里有很多不成熟的设计，但瑕不掩瑜，不管是画面、玩法、剧情、音乐、演出等方面都超级棒，甚至还有超出预期的高质量动画，诚意满满。</t>
  </si>
  <si>
    <t>画面美术场景；音乐音效配音；演出角色怪物设计；整体完成度；西游悟空符号；本国媒介路径</t>
  </si>
  <si>
    <t>CN-P-264</t>
  </si>
  <si>
    <t>2025-07-17</t>
  </si>
  <si>
    <t>抛开国产这个滤镜也是很好的游戏，有很多中国人才懂的浪漫和中式美学，美术做的尤其好，音乐也做的非常有感觉，难度的话感觉其实是比魂游低不少的，主要是没有死亡惩罚，我可以大大方方的去试错。缺点自然也不少，比如刚发售的时候是没有小地图的，空气墙也很多，有些玩法很明显是没有做出来的（比如第一支PV变虫子的机制，进去游戏发现只有那一小段才可以变，被发现以后就变不了了，后面也用不了，有点可惜），还有就是受到题材限制，天命人只能用棍棒攻击，攻击方式比较单一（不过能变身的怪确实多）总的来说，黑神话是给国产单机的一针强心剂，它证明了只要质量过关，国产游戏是可以既叫好又叫座的，也证明了国内拥有着不输西方的市场和开发技术，于情于理，我都觉得黑神话应该被载入国产游戏发展史，这是那批坚持单机和品质的中国游戏人交给世界的第一份答卷</t>
  </si>
  <si>
    <t>画面美术场景；音乐音效配音；动作打击手感；难度挑战；地图路线；空气墙可达性；整体完成度；西游悟空符号；国产3A身份期待</t>
  </si>
  <si>
    <t>CN-P-265</t>
  </si>
  <si>
    <t>混沌未分天地乱，茫茫渺渺无人见。 自从盘古破鸿蒙，开辟从兹清浊辨。 覆载群生仰至仁，发明万物皆成善。 欲知造化会元功，须看《西游释厄传》①黑神话悟空是一款西游题材的动作冒险游戏，也是第一款中国本土出产的3A游戏。游戏以天命人为主角，重走西游路，书写了一段西游原著的后世故事，并且通过大量影神图中的背景故事将整个世界观进行丰富。不过整体故事还是较为晦涩，需要对原著有所了解才能get到。游戏的美术以及配乐绝对顶级，每个地图都有其一套独特的美术风格，而且游戏科学对大量现实中存在的名胜古迹进行了扫描取景，并配合虚幻5强大的技术力进行复刻，游戏中甚至一些边边角角都能看到各种精致的壁画，超级震撼。游戏的配乐多种多样且包含各种中国特色配乐，尤其是第二章的陕北说书甚至火出圈，每一章之间的cg更是艺术风格多样美轮美奂。②在动作系统上，游戏以三种棍势配合上各种法术法宝，元素众多且极具打击感，一路boss打下来爽快无比。而且游戏主打一个跟原著一样一物克一物，哪里不好打就去别的地方找法宝来打，总有克制之法。不过游戏整体难度较低（对比魂系列来说），大部分boss最多打个34遍怎么都过去了，有一些比如火焰山土地，场景战斗设计惊才艳艳的boss，也来不及感受就打完了，也是有些可惜。不过寅虎、小黄龙、毒敌大王、二郎神这些boss还是比较难的。后续感觉还是有很多数值要调整的，不过整体而言黑神话相比类魂还是更偏类新战神，战斗体验比预想中好了太多。③不过游戏目前还是有一些bug，而且在地图设计上还是有一些经验欠缺，前几章地图弯弯绕绕缺少标识很容易迷路。后两章火焰山以及花果山则有一些赶工，尤其是花果山基本就是到处飞且极少的几场boss站，整体内容量完成度对比前面差太多了，还是有一些瑕疵的。不过整体而言对游戏的品质真的相当满意，保底年度最佳游戏提名了。尤其是作为一个中国玩家以及单机游戏爱好者，在游戏中感受着从小耳熟能详的各种元素，感受着中国名胜古迹堆叠出的艺术场景，听着中国风的配乐，打着中国武术棍法一样的战斗，征讨一个个来自西游中熟悉的怪物boss，这种感受绝对是不一样的，也是玩国外再顶级制作再有游戏性的游戏也感受不到的一种来自心灵的震撼和满足。真的希望中国单机、中国3A能越来越好，有越来越优秀的作品出现。最近看到很多人拿老头环、只狼、战神这些游戏批斗拉踩黑神话，但我只想说，这些可都是当年年度最佳游戏，他们象征着这个行业最顶尖的水准，拿这些和黑神话来对比，黑神话的层级不言而喻。尤其是这些可都是行业顶级公司这么多年技术积累下的产物，而黑神话只是第一款单机3A作品，真的很期待游戏科学后续的佳作。</t>
  </si>
  <si>
    <t>画面美术场景；音乐音效配音；演出角色怪物设计；动作打击手感；Boss战斗节奏；难度挑战；地图路线；引导迷路单线；Bug兼容硬件；整体完成度；推荐价值判断；西游悟空符号；童年记忆情怀；中国文化宗教语言审美；国产3A身份期待</t>
  </si>
  <si>
    <t>CN-P-266</t>
  </si>
  <si>
    <t>告别父母赞助的憋屈，用一整个暑假奔波的双腿换来的激活码——第一次为自己的热爱全额买单。打小我就是一个迷恋于各种游戏的孩子，从一年级那那会蹲到餐桌地下玩3G手机游戏再到小学六年级午休伸着脖子看同学打王者荣耀，再然后是初中半夜去教室玩多媒体大屏到高中留备用机通宵游戏，直到现在大学期间经常坐在电脑桌前长达几个小时，仿佛是父母一路的克制造就了一个叛逆的网瘾少年，但这并不是父母的错完完全全是我自己的自制力不行，去年夏天听说咱们要出一款属于自己的3A游戏，我打心底的兴奋与喜悦可这268元要如何获取呢终？总不能不切实际的管父母去要19岁了该用自己的努力来获取了，40多天的服务员生活圆我一场大圣梦，当工资下发的那一刻我便迫不及待的买下这款游戏，我也不管我的轻薄本能不能带动，但总要试试吧。当黑神话悟空这几个大字在电脑屏幕上炸开，手心出汗的瞬间我突然懂了：这不仅仅是游戏，而是成年世界的“通关文牒”。虽说是全低画质，远景糊成马赛克，可那种符合国人的东方美学还是令人心旷神怡，真正的美学，连780'M都杀不死。而三四十的帧数也阻挡不了我要打通这条大圣之路的决心，慢，反而嚼出禅意，BOSS战的帧数骤降，毒敌大王的蝎尾戳刺，黄梅老儿的阴险狡诈，二郎真君的招招杀机，这一路来的摸爬滚打造就了属于我自己的子弹时间，打工时的烦躁郁闷，竟在慢动作拆招中沉淀下来。客观来讲这游戏有缺陷吗那肯定是有，但对于我来说这是一款完美的游戏，这是我一段时间里的矗立在我心中的如意金箍棒，七十二个成就虽不是全始全终八十一难，但我想说我现在立下承诺，待未来某天，新电脑光彩如金箍棒苏醒时，我必重踏征途——以帧数为藕丝步云履，化岁月为锁子黄金甲，执时间为点翠飞龙轩，燃少年心焰为凤翅紫金冠，以真大圣之姿重临。</t>
  </si>
  <si>
    <t>画面美术场景；动作打击手感；Boss战斗节奏；优化帧率；推荐价值判断；西游悟空符号；中国文化宗教语言审美；角色期待意义偏移</t>
  </si>
  <si>
    <t>CN-M-267</t>
  </si>
  <si>
    <t>2025-07-24</t>
  </si>
  <si>
    <t>玩了明末三小时后实在难忍，回到黑猴下面，想你了，牢冯，出个dlc再带我冲一次吧</t>
  </si>
  <si>
    <t>CN-P-268</t>
  </si>
  <si>
    <t>2025-07-25</t>
  </si>
  <si>
    <t>给完隔壁明末差评了，想起来没给黑猴好评，回来给好评，天命人你值得拥有，隔壁明末千万别买！！！！！！</t>
  </si>
  <si>
    <t>CN-P-269</t>
  </si>
  <si>
    <t>2025-08-01</t>
  </si>
  <si>
    <t>8.1/10——因为它让我们等的有1.9回想学艺当年，我看见60年代的大闹天宫已是巅峰泣不成声，荣获国际奖项的画面我永生难忘！ 那一刻我在想，如果在那时能成鼎力支持，真正的中华文化一定会赢下所有。如今中国游戏新的里程碑就在眼前，我必须考虑这会不会是我此生仅有的机会。重铸文化荣光，我辈义不容辞！</t>
  </si>
  <si>
    <t>CN-P-270</t>
  </si>
  <si>
    <t>游科：天地良心在我胸（初稿） 
		社区创作的 Black Myth: Wukong 艺术作品
		作者：西瓜天尊™
			写了首打油诗，抒发下对东亚古典文化、中国古典文化的热爱和对制作组的敬意。 临时抓的水性笔写的，笔头有点粗不太好控制，有空换中性笔和毛笔写一个		
欢迎关注迅游游戏鉴赏家，更多游戏评测请戳它玩游戏用迅游，加入鉴赏家组，周卡月卡实物奖励享不停简体中文版： 齐天大圣孙悟空，神话再现真英雄。千秋万代永相颂，七十二变显神通。油锅刀山无所惧，入海遁地破苍穹。长生不死何须恋？不畏神权铁骨铮。誓必扫尽天下浊，乾坤正气在我胸！ 首先本人是一位东亚古典文化爱好者，玩了二十七八年的游戏，如今终于玩上了一款有着东亚古典特色之美的大作，实在是感动。国产游戏已经落寞二十年了！二十年！你知道我这二十年怎么过的吗？在电玩艺术的海洋里几乎没有一丝东亚古典文化符号，苦苦找寻也只能用日厂的零星几款包含东亚文化特色的游戏解解渴，今天终于体验到了，游戏的各种小问题无伤大雅，它满足了我的夙愿，解开了我的心结。更何况，它的品质是可圈可点，可以走出国门，有足够的力量进行文化输出。游戏画面首先，游戏画面包括画质技术、美术水平、演出效果等方面。画质技术就是需要游戏制作的硬水平，比如人物建模、毛发技术、曲面细分、纹理材质、光影效果、反射效果等等，而美术水平则是指的是构图、色彩、线条、运镜和文化底蕴等方面。本作在画面表现力上可以说是相当强劲。毛发技术十分出色，纹理材质等方面也是很精细，美术风格更是一绝，构图和色彩都无不透露着懂法古典神韵，甚至游戏的很多UI界面都是国画风格。第一章开场的毛桃建模相当惊艳。不过因为制作组经验不足也存在着些许瑕疵：游戏画面的锐利度过高导致不少场景失真，建模边缘锐化明显。而在游戏中也只能通过超级采样清晰度去调解锐利度，并没有单独设置的锐利度选项。另外光影部分有些问题，在第四章黄花观的山道上，光照阴影效果过于夸张，导致很多地方黑的看不见，亮出却闪瞎眼。另外人物面部捕捉技术稍显不足，和一线画面水平还是有差距的。另外游戏字幕过小且不能手动设计字体大小也是挺难受的，这点来讲很多一线游戏在人性化设计方面是挑不出毛病的，从这点可以看出制作组和一些经验上的不足。
		世外桃源 
		一张《Black Myth: Wukong》的截图
		作者：西瓜天尊™
在游戏里你光是看风景拍照当个旅游模拟器都能值回票价了。六张地图的风景都各不相同。游戏音效可谓是相当用心，你能听到很多中国古典乐器演奏的BGM，包含锣、鼓、镲、古筝、响板、笛等等，我没仔细听完所有曲目，貌似没有琵琶、箫、二胡、芦笙、葫芦丝这些，我只能说中国古典文化实在是博大精深，在音乐方面也是相当深邃。更令人振奋的是本作还有陕北说书这种古典民间曲艺，这种文化艺术符号十分璀璨。豪华版游戏也包含完整的曲目，在游戏内主菜单即可播放。但是为什么不出Steam OST形式呢？不用进游戏直接就可以在库存中打开播放了啊。。游戏中的BGM和环境契合度很高，打击音效也十分吻合有代入感。可以说在音效表现力上相当具有艺术性。希望续作可以加入京剧、川剧、越剧、黄梅戏、秦腔等，稍微一段这些曲艺润色就可以，因为这些国粹级的曲艺的文化及艺术成分真的很高，配合西游题材更是深入人心。动作系统本作在动作系统上的一周目体验其实只能说中规中矩，本作的二周目体验才是动作游戏该有的爽快感。一周目由于技能点不足、敌方伤害高血厚的原因导致一周目其实有点坐牢味道，虽然不是魂like游戏，但是他绝非正常向ACT/ARPG游戏。只要玩过以下游戏的其中两部，你就会发现黑神话悟空的战斗体验和这些游戏完全不同：战神、鬼泣、暗黑血统、猎天使魔女、尼尔、刺客信条、如龙、热血无赖、蝙蝠侠、蜘蛛侠、忍者神龟、龙之信条、巫师、吸血鬼、驱灵者、上古卷轴、龙腾世纪、神之手、勿忘我、杀手已死、丧尸围城、虐杀原形、鬼武者、侍道等等。ACT这个分类十分宽泛，其实TPS/FPS/FTG也都是ACT下属分类，但如果我们在谈游戏时候把这三者也和狭义上的传统ACT混为一谈的话，那真就是很难沟通，毕竟这些类型简直大相径庭。我大致将ACT/ARPG按照制作理念非为3类：1、正常向，也就是上面列举的众多IP，也是ACT和ARPG最应该追求，面向玩家最广的类型。2、割草向：就是无双类爽游，可以花式虐怪：大蛇无双、三国无双、战国无双、丧尸围城、虐杀原形等这类，几乎不需要研究动作系统的游戏。3、坐牢向：黑魂、血缘、仁王、忍龙、只狼等。坐牢向的游戏就是初上手的敌人伤害高，容错低。注意的是，坐牢向的游戏并不是一个设计理念，大致可分为魂like和忍龙like。其中魂的设计理念就是80年代FC平台跳跃游戏内核为基础，加入3D化的表现手法和设计，特点是优秀的美术设计+地图设计+地图陷阱+动作单一匮乏+角色性能羸弱+敌兵伤害都是一两刀带走+背板+读档机制。而忍龙组的游戏在地图设计上不如魂，但动作系统要比魂丰富的多，可以说魂Like是注重地图设计+PRG元素的游戏，而忍龙like则是注重硬核丰富的动作系统。那么正常向游戏，并不代表上限低，相反，正常向的游戏造作空间普遍比魂Like更高，因为动作系统丰富，玩家能自己开发的打法更多，而且不是十分依赖背板，那么这类游戏的操作体验就更加“自由”。最重要的是，正常向的ACT/ARPG是有难度选项的，而且设计理念是保证玩家能正常通关，体验主线剧情，这类游戏大多都有斗技场或BOSS RUSH的设计来满足追求更高难度操作和喜欢挑战自我、开发打法的玩家。这里难度系数最大的就是那种类似FTG操作的游戏了，比如忍龙、仁王、鬼泣。很多玩家不知道FTG是啥，其实就是搓招格斗游戏，纯粹的竞技游戏，难度已经不是这些单机动作游戏能相提并论的了：比如街霸、拳皇、饿狼传说、真人快打、罪恶装备、铁拳、侍魂、流星蝴蝶剑、VR战士等。那么说回咱们的黑神话悟空，从1周目游戏体验和敌兵与BOSS的伤害、无难度选项上来讲，他并非正常向游戏，确实有坐牢向的味道，不过它可以说是坐牢向动作游戏里最不坐牢的一个。因为它没有死亡惩罚，还可以0成本洗点，动作系统虽然不算太丰富但是有着RPG不同流派元素的加持，也能打出十几种流派打法。玩家在土地庙可以0成本洗点改变自己的操作流派，另外地图设计方面恶意陷阱也不是太多，从以上几个方面来讲，可以看得出官方有意改善游戏体验让游戏不那么“坐牢”。游戏战斗系统还算比较多样化：普通攻击是轻攻击，而消耗棍势的重攻击则可以视为“大招”，棍势上限随着游戏的推进而增加。最多可以增加到4格，4格棍势就是实实在在的必杀技了，伤血量很大。棍势可以通过蓄力获得，但蓄力只要被打断就会消失。最靠谱的手法就是通过轻攻击命中敌人或者棍花攻击命中敌人来获得。轻攻击之后配合重攻击又会产生“切手技”，这个技能还是比较实用的，对手攻击你的时候你使出切手技则会触发“识破”效果，这时候你会获得短暂的无敌判定。从动作系统来讲，就分为最基础的5种流派：劈棍流、立棍流、戳棍流、棍花流、破隐暴击流。从RPG方面来讲，游戏又有火烧流、万毒流、雷电法王流、寒冰流和毛毛流等。以上这些流派在技能点数够多以后，就可以互相配合打出更多酸爽体验。其中不乏很多轮椅逃课打法。游戏的法术不多，所以每种法术的CD时间也就不长。法术需要消耗蓝条，每个键位能设定的法术是固定的。不过变身术和化身术就很多。变身术和化身术是不消耗蓝条的而是消耗这两项技能的元气值。不断攻击对手就会回复元气值。但这里我得批评一点：54个变身法术一次只能带一个，这么多变身术绝大多数人通关之后有半数以上压根都没用过。实际上应该设计成可以装备两个变身术，然后每个变身术的元气恢复速度可以稍慢一些，这样打起来会更加丰富，而且也不会浪费官方设计这么多变身术。那么化身术就有意思了，共有10种化身术，玩家能稍长时间变为其他角色，每个角色有一套自己与众不同的动作系统，当体力消耗尽或者生命耗尽后就会变成原来的天命人猴子角色。也由此产生了一个梗“广智救我”，广智就是玩家在第一章不能拿到的化身术，在玩家觉得自己要死的时候赶紧化身为广智就等于用了一条备用命。地图/关卡/任务设计其实很多人吐槽的空气墙、没小地图、没任务指引这几点单独拿出来的话本身是没有问题的，但问题就出现在这些元素叠加在一起让整个任务和关卡流程十分的糟糕。因为游戏里有跳跃键，而大多数有空气墙的ARPG是没有跳跃键的，这就导致别的游戏同样也有空气墙但你一眼就知道那地方过不去，而且其他游戏都配备小地图，看着小地图你也不会到处碰壁。然后完全没任务指引，游戏中存在一些支线一旦错过就得到下一周目才能完成，既然你鼓励玩家自己探索，不给地图不给任务指引，那么你能不能别设计成只能下一周目才能打错过的内容？？？我1周目全程自己探索不看攻略，打着打着就出发主线了，支线还没打呢就废弃了。还有，官方不出小地图的目的竟然是为了让玩家增强代入感，我玩了快三十年游戏我承认不用HUD地图提示确实能一定程度上增强代入感，但是你要不要看看人家其他游戏怎么设计的没地图提示？首先，在现实里我能通过太阳、树冠、年轮等等来辨别方向，我还可以用罗盘，再不济我走过的地方我可以做个记号，这游戏没地图也就算了，方向指引都没有的，要啥没啥。我理解你想设计增强代入感，然而你能不能考虑考虑实际体验和代入感到底是啥？地图里的指引基本就是几个灯笼和火把。我知道你不想让玩家们提前看到未探索区域，我给你个方案：猴子自己手绘地图画册，已探索过的区域就绘制成地图记录在画册上，而没探索的区域就是空白，然后玩家自己在地图上做重要的事件、地点、道具标记。就类似荒野大镖客2那样每经过一段剧情主角就记一段日记并配合插图一样。这样不但满足代入感需求，而且还不会让玩家迷路。总体而言，游戏地图设计其实不错，毁就毁在了关卡及任务指引上。游戏文案&amp;背景考究在文案这一块也是十分细腻，每个怪物、头目和角色的背景介绍的很详细。上一个文案方面另外十分满意的国产游戏是古剑奇谭系列，虽然游戏性不怎么高但文案方面可以说满足了东亚古典文化爱好者。本篇内容高能科普，对此不感兴趣的玩家可以跳过。但对此感兴趣的玩家，可以说是宝库。我结合山海经与中国古代第一本字典《说文解字》和很多汉字学者老师们的分析，来解释仙侠题材常见的称呼。比网上常见的一些乱七八糟的解释要权威的多。由于评测字数限制，我单独写了一篇攻略供大家参考：
		《西游记》神话体系简述 
		Black Myth: Wukong 的一篇指南
		作者：西瓜天尊™
			本游戏作品在文案这一块也是十分细腻，每个怪物、头目和角色的背景介绍的很详细。上一个文案方面另外十分满意的国产游戏是古剑奇谭系列，虽然游戏性不怎么高但文案方面可以说满足了东亚古典文化爱好者。本篇内容高能科普。 我结合《世界神话辞典》与中国古代第一本字典《说文解字》和很多汉字学者、老师们的解答，来解释仙侠题材常见的称呼。比网上常见的一些乱七八糟的解释要权威的多。		
可以看出，《西游记》杂糅了中国道教神话、中国先秦神话、印度佛教神话体系。五尊佛祖和道家的三清六御、中国本土神话的一些创世神等，就是目前西游记里和民间神话里最高级别的存在。对各世界神话感兴趣的可以查阅《世界神话辞典》（鲁刚著）.《世界各民族神话大观》（[苏]谢.亚.托卡列夫，叶.莫.梅列金斯基）等。我在此罗列一下神话体系比较完善的十几种世界各地区的神话体系：中国先秦文化、中国道教神话、印度佛教神话、印度婆罗门教神话、伊斯兰教神话、波斯神话、日本神话、北欧神话、（古）希腊神话、古罗马神话、埃及神话、犹太基督教神话、中美洲神话、印加神话等。可以说神话虽然是人们 的构想，但我身为一个无神论者对此也很感兴趣，因为神话里包含了、艺术、文化、哲学等内容，实在是人类文明的璀璨。而电玩又是一个综合性极强，能在各种方面把艺术、文化、哲学都体现的淋漓尽致的一种现代科技表达形式，所以电玩也是当之无愧的第九艺术。对植物的考究：绝大多数植物都是中国本土植物，但在此列举一些建模和实际植物有出入的植物：紫芝、猴头菇、葛蕈、龙胆。龙胆的配图果子不太对，龙胆科龙胆属植物的叶子是对生（稀轮生），而游戏配图的叶子则是互生；猴头菇本来是没有明显的菌盖，而配图是鸡枞菌。以上还都是小错误可以暂且忽略，但是有个大问题是基本一眼看上去就不对劲的：碧藕的建模竟然是睡莲。。。想必刷碧藕种子和嫩玉偶的玩家早就看出来了。实话实说电子游戏、电影等在各类道具选材配图时候应当严谨。总体而言，游戏属于大毛病不犯，小毛病不断的游玩体验，归根结底还是制作组经验的不足，但从创意和制作态度上来讲，这个游戏开发团队很有潜力，希望下一部作品能有更加精细的打磨，在操作和UI、自定义设置等方面设计更加人性化。游戏总评            评分项目        分数（5星满）                游戏画面        ★★★★(2024)                游戏音效        ★★★★★             文案        ★★★★★             耐玩度        ★★★            动作系统        ★★★任务关卡        ★★地图设计        ★★★游戏剧情        ★★★         游戏优化        ★★总分：8.1/10 点击关注 電玩狂熱愛好者  ，以获取更多游戏评测、资讯、攻略</t>
  </si>
  <si>
    <t>画面美术场景；音乐音效配音；演出角色怪物设计；动作打击手感；Boss战斗节奏；难度挑战；判定反馈；地图路线；空气墙可达性；探索隐藏支线；引导迷路单线；优化帧率；整体完成度；推荐价值判断；西游悟空符号；中国文化宗教语言审美；外部资料依赖；角色期待意义偏移；国产3A身份期待</t>
  </si>
  <si>
    <t>CN-P-271</t>
  </si>
  <si>
    <t>2025-08-02</t>
  </si>
  <si>
    <t>从来不写评测的，看到黑猴好评如潮以后更是觉得不缺我这一份，但是看完明末后高低得回来给个好评，不为别的，只为真正的好游戏发声，要有鲜明的立场，才能让真正的垃圾无所遁形。</t>
  </si>
  <si>
    <t>CN-P-272</t>
  </si>
  <si>
    <t>2025-08-04</t>
  </si>
  <si>
    <t>六百五十余小时沉浸，十六周目轮回往复，八十一项成就圆满达成，齐天难度下大圣残躯与二郎神禁字法皆以无伤告破……是时候，为这段旅程落笔了。游戏的画卷，美得令人屏息；配乐恢弘磅礴，每一个音符都直抵灵魂，轻易便能点燃胸中热血。箱庭与线性精妙交融的关卡，构筑起宏大而引人入胜的世界，每一步都激发着无穷的探索渴望。一把神兵，蕴藏三种奥义，辅以卓越的打击反馈——它让高手得以演绎行云流水的华丽连段，恍若置身光影交织的仙界战场；也让初入此道的新手，真切触摸到动作游戏的纯粹魅力与酣畅淋漓。与《黑神话：悟空》的相遇，是偶然，亦是必然。 沉寂PC平台多年，本已无意刻意追寻新作。只是命运使然，恰逢更换新机，一念之间，便按下了预购的确认键。何其有幸，得遇此作！ 感谢游戏科学倾注的赤诚匠心，让中国玩家在扮演过无数异国角色后，终于得以亲身化身、成就那属于自己的——齐天大圣！它或许并非完美无瑕，但这份填补空白的感动，足以铭刻于心。千言万语，终归一句：还得是那只猴子……那只踏碎凌霄、放肆桀骜的猴子！</t>
  </si>
  <si>
    <t>画面美术场景；音乐音效配音；动作打击手感；难度挑战；判定反馈；地图路线；探索隐藏支线；引导迷路单线；西游悟空符号；原典知识人物关系专名；国产3A身份期待</t>
  </si>
  <si>
    <t>CN-P-273</t>
  </si>
  <si>
    <t>“若不夺得年度最佳，众生怎知我尘缘已断，金海尽干”“年度最佳，三界六道不就毁在这四个字上？”2024游戏小年，虽然游戏问题还比较多，但是一个年度最佳的提名席应该是比较稳的。8.5/10游戏长板：美术和建模，这块板实在太长了，地图美术说是世界顶尖水平也不为过。但除了这块长板，其余基本都是短板。先说剧情，我不管你尊的原著到底是西游记也好，悟空传也罢，或者是斗战神精神续作，能不能把剧情讲完整，把剧情都藏图鉴里，这是小说，不是游戏。从第四章开始剧情就莫名其妙，举个例子四妹支线，撕符纸都不知道为什么要撕，反正就是任务，让撕就撕了再讲地图，基本上就是没有地图设计这个东西，无引导加空气墙，很打击玩家探索欲，特别是小西天极乐谷这张地图，茫茫一片雪地，没有引导锚点。然后点名批评花果山，说是烂尾也不为过吧，全是美术素材复用，基本是放弃这张地图了，特别是找到boss还得跳下去筋斗云才能把boss引出来，不看攻略找隐藏boss费死劲了最后是boss设计，大体型boss的设计就是灾难，难倒是不难，就是这个受击判定恶心你，特别是百目魔君，贴着身子3豆劈棍都能空。虽说缺点很多，但是可以理解，毕竟没经验，3天1000w份的成绩也能够说明大家的喜爱了，希望游科赶紧把DLC拿上来！！</t>
  </si>
  <si>
    <t>画面美术场景；动作打击手感；Boss战斗节奏；判定反馈；地图路线；空气墙可达性；探索隐藏支线；引导迷路单线；整体完成度；西游悟空符号；中国文化宗教语言审美；外部资料依赖</t>
  </si>
  <si>
    <t>CN-P-274</t>
  </si>
  <si>
    <t>即使去掉所谓爱国滤镜，黑神话也是一部素质十分优秀的游戏。美术、音乐、演出、文案都值得满分。战斗我给8.5分吧，几乎无预输入的手感太怪了，还有后期怪一些太明显的读指令和勾史碰撞体积明显欠打磨；不过也有不少交互感很强的boss设计要特别夸夸，尤其尾王我真是越打越喜欢。关卡设计7分，主次要路径区分太不明显了，基本没做软引导；这一缺陷在快活林尤其明显。RNG 0分，什么时候纯单机游戏能去掉这些硬拖游戏时长的无谓刷刷刷啊……剧情褒贬不一是有原因的。黑神话正如其标题，是对西游记的黑暗向解读，由妖怪的主视角来讲述故事，将原著中对欲与情的探讨、对神与佛的人性化处理放大为游戏的主旨。西游记虽然质疑、批判佛教，却没有脱离佛教；而黑神话呢，真结局还来复刻了一出“倒走西游”的经典阴谋论，就差明晃晃地把“佛是恶人”几个大字打在屏幕上了；这种看似展现另一种可能实际却是一边倒的说辞倒是完全背离了原著的朦胧感，转而更追求对于“反叛”的刻画。黑神话还对主要角色的经历（尤其是感情经历）作了大刀阔斧的改编。那这改编算不算“魔改”、是不是“乱编”？我想说的是，西游早已成为了一种文化符号，从古至今无数二创作品对其的改编并没有让原著失色，反而是让西游这个题材愈发饱满、角色更加鲜活。一个时代也有一个时代的审美和追求。改编如果改得有理有据、能自圆其说，本身是没有什么问题的，问题在于理由不充分、故事不完整的改编。很遗憾地，黑神话的后两章故事过于仓促了，游科究竟删掉了多少剧情我们不得而知，只能希望DLC可以补全一部分。批评的话讲了一大堆，真不是我不喜欢这个游戏。正相反，我是喜欢得不得了。黑神话确确实实是俺们小破村飞出来的金凤凰；作为商品好看也好卖，更难能可贵的是它作为游戏是真的好玩。虽然依然存在着一些不成熟的设计，但“完成比完美更重要”这句话说得没错。至少，做出来了，便是胜利。玩第一章的时候，我一向歧视电子游戏的爸妈也凑来一起“中年大学习”了。一家人坐一起围观杨戬的重男发言有些微妙，不过更多的还是感动。我的老爸甚至还主动去了解了什么是3A游戏、听了黑神话的小曲、看了游戏里的过场CG，晚上散步的时候还兴奋地和我一起讨论……上一次一部作品能如此破圈、跨越年龄的限制将人们联系在一起，是什么时候？正如结尾动画的标题《未竟》，希望黑神话仅仅只是个开始。衷心期待国产单机越来越好。</t>
  </si>
  <si>
    <t>画面美术场景；音乐音效配音；演出角色怪物设计；动作打击手感；Boss战斗节奏；锁定视角；判定反馈；地图路线；引导迷路单线；整体完成度；推荐价值判断；西游悟空符号；本国媒介路径；中国文化宗教语言审美；角色期待意义偏移；国产3A身份期待</t>
  </si>
  <si>
    <t>CN-P-275</t>
  </si>
  <si>
    <t>属于国产正经3A游戏不完美的第一步 整体游戏难度偏低，有难度的Boss可以说就那么几个而且难的点基本上也仅限于初见杀和机制 当然你要说不许用技能不能吃伤害什么那另说 风景很不错，几个特色地图都有模有样给看惯了日式建筑和欧式建筑的大伙一点儿 中华文化震撼！ BUT，地图美是美了，但是辨识度太低，可以说一句狗屎 游科如果后续能给游戏加上内部地图系统会使游戏体验增加不少估计 此外每一章结尾的动画做得都很不错，风格各异，短小但并不无力就是个人来说，算不上喜欢后面两章的剧情，只能说很幽默很2000年很中二整体要说的这是一部难得的佳作，不一定每一口都好吃，但是吃每一口都值得吃惯了汉堡可乐，何不尝尝这款麻辣猴头菇清炖猪脚爆炒小笼叉烧包！8.5/10分，如果要给情怀和国产第一款的加成，9.5分</t>
  </si>
  <si>
    <t>画面美术场景；演出角色怪物设计；Boss战斗节奏；难度挑战；地图路线；推荐价值判断；童年记忆情怀；本国媒介路径；国产3A身份期待</t>
  </si>
  <si>
    <t>CN-P-276</t>
  </si>
  <si>
    <t>如果满分是十分，我觉得他是8.5分，但考虑到他是中国乃至华人世界第一个3A作品，我愿意给他9.5分 前段时间看steam好友们都在玩，就有了试试入手的打算。于是买下来后好好体验了一下，确实把我惊艳到了。所以思来想去，决定好好写个测评，来说说我的一些看法。黑神话悟空给我感觉最大的亮点，即是强大的美术功底。毫不夸张的说，黑神话悟空的美术水平和画面流畅度是我接触过的大型游戏里最顶尖的那一档。而角色扮演类的大型游戏里能有这种震撼的画面流畅度的诸如鬼泣5 命运2这些，相比黑神话悟空也少了点美术上的美感，所以这方面我可以给满分。剧情方面，黑神话虽然算不上顶尖，但也可算是一二流，尤其难能可贵的是黑神话悟空继承了西游记原著中对建制和天命神权的一些批评。当然至于说黑神话宣扬了中国传统文化这一点我并不认可，恰恰相反的是黑神话有很多方面是有一些批判权威传统的意味。作为能够敢于蔑视天庭 敢于在如来手中撒尿的大圣，更像是一个玩世不恭又嫉恶如仇的形象，所以更多的有一种反传统的意味在里面。战斗方面，这个我要扣一点分了。且不说这个让人头疼的空气墙的问题，黑神话这个连招和战斗的效果上实在有些难以吐槽了。尤其是这个棍子连招的控制，就算是上手熟练了以后，也特别容易打空（推荐有技能点早点升连招上，轻击第三下切重击，不然一套连招对付一些灵活点的敌人就很容易打空）。滑鼠中键锁定敌人这个设定也有点怪怪的，如果是换成鬼泣那样能键盘锁定然后用方向键切换敌人目标且不影响技能释放我感觉会更好一些难度方面，整体玩下来是比较容易的。虽然是类魂游戏，但我觉得黑神话战斗上更近似于鬼泣，而不是黑魂，即使是对魂系游戏不太熟悉的人我感觉玩黑神话也不会太难。如果难度上黑魂是10分的话，那我感觉艾尔登法环视8.5-9，黑神话悟空是6，鬼泣如果只是通关大概是5分。 总评黑神话确实能算是可圈可点的3A大作。从结果上来看，黑神话在短短数天之内就有了一千万的全平台发售量， 为中国乃至华人世界的3A级作品从0通向1迈出了重要的一步。从小的方面来说，黑神话悟空的爆火，动摇了崩坏 原神等氪金二次元套皮手游或是CF DNF这些腾讯旗下传统游戏在中国的独大地位。由于长期以来氪金套皮手游在中国有易于制作和流水高的特性，所以导致没有厂商敢于对需要大量投入资金和技术的大型单机进行尝试，而黑神话悟空无疑是一次对游戏市场的冲击，促使单机游戏的发展。我在浏览台湾巴哈姆特的时候，就看到很多人已经从对黑神话的质疑转变为了肯定以及为什么自己没能做出这样的3A诸如此类的回答，我感觉这个确实是一个好事，说明黑神话悟空确实取得了不小的成功。从大的方面来说，黑神话悟空的爆火，一定程度上为改善了中共对文化娱乐领域的管控提供了契机。自近几年以来，中共一直在打压文化娱乐领域尤其是游戏领域的发展，先是未成年人游戏禁令，而后又是版号的寒冬，外部大环境又是经济的不景气和互联网大厂的大量裁员。在这样的条件下，黑神话的出现更是难能可贵的事。文化娱乐领域的繁荣，正是因为有宽松且相对自由的土壤而成以及对劳苦大众的贴合。就像rap文化诞生于欧美的贫民窟，却在上海成了对农民工的挖苦。假使今天有了黑神话悟空对权威的挑战，以后也会有白神话贾宝玉对法家威权专制传统的批判，后天还会有蓝神话孙中山。当民众的思想有了提升，那么中国的文化娱乐产业乃至民间民智的提升和公民意识的增长，也就有了更美好的未来。—————————————————————————————————————————2025.1.4 更新观察了一段时间中文圈互联网的一些舆论态势以及前段时间的TGA事件，感觉并没有我对于黑神话的爆火能带来文化娱乐领域管控放松与文化繁荣的期待，甚至隐约有了群体对立的发展趋势，感觉有些失望。这个好评我不会改，如果你真的发自内心喜欢黑神话这个游戏本身而不是只是“国产3A”的噱头，那我还是希望以此来关注他内在的更好。</t>
  </si>
  <si>
    <t>画面美术场景；动作打击手感；Boss战斗节奏；难度挑战；锁定视角；空气墙可达性；优化帧率；整体完成度；推荐价值判断；西游悟空符号；童年记忆情怀；中国文化宗教语言审美；角色期待意义偏移；国产3A身份期待</t>
  </si>
  <si>
    <t>CN-P-277</t>
  </si>
  <si>
    <t>2025-08-07</t>
  </si>
  <si>
    <t>个人评分8.7/10
金猴奋起千钧棒，玉宇澄清万里埃。
这一棒，狠狠地打在了中国游戏行业上。
——————
四天高强度耍猴，一路上走走停停，虽说在努力做全收集，但还是丢了不少东西。终于算是结束了一周目，游戏结束后，体会还是蛮多的，本作的重走西游，倒不如说是另开新章。
齐天大圣孙悟空，算是我们每个人的童年英雄。就像游戏中那猴子猴孙盼望着他们的花果山大王孙悟空重返花果山那样，这部作品更是寄托着我们对国产3A的满腔期望和对齐天大圣的热忱情怀而诞生的。
这部作品作为我们真正意义上的第一款3A大作，起着从无到有的重要改变的作用。《黑神话悟空》是会被载入我们游戏史册的，其名声也真的是响到了天边。
——————
·实切实地的模型扫描，让世界人民看到了我们的大好河山和宏伟建筑；
·广为流传的神话传说，也正代表着属于我们的思想，让全球人民感受；
·不同风格的美术：开篇、幕间和卷轴，哪怕是那妖精，都能站出来去外边跟别人比试一番；
·钟鼓琴笙锣琵琶，鸣乐和歌舞（武）艺佳，古乐器所奏的背景音乐，更是将传统音乐声扬四海；
·道教、佛教的千万般神仙佛妖，在这片土地上虽有斗争、但仍相呼应统一的和谐。再看那片战乱，一种睥睨天下的自信与自豪油然而生。
——————
因为是第一部如此的游戏作品，鉴于经验的不足或其他因素，虽然优点不少，缺点也绝对不能忽视，游戏过程中有着很多严重影响游戏体验的地方。
1.最突出的或许就是地图设计，极大的地图没有小地图的指引，还有极为阴间的隐藏道路和隐藏任务。再加上同一个章节中，同样色调的地图所引起的视觉疲劳。在来来回回探路过程中，没有感到多少游玩的乐趣，而只有眼累和心累。（所以我和朋友说笑着：游科藏着藏着，可别把“年度游戏奖”给藏丢了）
试想：或许加个小地图？加个任务列表？也不至于在游玩过程中丢三落四，一直擦屁股。
2.与地图相伴的就是空气墙，作为一个半开放世界的游戏，随处可见的空气墙配合着复杂的地图，体验真的不会好到哪里去。甚至有好几次都被卡在了空气墙之间无奈退回标题界面。还好游戏即刻保存进度，不会丢失什么东西。
试想：如果将几个章节的地图一一连起来，做成一个大大的地图，这不就是广袤神州吗？
——————
这类游戏算是第一次接触，动作类打击感觉无法与《黑魂》、《只狼》、《艾尔登法环》等游戏比较，但对于新手来说打击体验并无太大问题。同样因为有音游的基础（?），初见的话某些敌人的完美闪避也不算太难。
我玩着时，有不少时候因为天命人没有群体技能而被群殴时而抓耳挠腮。也有无数次想：如果有个远程武器该多好啊。或许别人手中的天命人威猛犹如大圣真身，而我的天命人，却是一个耍乱棍的小泼猴罢。
没有死亡惩罚，可以无限尝试一个BOSS直到成功，这点真的很好。
好在没遇到过闪退的问题，顶多是初见亢金龙时掉帧有些严重，但是很快就恢复了，尚在可接受范围内，对我来说影响并不大。
玩完下来，对剧情可感可叹，不同章节的剧情通过佛道和故事，讲出了一些道理。但天命人终究不是大圣，本作故事的结局，诸位人物解开了各自的心结，却给我系上了一个心结。
——————
没有东西是生来就完美的，更何况本作，虽有缺点，但不算致命。更因为第一部国产3A的名头，就值得推荐。
前路漫漫，道阻且长，西行路难。国产游戏行业的前途亦是如此，且盼其历尽坎坷，赴往光明。</t>
  </si>
  <si>
    <t>画面美术场景；音乐音效配音；动作打击手感；Boss战斗节奏；难度挑战；地图路线；空气墙可达性；探索隐藏支线；引导迷路单线；优化帧率；崩溃闪退；推荐价值判断；西游悟空符号；童年记忆情怀；中国文化宗教语言审美；国产3A身份期待</t>
  </si>
  <si>
    <t>CN-P-278</t>
  </si>
  <si>
    <t>8/10国产游戏首个3A大作，非常好的游戏，但仍也有需要改进的空间。先说个人吧，我打这个游戏可谓是一波三折，3050游戏本爆显存和撞功耗墙没法继续流畅打的原因打到第三章就咕咕咕了，直到给台式机升级，换了U后（显卡还是维持2060）才继续打的，虽然现在也还没打完，初步评价，评测仅供图一乐。当然，也有参考有一些人的评测。2025.2.17日更新：咱已初步通关游戏，虽然不是真结局，但因为精力原因，咱未考虑二周目那些。当然，简评已然定型，就不再修改。剧情方面，本作以中国四大名著之一《西游记》取经后的故事，开端于孙悟空与杨戬战斗，孙悟空因紧箍咒突然被触发败于杨戬后，六根被剥离，玩家扮演“天命人”来寻回大圣的六根，重走齐天大圣的大道；在这一路上，我们扮演的“天命人”历经千辛万苦，过关斩将，拿回了曾经属于大圣的神器。游戏方面，画面无疑顶尖，地图设计很精美，因为听说过地图有经过实地考察从而带动当地旅游经济；但空气墙多和地图引导差的问题影响游玩体验，如下面评测所说，需要改进的点；玩法如果你没有接触过类魂游戏，则需要大量练习和借鉴攻略（快请风灵月影大师来）来通关，因为大部分boss挺难打的。最后，期待游科下一部作品可以越做越好吧。</t>
  </si>
  <si>
    <t>画面美术场景；Boss战斗节奏；难度挑战；地图路线；空气墙可达性；引导迷路单线；优化帧率；Bug兼容硬件；西游悟空符号；原典知识人物关系专名；外部资料依赖；角色期待意义偏移；国产3A身份期待</t>
  </si>
  <si>
    <t>CN-P-279</t>
  </si>
  <si>
    <t>当过猎魔人、当过西部牛仔、当过中世纪骑士、当过神话角色、当过超级英雄，现在终于有一款游戏能当一回自己文化的大圣！一从大地起风雷，便有精生白骨堆。僧是愚氓犹可训，妖为鬼蜮必成灾。金猴奋起千钧棒，玉宇澄清万里埃。今日欢呼孙大圣，只缘妖雾又重来。</t>
  </si>
  <si>
    <t>CN-P-280</t>
  </si>
  <si>
    <t>8/10，瑕不掩瑜，推荐游玩。中国单机里程碑的游戏，无论是好是坏，有理想的人终究还是踏出了这一步，希望游戏科学不要辜负玩家们的支持，还需出DLC继续补充内容。观感：3/3顶级的美术与文化内涵带来了极致的视听体验，伟大无需多言。可玩性：4/5动作与法术系统良好，但缺乏进一步派生动作组合，平衡性、延迟手感等需要继续打磨。RPG要素得当，但部分搭配玩法要求多周目是坏限制。演出效果良好，CG动画优异，怪物种类极其丰富，boss战水平在线。地图设计一般，引导性较差。完成度：1/2前四章都算优秀，后面开始缩水，没有讲好一个完整的故事，结局爽感不足。</t>
  </si>
  <si>
    <t>画面美术场景；演出角色怪物设计；动作打击手感；Boss战斗节奏；地图路线；引导迷路单线；优化帧率；整体完成度；推荐价值判断；本国媒介路径</t>
  </si>
  <si>
    <t>CN-P-281</t>
  </si>
  <si>
    <t>评分：10/10，标志着中国游戏产业步入全新阶段的里程牌之作，中国玩家自己的3A大作。序章，美猴王与杨戬在云间大战三百回合，仅这一段演出，就足以问鼎全球一线技术水平；第一章，区区几分钟的结尾动画高度凝练地展现了金池长老的一生，尤为细致地刻画了他见到唐僧袈裟后起心动念的过程；第二章，无头说书人操着一口正宗的陕北秦腔，用插科打诨的戏谑方式陪着玩家走完了黄沙岭的全程；第三章，黄眉站在小西天的大雄宝殿中，霸气十足地说出：“信什么狗屁如来，不如我自己来！”；第四章，影神图中草蛇灰线的暗线描写揭露了天庭与灵山两大黑恶势力吃人不吐骨头的真面目，哪有什么穷凶极恶的妖怪，不过是道貌岸然的神佛所找的白手套罢了；第五章，牛魔王、铁扇公主、红孩儿一家三口始终都身不由己，即便父母一再委曲求全，最终也没能保得住孩子的性命；结局时，伴随着《敢问路在何方》与变奏版《云宫迅音》的旋律，一段旅程暂时结束了。但我知道，这不过是开始的结束。从这部作品开始，中国游戏产业终于迈入了3A大作的伟大殿堂。</t>
  </si>
  <si>
    <t>音乐音效配音；演出角色怪物设计；整体完成度；推荐价值判断；西游悟空符号；本国媒介路径；中国文化宗教语言审美；国产3A身份期待</t>
  </si>
  <si>
    <t>CN-P-282</t>
  </si>
  <si>
    <t>2025-08-16</t>
  </si>
  <si>
    <t>玩了81小时，拿完了81个成就。从来没有想过自己会玩一款动作类游戏玩到通关，甚至是全收集全成就。年龄早已是中老年人了，还手残，之前几乎从来不玩类似的游戏，抱着支持国产试一试吧的心态，买了这个游戏开始玩。意外的觉得虽然有点难，但还是能吸引我玩下去，而且自己水平竟然还不算特别差，比较擅长翻滚躲避，可能是之前玩的不少游戏都有QTE，给练出来了。因为手残加路盲，所以一周目全程跟着视频攻略走，到了boss就看打boss的攻略，通关了之后就看收集攻略，把一周目能收集的全收集齐了。总体感觉一周目每个boss都能卡我一阵，但是也都没有卡太长时间，只有虎先锋卡得最久。进了二周目感觉打谁都是碾压，无伤痛虐虎先锋之后就剩下一个目标了，速通三四章再直奔碧水金睛兽，拿完全成就之后觉得非常满足。</t>
  </si>
  <si>
    <t>动作打击手感；Boss战斗节奏；难度挑战；探索隐藏支线；整体完成度；推荐价值判断；外部资料依赖；国产3A身份期待</t>
  </si>
  <si>
    <t>CN-P-283</t>
  </si>
  <si>
    <t>2025-08-20</t>
  </si>
  <si>
    <t>几年前当我第一次听到黑猴的第一只预告片的时候，那时候的黑猴简直像病毒一样破圈的传播。我当时是很不屑一顾的，我像对待各种大热的东西一样有思维定式：“昙花一现”“大热必死”“营销手段”罢了。但是我按耐不住好奇心，打开了第一只预告片。从鄙视到疑惑再到惊叹，我在诧异这真的是真实的游戏画面吗？不会像类似扎尔伯克元宇宙预告片那种纯靠造假骗人消费的玩意吧。但愿不是。又过了很久，当那个发布日期确定的预告片出来以后，我的各种群又多了很多很多关于黑猴的讨论，我迫不及待的打开了那个史诗一般的预告片。我依然记得我当时看的热泪盈眶，回想了一下应该是预告片里震撼的画面和命运般的背景音乐还有民族自豪感共同作用的结果。我发现我从未对一款未上架的游戏如此期待，我期待黑猴横空出世，但我也害怕像网上说的那样发售即褒姒。8月20日前的每一天都是猴急猴急的。一直到我真正的玩上了黑猴。    我预购了豪华款，横竖我都要支持一下这款国产的3A大作。而且我也不差钱（不是，黑猴本身国区定价就不高而且STEAM倒倒余额真没多少钱。）而且我在看B站直播的时候还中了一份普通版黑猴（真天命人本人）。我还推荐给了我的朋友们，推荐给那些有PS5有配置够用电脑的伙伴们。虽然他们有的到现在还只过了广智，但是他们过了序章也明白了我为什么这么期待这款游戏。黑猴，我自己打了5个轮回，我用过网上发现的BUG，下过某幸修改器，学过逃课打法，详细搞明白了识破机制，找了个10周目的存档打过了杨戬和大圣残躯，从最开始我被幽魂折磨到甚至怀疑这游戏到底适不适合我、想起当初游科他们采访时候说游戏不难到底算不算虚假宣传、到最后也用了几十小时无伤过了虎先锋、寅虎、甚至是十周目的小黄龙。按朋友的话，现在去第几章哪个图我现在就跟回家一样。    游戏好玩吗？好玩，好玩的背后我觉得更厉害的是不同认知的人能从这个作品都能找到自己独特的收获。    手活好的玩家可以用三种棍法，打出无比华丽的无伤视频。（到底是发明的无伤视频啊，看着爽打着更舒爽呵呵）善于利用机制的玩家，发明各种搞笑无脑的轮椅打法。禁字决更像魂类玩法，召唤流，放毒流，减伤流，隐身流，双风控制流等等各种BD，天命人的成长最快止步于3周目结束，但是怪的数值会涨到6周目。黑猴的套装做的非常华美，虽然给人一种成长不明显的感觉。    喜欢听国风音乐的玩家，能把这个游戏的音乐列表循环播放。说几个我印象最深的，序章的鼓让人瞬间进入紧张的状态、打广智教头时候的BGM《大闹黑风山》让我想起了很古早的另一款国产游戏《流星蝴蝶剑》第二关钟乳洞。虎先锋《猴头好下酒》中国鼓和琵琶的魅力一览无余。小骊龙音游《砂掩骊鬓》，玩的时候我整个人都要高潮了。八戒相关的BGM我更喜欢《勿听》不太喜欢《戒网》，我觉得《戒网》里的男声音色不太抓我耳朵。这样的例子还有很多，充满命运感的小黄龙《善恶若无报》，破圈的《我也去当个天命人玩玩》等等。我认同网上某些音乐人的一些看法，在游戏BGM里用人声主旋律是一种非常大胆的做法。做好了，这个旋律你根本忘不掉。比如第二章的陕北调子《黄风起兮》第三章过场动画的《屁》。用不好，可能会喧宾夺主影响你的游戏体验。最后两章的音乐可能确实没有前4章做的那么好，最后大圣残躯那里的BGM确实没有那么丰满，但其实那里的BGM个人感觉更多是给看过86西游玩家的礼物，当你这个天命人直面大圣的时候，有回忆有感动有属于国人自己的浪漫。整个游戏总体上BGM用了大量的大调，听起来非常神圣、大气充满史诗给人一种热血沸腾的感觉。摄影爱好者更是开心了，游戏画面的考究，细节多到玩久了显卡会过热。更是给山西省泼天的流量，整的山西人都没法午睡了。我朋友最近去山西玩还给我带回一套通关文牒，真是梦幻联动。    游戏剧情是网上分歧最大的部分，有人认为游戏有诸多采用原著的各种细节设定，但是大圣的设定，神佛的设定是与原著背道而驰的。有人甚至给黑猴扣上对西游文化乃至中国传统文化破坏巨大的帽子。我只能说这种乱扣帽子人才是最阻碍中国传统文化发展的人。就连我6岁的女儿都知道这是黑神话，这不是原著，当然不能什么都拿来套原著。原著西游记能作为我国古代四大名著之一，自然是因为有其独特的价值所在的。有足够文笔的人没有吴承恩这一生与官场复杂的经历，有足够经历的没有吴承恩的写作能力。但是西游记是完美的吗？自然也不是。西游记也有它本身时代的局限性，讲的故事毕竟还是封建王朝的故事。所以我认为黑猴更高明的地方正是在讲革命的故事。什么革命？无产阶级站起来的革命！王侯将相宁有种乎！如果你把黑猴里那些所谓的神佛带入现在的某灯国，某阶级我觉得就很好理解了。你不听神佛的，神佛就给你降苦难。你不定期上供灵韵，那就别怪我把你们全变成老鼠了哦。想想某些老外某些宗教眼中的我们，你说他的优越性来自于哪呢？自然他们把我们当成妖精了啊，自然会觉得高人一等。但是我们黑猴里的大圣是怎么一个存在呢？他跳脱出了自身的阶级，他不认可神佛人妖有贵贱之分，这点和黄眉口中金蝉子（即唐僧）观点一致，即万物皆有慧根。那么如果剧情只是简单的舍生取义呢？那就是网文水平了，大圣要我们天命人做的是，继承他的六根尤其是他的意志。    所以我来总结一下就是：                         不必时时怀念我，也不要指望我回来。我走之后，你们就是我。        所以如果这么看剧情，是完整的吗？其实是完整的，革命的火苗如果在每一个玩家心中种下，那星星之火可以燎原。当然，你说通过玩一个游戏就怎样怎样确实太高看游戏的影响力了。但是如果能让有的玩家有了这一点点想法，多去看一些教员的相关资料就是成功。好，那么再回头看黑猴里大圣的设定，他其实是立体的，是有成长过程的，他也是有七情六欲的，但是他为了更重要的追求他选择放弃儿女情长，与曾经的兄弟反目成仇等等。但是当他发现他最后取到的经，并不是真正能解决世间疾苦的时候，他并没有继续和神佛们同流合污。他选择哪怕以死的方式也要摆脱神佛的控制，这种反叛精神，这种革命者的精神不正是对原著孙悟空精神的继承吗？  可能是我想的太多了，这么社会主义的剧情如果太赤裸在西方社会自然是没有市场的。所以黑猴埋的深了一点，隐晦了一点导致网上分歧比较大。当然，有的人黑这款游戏确实是利益相关的。黑神话的成功能让他们破防成那样，我是没想到的。破百万测评里96%的好评看不到，拿着几百个串子跑别的地方刷的差评来安慰自己，又精神胜利了。  黑猴里的猪八戒真的是该游戏最成功的创作，说最傲娇的话做最蠢萌最仁义的二叔。八戒的故事线非常感人，八戒到最后也是俗人一个，但正是他俗让人觉得他更亲切更真实。 所以，如果你在游戏性、音乐、画面、剧情各种小细节小彩蛋上都有足够的收获，那么黑猴真的是一场盛宴！   黑猴的各种梗破圈很厉害，老外学起来也挺快。TGA年度最佳难道不就是一件锦襕袈裟吗？     最后的最后，谈谈游戏的不足。游戏性吗，后两章的粪怪一下多了起来，刚开始打的时候会有点容易让人红温。空气墙对我来说不算什么扣分项，BUG确实不少，我自己也遇到过一些，问题不大。后两章可能确实有点赶工了，设计没有前面那么的精彩。游戏UI要是有更多方便操作猴戏的存储点就好了，希望能出BOSS挑战模式。对战大目标时候的视角问题确实是让人不太舒服。(果然出了，爽！）    瑕不掩瑜，这是我玩的最久的单机游戏。也是最美好的回忆。希望游科有钱了，在未来创作上戒骄戒躁继续发力。我可以等，不要让我们失望。希望我们的国产游戏越来越好。TGA最后还是证明了自己是个野鸡奖，你们媒体啊还是要提高知识水平，不要总想搞个大新闻。杨奇，你现在知道中指要向哪里竖了吧？</t>
  </si>
  <si>
    <t>画面美术场景；音乐音效配音；演出角色怪物设计；动作打击手感；Boss战斗节奏；难度挑战；锁定视角；空气墙可达性；Bug兼容硬件；整体完成度；推荐价值判断；西游悟空符号；童年记忆情怀；本国媒介路径；中国文化宗教语言审美；原典知识人物关系专名；角色期待意义偏移；国产3A身份期待</t>
  </si>
  <si>
    <t>CN-P-284</t>
  </si>
  <si>
    <t>“08.20，和广智去小西天，世界上最暖和的地方在浮屠塔的顶上。”“08.21，和广智去盘丝洞，有人在那里举办婚礼。”“08.22，和广智去火焰山，璧水洞很可怕，但是有广智在，所以不可怕。”“广智最好了。”</t>
  </si>
  <si>
    <t>CN-P-285</t>
  </si>
  <si>
    <t>当第三结局没有的时候，这个游戏在我心中就已经是个半成品的东西了。8月20号11点一直玩到22号，3天肝了40个小时，基本全支线都做完，主线因为据说有龙宫卡花果山没继续，二郎神也打了。只能说你这四年的技术全拿去画叶子了吧？？？地图设计的一坨，浮屠塔和盘丝洞，山路十八弯，连个向导地图都没有，你当天命人自带北斗卫星导航？？？然后来聊boss，后面的boss不全是读指令快慢刀？然后技能不同的派生起手基本相同，我打我的，你打你的，交互性在哪？定身术一阵输出？诚然，整个游戏剧情的文化输出确实做的不错，第二幕的西北民谣和第三幕的雪中寺庙做的都很不错，问题是你这是个游戏，游戏，不是cg动画。游戏的核心是好不好玩而不是好不好看，吃屎一样的地图，粪坑一样的boss设计，难道不值得喷？然后我还特意看完了影神录里的全部内容，了解了这个妖好佛邪的世界设定，问题是搞的这么谜语人，结果结局来个虎头蛇尾，还是藏到DLC里？？？反正我只能说，你做游戏，还是做单机，你又不是开放世界，魂类游戏的解密和boss交互做的和屎一样难道不能喷？不能说是国产的第一个3A就护着，烂就烂，好就好，该喷就该喷。</t>
  </si>
  <si>
    <t>演出角色怪物设计；Boss战斗节奏；地图路线；探索隐藏支线；引导迷路单线；推荐价值判断；西游悟空符号；本国媒介路径；中国文化宗教语言审美；国产3A身份期待</t>
  </si>
  <si>
    <t>CN-P-286</t>
  </si>
  <si>
    <t>往差了看，是没有叙事（只有文本），引导缺失，后期赶工，游戏没有做完。剧情展开和世界观构筑基本全靠影神图的文本，玩家在过场动画之外和NPC的互动剧情几乎没有，每章之间的动画虽然惊艳，但并不能完全掩盖游戏内叙事的缺失和单一。而且如果没有了解过斗战神与原著，主线很多地方理解难度其实是很高的；游戏引导水平和地图设计质量上也不够稳定，比如盘丝洞和花果山的地图质量简直是一个天上一个地上。关卡章节之间其实能明显看出开发轨迹的变动，第一章原本是按照线性关卡设计，后转为开放沙盒，所以基本是一本道。第二章则是将地图加大，小规模实验，加入岔路以及一些简单的锁钥。第三章加入了更多细节，引入地图交互，比如浮屠塔的阶段转变，小雷音寺的传送。之后第四章的关卡设计水平逐渐成熟，不仅加入了Z轴与隐藏要素，灯笼、青苔等环境要素的隐性引导也非常完善。但是到了第五章开发时间应该是开始不够用了，逐渐赶工，地图开始空洞。最后第六章可能已经是没辙了，已经定档8.20，不能上也得上，完全就是灾难级，我刚玩到第六章的时候真的被惊呆了，差点卸载；从以上问题中得到以下信息：首先剧情和世界观设定的文字稿应该早就是完善的状态，甚至有余力与外部工作室加上章回动画；而作为核心的战斗系统打磨几乎完成，BOSS和小怪在这个阶段也做了足量的设计；接下来是关卡与地图的打磨，边做边改，第四章已经熟练，但由于时间不够，在第五章开始赶工，第六章应该是差点没做完；而剩下的叙事优化、关卡引导优化、镜头锁定系统优化以及部分BOSS的招式优化是来不及做的（不少招式几乎是零帧起手的，不过整体上其实也已经是业内顶尖水平了）。总而言之，游戏其实没有做完。往好了看，是一种全新的游戏类型，3A级的BOSS RUSH游戏，市面上仅此一家。制作组的野心绝对很大，他们也的确有实力，有技术，唯一不站在他们那边的只有时间，如果再开发2-3年，我相信以他们第四章的地图设计水准，完善之后绝对能得到保底9分以上的成品。但现在这个版本也并不差，为什么非得学欧美的战神系，在动作游戏中加入解谜呢？或是学日本的魂系，把动作游戏变成快速QTE呢？（以上两种改变我个人认为都是在尽量节省成本下拓展受众且降低动作游戏的游玩门槛的优秀思路）现在黑猴走的道路其实也未尝不可，甚至让我感觉有种小时候打街机的感觉，只有纯粹的战斗，同时也做到前面两条路一样的事。（不过这条路也并没有前两条那般具有普适性，未来这样做的游戏可能非常非常少），现有游戏中美术、画面设计如此精良，BOSS在现有数量的前提下还能有保持如此质量的动作游戏基本只有黑猴一家，而这仅仅是游戏科学的第一部作品，未来，充满无限可能，期待下一部黑神话的问世，到时也一定支持。PS：觉得有帮助的话可以康康我的 个人鉴赏家 与 群组</t>
  </si>
  <si>
    <t>画面美术场景；演出角色怪物设计；动作打击手感；Boss战斗节奏；难度挑战；锁定视角；地图路线；探索隐藏支线；引导迷路单线；优化帧率；整体完成度；推荐价值判断；童年记忆情怀；本国媒介路径；中国文化宗教语言审美</t>
  </si>
  <si>
    <t>CN-P-287</t>
  </si>
  <si>
    <t>没想到时隔一周年制作组带来了钟馗的预告片，顶顶非常期待了，能感受到官方制作组具备的创新精神，仅这点在当下环境中是十分可贵的，希望黑神话系列的游戏品质能够始终如一，期待新作QAQPS：希望新作能有自行选择难度的选项，比如说出一个只过剧情的简单难度；推荐给家里长辈玩，但游戏太难了他们打不过去，希望能考虑更多群体；以及地图指引能更明确</t>
  </si>
  <si>
    <t>画面美术场景；难度挑战；地图路线；引导迷路单线；整体完成度；推荐价值判断</t>
  </si>
  <si>
    <t>CN-P-288</t>
  </si>
  <si>
    <t>“今日欢呼孙大圣，只缘妖雾又重来。” 提起孙悟空，大家的脑海中会浮现出怎样的画面呢？是 “身穿金甲亮堂堂，头戴金冠光映映” 的美猴王，或是 “手举金箍棒一根，足踏云鞋皆相称” 的大师兄，亦或是 “金猴奋起千钧棒，玉宇澄清万里埃” 的斗战胜佛。我想，不管是意气风发的青年人，还是成熟稳重的中年人，甚至是白发苍苍的老年人，孙悟空在人们心中的形象永远是不畏强权、不惧妖魔的英雄，是排除万难、忠心耿耿的行者。他机灵活泼，结交四海良友，游龙天地之间；他神通广大，上可战十万天兵天将，下可伏各路妖魔鬼怪；他腾云驾雾，御外敌显七十二变，护唐僧渡八十一难。我们已经在游戏中体验过太多太多外国的英雄事迹，从巴黎圣母院的信仰之跃，到东京神室町的天台对决；从蛮荒西部的声声枪响，到赛博朋克的夜之传奇。而在今天，游戏科学八年磨一剑，属于中国的英雄登上单机荧幕，这位家喻户晓的美猴王又要开启他跌宕起伏的冒险，用手中的金箍棒，打碎一切邪恶与不公，打破一切傲慢与偏见，我们终于可以在游戏中，当一次真正的齐天大圣。小时候总觉得时间过得很慢，不知道把98版的《西游记》看了多少遍，奶奶总是在一旁的沙发上聊着节目内容，而我也是有一搭没一搭的听着，看着电视机里的悟空降妖除魔。印象最深刻的就是悟空与唐三藏发生矛盾的那几次，悟空赌气离开了师父的身边，而师父又在这段时间被妖怪抓走，生死未卜。那时候感觉安全感跌到了谷底，不是因为八戒和沙僧能力不足，就是觉得悟空不在，事情就变得困难了起来。还有一集在车迟国的途中，悟空看到几名道士在鞭打着正在拉货做苦力的和尚，他上前阻止，并告诉他们将毫毛捏在无名指里只管走路，若是有人追拿便攥紧拳头，大叫一声齐天大圣，他就会来救和尚们。年少的我愿意相信大圣，于是困难来临时也总是攥紧拳头，即使大圣不会如约而至，却还是会感受到一种莫名的力量，走过了一个又一个的漫漫长夜。生活总是不完美的，家里的变故、短视频的兴起、突如其来的疫情，电视机里再也没有看到过大圣的身影，时间又像是变成了三倍速，浑浑噩噩的度过了一段麻木的日子。直到有一天，看到了B站首页推送的黑神话悟空游戏CG，精细的画面让我眼前一亮，精彩的打斗让我热血沸腾，我想这也许就是我今天写下这篇评测的原因。游戏方面来讲，内容量大管饱，几十小时的游戏流程让人直呼过瘾；音乐制作用心，主旋律的琵琶、唢呐、古筝尽显华夏传统文化；画质更不用多说，从发售前的各种实机演示就可以确定；优化也很良心，目前游玩到的内容帧数都很稳定，也没见到几个BUG。今年8月20日正好是农历七月十七，也就是民间传说中悟空的生日，祝我们的齐天大圣生日快乐，祝黑神话悟空大卖，也祝看到这里的你能做自己生活中的齐天大圣！10/10，这将是一根定海神针，扬起中国单机游戏的千层波浪！ “告诉你那玉帝老儿，他看不起俺老孙，倒要叫他看看，俺老孙可不是好欺负的！”</t>
  </si>
  <si>
    <t>画面美术场景；音乐音效配音；演出角色怪物设计；动作打击手感；优化帧率；Bug兼容硬件；整体完成度；西游悟空符号；童年记忆情怀；中国文化宗教语言审美；角色期待意义偏移</t>
  </si>
  <si>
    <t>CN-P-289</t>
  </si>
  <si>
    <t>2025-08-21</t>
  </si>
  <si>
    <t>注意，本评测包含以下要素 ：  刻板印象、过气版本、主观锐评 作为首款“国产3A”，《黑神话：悟空》的整体表现基本符合我个人在发售之前对于它的预期。能创下销量口碑双丰收的佳绩，游戏本身自然是有不少可圈可点之处。不过，吐槽的欲望才是我撰写评测的源动力——值此Steam大奖提名之际，我翻出了某位天命人创建于8月21日的文档，姑且根据祂重走西游路时的心路历程，助其完成三个月前的“未竟”之事吧。虽然我不认为有多少人会在这个时间点需要根据评测区的反馈来决定是否入手黑猴，但是就和收集六根一样，该走的流程一个都不能少，也希望这部分内容能够解答一些不明真相的围观群众对于剧情和游戏难度等方面的疑问。在正式开始之前首先感谢@Evie赠送的游戏本体~ 本篇评测拖稿的原因会慢慢解释的！没人强迫，是我自愿完成评测！.jpg 无剧透购前须知 首先是剧情方面，将“白骨之后，重走西游”作为宣传语的《黑神话：悟空》或许从一开始就更适合被视为基于《西游记》原著部分设定的同人创作  而非传统神话的延续以及世界观扩充。我个人建议在游玩的过程中将注意力放在画面和演出的表现力上，不必过度地对剧情细节进行解读，而是感受影神图和种种支线所营造的意境。剧情上涉及到《悟空传》和《斗战神》的内容，我会在后面展开讲一点。	   再来就是游戏的难度。我认为保有 “黑神话并不容易”的心理预期是非常重要的。因为游戏中并没有设置难度选项，如果玩家真的抱着“不会比魂类游戏难”的享乐态度去应对游戏里的战斗，很有可能在这方面收到意料之外的负反馈。考虑到黑神话本身自带的破圈属性，这种现象更容易出现在平时不经常玩游戏的人身上。除了熟悉天命人的基本性能之外，在战斗中基于对BOSS机制的阅读以及对战斗系统的理解从而合理地运用手头的资源也是玩家在通关过程中不得不品鉴的一环。遇到困难查攻略不是什么丢人的事，术业有专攻嘛，真正的大圣打不过的时候不也会摇人吗~至于价格，价格有什么问题吗？只要268，内置自动存档备份功能的国产3A带回家，妈妈再也不用担心我坏档啦！不过这个价格的游戏却不支持完全的键盘自定义按键，这点我确实比较费解。 笼统谈谈难度的事儿 说回难度，为什么我说卡关的时候看点攻略不丢人？——有自信和时间成本的话也可以像我一样莽过去就是了。	在黄金树幽影的评测里，我就提到了玩家游玩感受和心理预期不符会导致的问题。放在黑猴的情境下就是， 当游戏的推进速度比我内心的预期更慢、当部分BOSS战消耗了比想象中更多时间的时候，会让我觉得这款游戏并非比我一开始想象的要难——尤其在我还不是什么动作游戏苦手的情况下。	追本溯源，我的心理预期究竟从何而来？答案是发售前的宣传。当然，这样的说法并不严谨，因为我并没有在直面天命那天之前主动搜索任何《黑神话：悟空》的相关内容，所有的信息都是因为这个话题自带的热度被大数据推送到我眼前的。作为被动的接收方，我无法主动去筛选信息，自然也无法判断这到底算是官方还是非官方的宣发行为。不过不管怎么说，纷至沓来的情报中，我经常看到的说法是“黑神话的战斗难度预计比其他魂类游戏略低”。那么，事实真的如此吗？ 基于个人经历的战斗难度分析 在通关黑猴的过程中，我对自己实力的信心曾经在三次战斗之后达到巅峰。    第一次是在没有找到定风珠的情况下击败黄风大圣；    第二次是刚到第四章没多久就一路向下把小黄龙劈了；    第三次是在极度困顿的情况下被观众怂恿险胜二郎真君。 信心和成就感的来源是与我付出的时间和努力成正比的， 毕竟我在这三位大能身上消耗的时间基本可以说是成倍递增的，到最后那位的时候都快用到俩小时了。	 战胜三位强敌之后的效果也是立竿见影的——获得限时BUFF：“现在的我无可阻挡”，可以用自己喜欢的方式相对轻松地拿下任意道中BOSS，持续到遇见下一位强敌为止。整个游戏里总共有5个BOSS迫使我摸了专门的轴来处理——我个人对摸轴的定义：凭借自己对游戏系统和敌人招式的了解，有规划地在不同时间节点使用自己的战斗资源以战胜特定的敌人。 ——这里就是其中的三个。“摸轴”，为什么我会用一个如此网游化虽然手游种可能更常见（？的词汇来描述一个ARPG游戏的战斗体验？因为很多战斗的难点就像网游一样，全被安在了特定的机制上。依照我目前对MMORPG的有限了解，对高难度副本的拓荒往往指的是摸清楚BOSS的行动逻辑以及相关对策：在什么时间点、什么血量下，BOSS会出什么机制，而玩家又应该采取什么行为来应对。这本质上是一个比拼熟练度和记忆力的行为；在操作层面上，反应等等要素的重要程度反而没有那么高，攻略过程也更像是所谓的“走流程”。在黑神话里，BOSS达到特定血量下，有机制、有演出、有特效，还会有什么环节出状况呢？答案是“看滚”的余地，也就是玩家可以凭借反应和本能的操作空间。以小黄龙为例， 有多少人能在初见没有任何信息的情况下靠观察和反应躲开飞天五连闪中的任意四下？ 即便到了第二三四五次，我相信大多数人也很难将小黄龙在这一套动作里给出的视觉与听觉信息有效地用在对招式的闪避上。我并不是在说演出视效差，也对配音效果没有任何意见，只是单从游戏的角度出发，我看不出制作组在这个冗长高伤连招里对玩家的怜悯——更别提龙族还有个“雷蛰”增伤Debuff。所以最后我对这个招式的处理就是拒绝互动——要么到时间定风珠直接打下来，要么变身依靠机体性能连滚带爬硬吃一套。倘若小黄龙的招式设计是诸多BOSS中的个例也就罢了，但回想起黄风大圣的广播体操、瓜田里的车轮滚滚、百眼魔君的地底游龙、夜叉王的闪电旋风刀刀烈火……比起演出与难度的平衡失误，这更像是制作组有意为之的设计方向。作为玩家，我可以接受为了提高整体难度偶尔使用“读指令”或者“快慢刀”的设计，但我真的不太能接受一个游戏里的许多BOSS都有这种无法轻易被反制、演出时间长、同时还伴随着不俗伤害的技能。 难度超出预期的原因何在？  若是你问我制作组的知识储备和技术能不能做出允许玩家看滚的招式，答案是肯定的——很简单的道理，二郎神的蓄力锁定激光炮中就有这样的设计，在蓄力完成的前一瞬间屏幕会突然变暗，随后红色的激光迸射而出，而玩家因为得到了预警还可以借机蹭出一个完美闪避。这便是我在上一段内容中坚定这种让玩家“只可远观不可亵玩”的战斗演出是有意为之的依据。联想到这个题材下制作人的上一款游戏《斗战神》就是一款网游，这里的设计逻辑是不是一下就说得通了？在我看来， BOSS战的一些糟糕体验就是以网游思路设计BOSS导致的结果。	 假如这篇评测发布于三个月前，我在这部分的措辞可能会更激烈一些。可即便是现在，我依然能从记录文档的字里行间之中，感受到那时的我的疑惑与不解，就像下面截图里记述的那样：
		机制缝太多了……本来就没地图，又没主线支线的区别引导，到这儿又不能出爆炸伤害无视机制，还要搞关底BOSS和支线的强锁定，我觉得这只会让初见到这儿的人感觉这BOSS根本玩不起。 
		一张《Black Myth: Wukong》的截图
		作者：Silver_01☆NOOB
		最玩不起的BOSS第二集，要立回有机制要演出有机制要数值还有机制，唯一的难度来源就是他每个阶段都有的伤害规避机制，太MMORPG了。还有能不能让玩家改键啊，德语输入法一出来劈棍立马变戳有点幽默了。 
		一张《Black Myth: Wukong》的截图
		作者：Silver_01☆NOOB
好在都过去这么久了，冷静下来的我早早就想通了我会有如此心理预期的原因，甚至有空在搜索引擎里用时间排序的方式比较游戏发售前不同媒体对黑猴难度的表述差异。从结果上看，造成我对黑猴有“不会很难”错觉的原因有以下几条：    游科没有将宣传重心放在难度方面。玩家对难度信息的了解主要来源于有限的制作人访谈、少部分试玩录像，以及个人与媒体在试玩后发表的感想；    有机会参加试玩的人通常都不会是毫无经验的游戏小白。只要最终能通关，一些有难度的点很容易因为有限的试玩时间被忽略。另外，考虑到保密协议，体验者在试玩中接触到的BOSS通常没有与那类长演出高伤害技能绑定；    个人对互联网内容的偏好会对接收到的信息产生影响。当相关内容都由熟练玩家群体提供的时候，对难度的认知就如同一叶障目一般难见全貌。事实上，在百度搜索结果中，游戏发售前认为黑猴难度较高的言论和难度平平的论调比例大约是6：4，这个数据在谷歌的搜索结果里更是来到了8：2，也就是说认为黑猴难度较高的观点实际在数量上更胜一筹。对游戏难度的正确预期显然有助于缓解普通玩家在卡关时对自己能力产生的怀疑，而基于网游的设计思路则体现出在BOSS战中良好对策的重要性。在这样的前提下，想必大家也能理解为什么我在开头直言“遇到困难查攻略不丢人”了吧。 地图设计与玩家引导上的槽点 如果说战斗部分的“演出级难度”是游科有意而为之，那么地图、引导等等服务于玩家游戏体验的内容设计则体现出制作组的经验略显不足。抛开千夫所指的空气墙问题不谈——然而这种东西还存在于更新之前百眼魔君的正前方以及第六章石子的裆下……，游科大概是觉得简化后的平面俯视地图会大大降低游戏难度所以取消了这个功能。那么在这种情况下，至少把游戏内对主要路径的引导做好吧？结果呢？相较于魂系列传统的篝火存档点以及仁王那些个自带发光特效的木灵，黑猴里的土地庙自身在玩家给上香之前是不会发光的  ，上香了也没多亮就是了，也就是说以它们作为地标物先天是存在一定缺陷的。估计后面制作组也发现了这个问题，但是实在想不出让土地庙自己发光的合理解释，所以干脆弄了个怪猎的光虫设计，让玩家至少能在土地庙方圆20米范围内找到大致方向。恕我直言，这个聊胜于无的范围还是太保守了，毕竟黑猴也没有像鬼泣那样的按键提示主线行进方向的千里眼功能，这就导致迷路的问题在第三章体现得尤为明显。比方说我到现在都没弄明白，为什么第三章开头要设计这样一个中间有敌人、里面啥也没有，正路其实在玩家身后的小院？
		意义不明の小院 
		一张《Black Myth: Wukong》的截图
		作者：Silver_01☆NOOB
后来到了浮屠界，打完亢金龙不舍得原地给我留个土地庙也就罢了，实际上这个问题普遍存在于每个章节的开头，以及火焰山的棒球场前……刚到那儿的时候我到处在看自己为什么会掉血，一开始以为是灯泡人，后来猜有可能是冒红光的怪，最后在想是不是和推图的时间和区域有点关系，毕竟塔一直在那里转嘛。然后在半血测试的这个“谜题”的过程中被我第一时间打不到的弓箭手偷袭暴毙了，还得重新跑，我也不是自己摔死的，这设计只能说是血压拉满。我印象中从下层到中层触发了至少两次这个削血，而我执着于探索完每一整层再上楼，所以缺少引导的我根本摸不清土地庙所在的位置。那这个土地庙的位置设定难道没有优化空间吗？ 比方说玩家进这个区域给个打坐蒲团或者长镜头隐晦地提示一下土地庙大致所处的楼层，让玩家在跑图的时候更有目标性更容易规划自己的血量和蓝条资源，难道还会给游戏带来负面的体验吗？ 在第三章的长生大道找不到去往小雷音寺的路结果绕回快活林或许是我眼神的问题，但是在第六章开局就因为探索地图不小心钻进了什么也做不了的水帘洞浪费时间绝对是设计师摆烂的结果。拯救这个灾难级腾云找路机制的方法也很简单，哪怕你这一章开局让八戒跟我说，当年他来花果山找过他猴哥——真假猴王那个章节  ，所以可以作为引路人带你天命人先把土地庙开一轮，再在临走前给你指一下路径上的第一个怪，哪怕他后面消失一整章，恐怕都比让玩家跟着个不会说话还一不小心就把人烫死的凤翅将军要靠谱吧？ 和原著关系最紧密的大抵是法宝的用途吧 说到玩家引导就不得不聊聊本作的各大关底BOSS以及基本与它们牢牢绑定的法宝系统了。 据我看来，黑猴现有的几个章节所选取的BOSS在《西游记》原著中都属于极具代表性的那类	，大多是能与猴子斗得不相上下甚至是略占上风的妖中强者，而我们的大圣常常需要借助其他大仙的法宝才能将它们降伏。在这方面，黑猴基本沿用了原作设定，只是通过增加解谜和探索要素的方式大大提高了玩家获取这些制胜法宝的门槛，以一种比较巧妙的方式提高了直接与BOSS对拼的难度，从而倒逼玩家探索地图。看我前面截图的留言就能知道，我对于一股脑把想到的点 机子制全部梭哈到一组怪物或者某一个BOSS身上的行为是持反对态度的，但我最终还是放弃了把每个关底BOSS拉出来批判一番的行为。  真的不是因为评测字数不够了吗？这是因为我在准备写稿的时候发现可以用一种积极的角度来看待这类堆砌难度的行为：    已知大圣本人不具备直接破解三昧神风等等神通的能力；    又由结尾可知大圣残躯的综合数值面板在天命人之上；    而我操作的天命人可以在不依赖法宝的情况下正面击败黄风大圣、百眼魔君等妖王；    由此得证：玩家控制的大圣显然会比孙悟空本人操作的大圣更强，大闹天宫换我代打早就夺玉帝鸟位了；等式两边约去一个大圣可得我＞孙悟空。 什么乱七八糟的！要是你觉得上面这番推论是对逻辑的亵渎，那么请尝试思考下面三件事的联系：    游戏内第一次出现的带护盾BOSS是第三章的不白，教学内容是破盾才能出硬直；    游戏内第二个带护盾BOSS是终章的二郎神，他是一个机制怪；    第五章结尾获得的芭蕉扇法宝可以无视护盾造成BOSS硬直，在实战中可以作为对二郎神专属宝具。请问，我需要的过渡部分去哪里了？ 同样缺乏过渡的还有这游戏的主线剧情。  玩家作为天命人替大圣寻回六根这么个事儿确实是讲明白了，但这事儿的前因后果以及我们的主要敌人自始至终都被一团迷雾笼罩，动画播到牛魔王打大圣那一章的时候我简直怀疑自己在什么地方漏了两集的剧情。为了搞明白自己到底错过了哪些关键信息，我在游戏通关后的几天里接连查阅了不少与   《斗战神》[www.bilibili.com]、 《悟空传》[www.bilibili.com]相关的资料，了解了 泾河龙王的设定[www.gcores.com]与西游记原著中的差异，也理解为什么四小龙、袁守诚乃至王灵官[xiyouji.5000yan.com]在黑猴中有着相当高咖位的缘由。而金蝉子和沙师弟在本作中参与度不高的原因正是因为他们与造成世间这般变化的主要矛盾有着更深的因果联系，将他们也融入剧情很难在六章的范围内讲出一个完整的故事。如此说来，第六章的未尽是指内容没做完的意思吗？所以说，影神图中的小故事并不足以支撑起黑猴本身的世界观，与其将之视为模仿“魂味”的背景描述，倒不如直接其当作一本与黑猴项目齐头并进的、作为补缀的故事集——如同第二章结尾那意义不明的短片动画一样。 是的，《黑神话》本身，或许就是一个巨大的点子集 恰似论文和学术研究一般，黑猴的立项之初，就承载了制作人太多的野心与执念：    要传承《斗战神》，你便化作天命人；要能腾云驾雾 ，于是有了花果山；    要有七十二变，故而从变狐变蝉一转精魄系统；    要做文化输出，真实的取景、结尾的动画与壁画就应运而生……亦如科研一般，将想法化作现实的过程总是充满了重重困难，很可能需要一而再再而三的妥协才能勉强交出一份像样的答卷。在这个过程中，自然免不了痛苦和遗憾——法天象地的素材复用和被牺牲的七个章节，像极了写到此处的我，刚刚才意识到已经没有足够的篇幅来支撑我展现自己对跳踢的心得、对珍玩爆率的怨念以及对高周目数值的见解了。但那些都不重要了。《黑神话》不是一般的点子集，它是一个有功的点子集；而且不可否认的是，我们都相信这会是一个好的开始， 就如同寻回六根的天命人现在的结局一般——尚未结束，却又充满希望。 感谢你能看到这里。</t>
  </si>
  <si>
    <t>画面美术场景；音乐音效配音；演出角色怪物设计；动作打击手感；Boss战斗节奏；难度挑战；锁定视角；判定反馈；地图路线；空气墙可达性；探索隐藏支线；引导迷路单线；优化帧率；西游悟空符号；本国媒介路径；中国文化宗教语言审美；原典知识人物关系专名；外部资料依赖；角色期待意义偏移；国产3A身份期待</t>
  </si>
  <si>
    <t>CN-P-290</t>
  </si>
  <si>
    <t>8.0/10 差评主要是我自己玩的不是很愉快，应该不会继续玩了。但是钱还是支持一下国产3A了。个人评分参考：旷野之息 10/10 战神4 8.5/10黑魂3 9.0/10艾尔登法环 9.5/10最主要的问题确实出在3A经验不足上，游戏性向美术妥协了。很多美术包括场景，敌人动作以及自机动作都缺乏辨识度。打起来手感很难把握，怪的招式感觉也不是很好拆，迷路和毫无探索欲望的第一章地图更是被其他常见的3A拉爆。不过也是可以理解的，这种“手感”沾边的模糊东西是最难调的。希望以后有更多人才和经验从传统3A厂引进回来。</t>
  </si>
  <si>
    <t>画面美术场景；动作打击手感；难度挑战；地图路线；探索隐藏支线；引导迷路单线；推荐价值判断；国产3A身份期待</t>
  </si>
  <si>
    <t>CN-N-291</t>
  </si>
  <si>
    <t>2025-08-22</t>
  </si>
  <si>
    <t>先说结论：这款游戏就是半成品。早期谁说半成品就会被围攻，如今回头看，事实摆在眼前：完成度断崖式下滑，第一章在演出、配音、对话上的打磨远胜其后；前期小兵会聊天、见到主角有语音反应，后面几章直接变成哑剧。剧情更是散乱，缺乏起承转合，不知道主角从哪来到哪去；所谓开放式结局，无非拿不完整当挡箭牌。以这样的品质还要碰年度奖项，制作人和部分护航者自我陶醉，令人难以苟同。更离谱的是，DLC竟然安排在续作之后，开发规划像是边走边编，吃到国产首款3A红利便开始做梦。结论明确：不推荐。现在的它不配现在的口碑，等把该补的内容补完，再来讨论口碑也不迟。</t>
  </si>
  <si>
    <t>音乐音效配音；演出角色怪物设计；整体完成度；推荐价值判断；国产3A身份期待</t>
  </si>
  <si>
    <t>CN-N-292</t>
  </si>
  <si>
    <t>2025-08-27</t>
  </si>
  <si>
    <t>隐藏结局打了，隐藏boss也打了，个人感觉这游戏玩下来的感觉就是，虚幻5牛逼，游戏烂，无聊的打击感，素材拼起来的地图，还有130gb到底塞了多少垃圾没删。这部作品都不能算是一个完整的作品就敢放出新作的预告，真是飘了。第六章也是真的敷衍像是拿着虚幻引擎的地形编辑模式随手捏了两下，筋斗云做的跟马赛克一样骑起来还会掉帧也是无敌了。特效就无脑拿粒子堆起来的，一变身，帧数都直接掉。里面的怪物设计，不是快慢刀就是泥头车，纯恶心人，不难打但是很恶心，一周目所有boss我没有打的次数超过4次的，基本上都是灌伤灌死的，几乎没有互动，打起来很无聊，打杨戬还好，特别是后面4阶段显示原型，那里打起来还挺爽，cg穿插也可以。但也全是快慢刀真的很无聊。小怪设计更是垃圾。而且几乎每一章都有光照错误的情况。最让我映像深刻的是魔将妙音这boss真的逆天，我总共打了两次，第一次是卡死了，我5090+9950x3d，在魔将妙音放技能的时候从100多帧掉到20帧，之后降画质才过了，但还是有剧烈掉帧。那些吹这个游戏nb的真的跟邪教一样魔怔，但是我说实话吧，这个称不上3A，就算是3A作为第一款中国3A更应该受到批评才会改正不好的地方，还有很多人认为光影好就是高画质，真的太天真了。我还要强调一下这游戏名不副实</t>
  </si>
  <si>
    <t>画面美术场景；演出角色怪物设计；动作打击手感；Boss战斗节奏；难度挑战；地图路线；探索隐藏支线；优化帧率；崩溃闪退；推荐价值判断；西游悟空符号；国产3A身份期待</t>
  </si>
  <si>
    <t>CN-P-293</t>
  </si>
  <si>
    <t>2025-09-03</t>
  </si>
  <si>
    <t>09.03更新。评论区有一个哥们儿说得对，可以考虑懂得西游背景的人能够更沉浸的游玩，这不仅仅是文化滤镜。当然，带上这个滤镜我觉得可以给9分，但是我想首先就是从一个没有深度了解西游记的角度，单纯地从游戏本身上去聊这部作品，并不是说从文化、传统、家、国、人等更高层次的意义去为黑猴赋能，但也不是说，黑猴不需要，不必要。到今天为止，国外玩家还是好评如潮的，从其他社交媒体中看到，黑神话引小日子跟小偷子阴阳怪气，让西方玩家感到震撼，这都是产品在游戏本身就非常优秀的基础之上，带来的更多加分项，如果黑猴不好玩，也不必去谈文化赋能了，前面一个“大圣归来”也是一款与传统文学内容相关的作品，结果如何大家都清楚了。当然，作为中国玩家，带上中国玩家的滤镜，10分我都觉得少，毕竟，第一个大学生，对吧。————————不带多余的滤镜去评价黑神话悟空，是对游科最大的尊重。 8.5/10 一周目打着尽量全收集全支线的目的去玩的，目前快60小时，进度推到了火焰山隐藏地图前，稍微评价一下国一3A吧。 画面 UE5加持，画面绝对算得上第一梯队。角色毛发、动作，建模制作的都非常优秀；得益于优秀的粒子特效，画面细节的表现力也非常精良，付出了大量时间与精力扫描的各地古建，细节也是满满，单单从画面上来说，黑神话悟空绝对是顶尖的。 声音 先说游戏音乐，我觉得整个作品不说，光音乐这方面就能随便拿到TGA最佳配乐提名了吧 （其实是想说能拿到最佳配乐的，但是西方滤镜这个东西，不好说） 从战斗音乐、变身、化身还有剧情音乐，我认为都是顶尖的，极具中国特色的配乐真得让人很爽；然后是角色配音，其他语言没有试听，不予置评，光是中文配音这方面，拿捏的非常到位，一开始大圣的CV虽然说话时没有让我惊艳到，但是在笑声、打斗的哼哈声中还是让我惊喜不少，非常好地让我回忆起来了六小龄童老师的孙悟空，作为游戏中后期的重要剧情角色猪八戒配音也是非常优秀。最后是战斗与特效音效，武器短兵相接、闪避、变身，都非常丝滑！在声音这方面，值得满分！ 战斗 作为一款ARPG游戏，战斗体验是否良好，对游戏的总体评分影响是非常之大的。在过往游玩过的动作游戏中，大多以武器种类来填补动作方面的不足，黑神话受制于主角身份限制，只能使用棍棒，但游科对战斗的设计并没有让人失望，猴哥的棍棒，有劈棍、立棍以及戳棍三种攻击模组，再加上法术、变化的构成，让主角不仅限于能够使用棍棒：变身成为广智，使用长刀；变身成为小黄龙，使用剑；变身成为沙二郎，使用大锤等等等等，如果有人说黑神话悟空的战斗单调，那我只能说你玩得还是不够深入。在角色养成方面，游科使用了随时（指在任意存档点）洗点的方式，让玩家在针对不同敌人时，使用不同加点策略来玩得更爽，像我个人就比较喜欢使用吹毛+定身棍花的快速攒豆流派来在短时间内打出大量伤害，如果是对自己操作有自信的玩家，可以选择禁字决用棍棒与闪避进行战斗，也很帅。虽然在战斗体验中，黑神话悟空做得很优秀了，但是还是有一些不足，让我最为困惑的是，游戏的锁定机制，单个怪物如果是进行高速/大角度的位移时，有一定概率会丢失锁定目标，而在多敌人的情况下，经常会出现：我锁定了A敌人，A敌人被我一套打倒但是没有消灭，锁定就自定切换到B敌人，逻辑非常奇怪，也不太能理解，我以为是我开启了自动锁定的缘故，但是我关闭自动锁定，自己锁定一个目标时，在上述情况下还是会遇到这个问题，在面对多个敌人时，非常痛苦。总体而言，针对锁定问题，我可能会给到8/10的分数。 探索我相信在探索这方面也是黑神话悟空被诟病的最严重的方面。在游戏还没有正式上线时，许多玩家从游戏试玩视频中都认为黑神话是类魂游戏，但在之后，很多玩家/评测媒体都说黑神话是与战神相似的动作游戏，其实在我实际体验之后，我觉得还是比较像魂吧，没有地图、隐藏故事、隐藏BOSS、隐藏道具、没有明确指引的部分支线，都是魂游中比较经典的元素，但是死亡惩罚这方面，确实不魂，所以说黑神话悟空不是魂游，倒也正常。从第二回尤其是第三回可以看出，游科在地图设计方面的明显短板，但是为了玩家沉浸的体验、游戏难度以及游戏作为半开放/箱庭世界的玩法服务，地图设计稍显复杂，到目前为止，浮屠塔依旧是我认为做得最难玩的一关。如果不看攻略，我都不知道自己会漏掉多少支线以及针对关底BOSS的法宝，不过我认为隐藏内容倒也是做得比较有趣，毕竟不是开放世界游戏，如果自己探图比较细，也是能够发现许多隐藏内容的，只不过，这部分隐藏内容要么藏在了影神图，要么藏在了一些对话，一些道具中，要紧事物，多少都跟隐藏内容相对应。很多玩家诟病的空气墙，我倒认为不是什么问题，可能由于游戏在国内的影响力之大，导致许多没有玩过ARPG类型的玩家，或者说，在国内国际诸多游戏都是开放世界游戏的情况下的不适应导致的，也说明游科在游戏画面分界方面还是稍显薄弱，也许后续作品会有更好的优化吧。 剧情由于还没有通过，大家讨论的最多的主线剧情方面我确实有点插不上嘴，但是我觉得既然是“黑神话”那就一定会有诸多遗憾与暗黑的内容，可能很多内容都与我们之前了解的西游记，大相径庭，在支线故事叙述方面，游科算是有优有劣吧，像马哥的支线做得久很不错，但是四姐的剧情在让人意难平之外还有点让人困惑，好像前面铺垫了许多，结束得有点潦草了。传言说游科制作了十几个章回，但是目前的内容只是精选出来的，所以难免有些瑕疵，作为第一部作品，我觉得在剧情这方面最高也只能给到7.5分，希望游科之后能够在下一步作品/DLC中对游戏剧情有大量补充完善吧。 其他以及碎碎念从一个入坑游戏圈大概20年的老玩家，各种各样的知名作品都玩过，黑神话很好的给西方玩家上了一课，作为游科的第一个作品来说，亦是作为村里的第一个大学生，我肯定是要给黑神话悟空满分的，但不管是各位中国玩家也好，还是国外玩家也罢，将国产游戏不试做一个Buff，一个滤镜，而是一个锦上添花的点去看，我想这不仅是对游科的尊重，更是对中国未来单机游戏的尊重，在写这篇评价前，游戏已经卖出1300W+了，纵观国内外单机作品，这都是一个值得让中国玩家骄傲的数值，就算国内贡献了百分之八十，那也是实打实的钱，让国外厂商能够更重视中国玩家，让国内游戏厂商能够发现国内单机圈就是有这个实力，游科与支持黑神话的每一位玩家，就已经是功德无量了。感慨结束，希望游科在开完香槟之后，继续努力，我还是想要看猴哥大闹天宫QAQ！</t>
  </si>
  <si>
    <t>画面美术场景；音乐音效配音；演出角色怪物设计；动作打击手感；Boss战斗节奏；难度挑战；锁定视角；地图路线；空气墙可达性；探索隐藏支线；引导迷路单线；优化帧率；整体完成度；推荐价值判断；西游悟空符号；童年记忆情怀；中国文化宗教语言审美；外部资料依赖；角色期待意义偏移；国产3A身份期待</t>
  </si>
  <si>
    <t>CN-P-294</t>
  </si>
  <si>
    <t>非常好，达到心里的预期了，但是还是有不少小缺点的，给我影响最大的就是喝血动作不明显，有时候按了但是没回到，有时候连喝两口，还有完美闪避帧判定有点太短，有时候肉眼看刚好躲开攻击但是没触发分身，还有最恶心的是一些小怪和小精英的动作交互做的挺差，我打他的时候他还能突然给我来一下，仿佛没有僵直，还有黄风地图的弓箭手小怪也是十分逆天，可以突然连你半条血而且在屋顶你还不好处理。       目前刚打到第二章，前面4小时的体验我感觉是拉满的基本上，治好了我的电子阳萎，上一个这样感觉的游戏还是怪猎世界，总的来说在我心里满分10分给9.5，瑕不掩瑜，缺点还是有的，但是作为第一部国产单机，我觉得已经非常非常不错了，加油中国制造！—————————————————————————————————          40小时一周目通关全BOSS全人物解锁，玩完后发现这是款优点和缺点都大的游戏，首先毋庸置疑的这游戏的美术真的非常好，好到变态，打坐时看风景仿佛置身其中，音乐及章节结尾动画方面也可圈可点，尤其是黄眉和八戒那段，但这40小时里绝大多数时间都浪费在跑图上，我是所有支线都去做的，大量的跑图+无地图引导有种为了延长游戏寿命而延长的感觉，如果不看攻略的话很难进行下去，第四章后期就开始觉得很疲了，第五章开始更是有种快点结束的想法，归根到底还是后期可玩性太低，后期BOSS战除了红孩儿、二郎神、残躯大圣外，其他BOSS更是没有任何新意及交互感，很多都是纯数值的粪怪，前三章有多好后面就有多差，特别是花果山那章，满满的赶工及敷衍感，玩前三章的时候每天都蚂蚁爬，玩到后面真是有点想快点结束了。。。。如果有后续更新，希望真的务必加入地图功能，哪怕是简单的静态地图，让我能知道我现在在图中的哪里，而不是每个章节都靠印象和参照物，不然这游戏只适合连续有玩的人，久久不玩的每次都要重新记地图。       最后，前期我提到的前4小时的体验确实值得9.5这个分数，哪怕是前三章都没问题，可是加上后面几章的体验，以绝对客观的角度来说，这游戏综合下来只有个8.5左右，不掺杂任何其他因素。希望游科也可以多听听玩家的意见，也希望不久的将来能玩到新的作品，总之，这是一部很棒的中国3A开山之作，不管喜欢讨厌都好，他已经雕刻在了历史的柱子上并取得了成功，让全世界都看到原来中国也是可以做出这样的游戏。       故不积跬步无以至千里，不积小流无以成江海。</t>
  </si>
  <si>
    <t>画面美术场景；音乐音效配音；演出角色怪物设计；动作打击手感；Boss战斗节奏；难度挑战；判定反馈；地图路线；探索隐藏支线；引导迷路单线；优化帧率；推荐价值判断；西游悟空符号；本国媒介路径；外部资料依赖；国产3A身份期待</t>
  </si>
  <si>
    <t>CN-P-295</t>
  </si>
  <si>
    <t>天地之大，有我容身之所一个属于中国游戏史的浪漫情书游戏总评：9.5/10游戏通关了一段时间，游戏的风头也基本过去，犹豫要从什么角度去写游戏的评测，觉得拖延下去要把游玩体验都要忘光了，还是把测评写一写，在经历TGA的“正确”最佳游戏评选，黑神话果然不出所料地落选了，只获得2024年TGA最佳动作游戏，2024年TGA年度最佳游戏提名。但是作为一个拥有情怀的玩家，黑神话应该是玩家今年心中的年度最佳游戏，并不是黑神话是完美无缺的游戏，而是在这个时候，游戏的各个方面和制作水准，影响力，是足以有这个水平。本人不是资深动作/魂系玩家，玩的比较杂，什么都会玩，但是也有几百小时怪物猎人游玩时间，240多小时仁王2全成就，100多小时蝙蝠侠全成就等动作游戏的经历，所以对黑神话还是有一点个人想法测评，它可能不适合每一个人，它也不是完美的游戏，我们也不要神话一款游戏，但是在情怀的想象下，它属于中国玩家等了很久的一封魂牵梦萦的情书。在2024年年末的时候，黑神话更新了地图和挑战玩法，目前还不算完整内容（后续还有更新的情况下），黑神话是值得9.5分，今年玩到个人第二个这么高分的游戏。游戏的美术一流称的上满分，包括壁画，雕像，BOSS设计，地图景观，不同季节的变换，一流的音乐和精美的过场动画，一个个细节都展现出精心制作的程度。游戏的动作系统是能让人不太困难上手的同时还兼具一定深度，包括对棍法的设计，带有一定程度的ARPG属性，同时游戏还有妖怪精魄化身技等游戏内容设计，都是有一定减轻游戏难度，能够让更多的玩家享受动作游戏的乐趣同时还有一定的深度。游戏的BOSS招式变化多样，BOSS设计各有特色，招式也比较合理，而且都有克制方法，小怪丰富且符合文化背景，影神图包含了的大量文本量和文化故事。而且画面表现一流，还设计了很多隐藏内容，等待玩家挖掘和发现。游戏的一些不完美1，游戏的地图设计，引导设计，为了服务于美术而放弃了太多合理的地图设计，地图的视觉暗示较少，或者说地图视觉引导不明显，很容易迷路，为了美术风格统一，放弃了很多地图引导设计。2，动作系统本身其实可以深挖一些构建和动作派生，对于硬核玩家来说还是缺少一些深度，当然这个也不能说完全是缺点，毕竟能更容易被更多的玩家接受游玩而不是劝退。3，黑神话的故事叙事理解有比较高的门槛，游戏的没有很好的叙事完整性和连贯性，很多故事的理解需要建立在对西游记的熟悉和了解上，如果没有提前对《西游记》的了解会对故事比较莫名其妙，甚至黑神话是部分跳脱于原著来讲故事，对于其他地区和文化的玩家来说可能不够友好，对于故事的高潮和情怀，一些伏笔和细节无法深入理解。从黑神话正式亮相到发行正好四年，四年的时间制作出属于国人高规格3A游戏，其中的创作困难肯定有很多，游戏文化底蕴和叙事价值也是充斥整个作品，黑神话可能不是一部完美的作品，但肯定是一部个人认为特别的，有独特风格和文化的高分ARPG作品。</t>
  </si>
  <si>
    <t>画面美术场景；音乐音效配音；演出角色怪物设计；动作打击手感；Boss战斗节奏；难度挑战；地图路线；探索隐藏支线；引导迷路单线；整体完成度；推荐价值判断；西游悟空符号；童年记忆情怀；本国媒介路径；中国文化宗教语言审美；剧情叙事理解；国产3A身份期待</t>
  </si>
  <si>
    <t>CN-P-296</t>
  </si>
  <si>
    <t>我是一个年界花甲的人，孩子购买游戏，并把他的steam帐号给我，推荐我试着玩这个游戏，说是国产里最好的，游戏能增加动作协调力更有利于健康。试着玩这么久，从一点操作都不会，到现在基本能打打识破，最早的已经走到了七周目，现在在玩新开游戏，还是很开心的。在平台上已经创建了好几次新游戏，有点建议：能不能新创建的游戏里的成就也从零开始，那样，成就感就会不一样。我想这个要求不过分吧</t>
  </si>
  <si>
    <t>动作打击手感；推荐价值判断；国产3A身份期待</t>
  </si>
  <si>
    <t>CN-P-297</t>
  </si>
  <si>
    <t>前言历经80个小时候终于达成全成就才来写评测。很感动，很欣慰，游戏科学就像是村里第一个考上大学的学生，本以为最多是个本科，没想到考上的是世界名校。无论我们未来会对这第一部国产3A游戏如何评价，游戏科学已然创造了奇迹，《黑神话：悟空》在中国甚至世界游戏史上都留下了浓墨重彩的一笔。 评分：9.5（实体评分9+0.5情怀分）必玩佳作 优点：1、游科堆料。游戏内容太丰富了，一周目不看攻略60小时左右的探索依然还有漏掉的地方。不同于其他3A游戏大量重复的收集或支线，《黑神话：悟空》这样以疯狂堆叠新元素、新BOSS游戏体量的做法我真没在其他3A游戏上见过。在对战充满挑战的BOSS后玩家又会被虚幻五打造的绝美风景所震撼。这游戏价格如果是欧美厂商至少398起步，日本厂商至少598起步，国内卖298说实话我觉得已经算低了。2、战斗系统。没想到游科第一次做游戏，战斗系统的设计能达到这个地步，已经远超我的预想了。棍式、法宝、元神、变身、法术。几个系统配合起来相得益彰，很好的融合在了一起。实际使用起来的演出效果也是完全能达到神仙斗法的地步。3、虽然整个流程下来剧情的视野并没有像我预想中的那样聚焦于整个西游世界的异变，但游科依然很好的将每回章节所要探讨的精神内核都融入到了游戏基础设计中，特别是每一章节最后的动画，真的太绝了。每次通关一个章节都有种当年第一次看《爱死机》期待感。4、文化输出。无论是真实还原的中国古文物建筑还是陕北说书唱腔，还是影神图的怪物图鉴诗词都是只有中国上千年未曾中断的文化底蕴才能做出来的东西，这是全世界独一份的。这才是文化自信。更别提还有每一个中国人耳熟能详的西游故事。5、音乐，大量中国乐器，古筝、唢呐、三弦。大多数BOSS战都配有专属的BGM，特别是打亢金龙和最终决战的时候，听的人起鸡皮疙瘩。6、细节，大到人物对话台词、boss对战的隐藏彩蛋、小到UI设计，游科都是做了大量的适配的。比如影神图目录退出后会保存到你阅读的地方（我手柄老是按错退出），游科是真的会玩自己的游戏的。（欧美游戏厂商有多狗屎和傲慢就不用我说了吧？点名批评暴雪和绝地潜兵2）  缺点：1、优化。专门为这游戏从6750换到7800X。虽然大部分时候游戏表现良好，但依然存在每次新进游戏的时候严重卡顿。跑动卡一两秒、进菜单卡一两秒、传送卡半天。好在运行个10多分钟这问题就不存在了。这妥妥的优化问题。2、空气墙，本质上来说这应该算游科经验不足和画面表现取舍的问题。另一方面是地图设计不友好，虽然我觉得没《空洞骑士》《黑暗之魂》这些难记就是了。但要说的一点是在花果山这一张地图中这个缺点被无限放大，甚至可以称的上恶心。3、部分BOSS战，个别大型BOSS战的设计堪称灾难，毫无交互体验不说，还很容易让人破防，一方面是你打你的我打我的（大石敢当）。另一方面是攻击模型判定丢失（百眼魔君），都在不断给本该热血沸腾的战斗演出泼冷水。虽然游科敢挑战大型BOSS战设计勇气可嘉，但没做好依然要批评。4、依然是剧情。并不是说不好，毕竟每次对传统文化的再译，都是为其注入新的生命活力。但游科应该说明该剧本改编自《斗战神》与《悟空传》，而不是原著《西游记》。虽然我也很喜欢今何在的《悟空传》，那句“怎能忘了西游。”我一直记忆犹新。但很多不了解《斗战神》和《悟空传》的玩家心理对照着86版西游记来带入，难免会有些蒙蔽。（六老师，孙悟空到底有几个女朋友啊）而且挖坑容易填坑难啊，游戏到最后不但没填完，反而越挖越多。  最后给玩家的建议：我很少预购游戏，更很少原价买游戏，因为大多数所谓的3A大作不值原价，但268买《黑神话：悟空》我觉得，值。 最后给游科的建议：建议游科研究下两个游戏，一个是《火影忍者究极风暴系列》，一个是《古墓丽影：暗影》。前者可以参考过场动画QTE演出，玩的时候我就在想，如果能放在亢金龙撞金铙、战大石敢当、战四大天王时会有多震撼，绝对比单纯的播片强上数倍。后者可以参考关卡设计（古墓），顺便我觉得游科如果下一部做《鬼吹灯》绝对无敌，哪怕是照搬《古墓丽影：暗影》的系统不改一点，虚幻五的画面、优秀的剧情、中国古文化不比什么玛雅吸引人多了？顺便还可以练练关卡设计。最后感谢各位一路看到这里。~欢迎查看更多多彩游戏人生精彩评测(～￣▽￣)～、https://steamcommunity.com/groups/smallseals</t>
  </si>
  <si>
    <t>画面美术场景；音乐音效配音；演出角色怪物设计；动作打击手感；Boss战斗节奏；难度挑战；锁定视角；判定反馈；地图路线；空气墙可达性；探索隐藏支线；优化帧率；崩溃闪退；推荐价值判断；西游悟空符号；童年记忆情怀；本国媒介路径；中国文化宗教语言审美；原典知识人物关系专名；外部资料依赖；角色期待意义偏移；国产3A身份期待</t>
  </si>
  <si>
    <t>CN-P-298</t>
  </si>
  <si>
    <t>个人给予这部作品 9.5/10 分，属于“强烈推荐”的范畴+令人激动的题材与故事+内容丰富的世界介绍+优秀的美术与画质+流畅的战斗与动作感+众多的妖魔种类-缺少关卡地图-部分影响体验的空气墙这是一部以西游记之后的故事为背景的硬核动作游戏，六年磨一剑，一剑定乾坤，没有辜负玩家们的期待。这部作品中玩家作为天命人，需要找到六根复活孙悟空，玩家的冒险由此展开。游戏分别提供了6个可探索地图，黑风山、黄风岭、小西天、火焰山、花果山等玩家们耳熟能详的地方，都被制作组优美而写实地展现在玩家眼前。美术效果优秀，山水令人流连忘返。每张地图都有众多可探索内容，获得的宝物等在后续的妖王战斗中都能派上用场，甚至引出新的关卡从而改变剧情发展。本作的战斗设计优秀，主角有类似《仁王》的三种不同用棍架势，同时还可以变身其他妖怪战斗，用芭蕉扇等西游记里特有的法宝进行战斗，在流畅的动作与打击感的加持下，战斗体验极佳，神通与法宝的使用令人沉浸。本作妖魔种类众多，并且背景介绍都详细有趣，外形设计各具特色。目前看缺点不多，主要是缺少关卡地图，让玩家探图的困难提升，容易错过重要道具。游戏里空气墙不少，不过大部分都无伤大雅。注意事项：本作没有难度选项且难度偏高，战斗难度远高于《战神4~5》的普通难度，与《魂》类游戏的难度相当，非硬核动作玩家若希望体验剧情和山水文化，可以用修改器提升角色防御属性等方式，从而提升游戏的体验。</t>
  </si>
  <si>
    <t>画面美术场景；动作打击手感；Boss战斗节奏；难度挑战；地图路线；空气墙可达性；探索隐藏支线；优化帧率；推荐价值判断；西游悟空符号；原典知识人物关系专名</t>
  </si>
  <si>
    <t>CN-P-299</t>
  </si>
  <si>
    <t>2025-09-10</t>
  </si>
  <si>
    <t>《黑神话：悟空》9/10今年，一款大作横空出世，短短24小时之内便位列单机游戏同时在线人数第一名，峰值人数超越222万，打破了上一个单机在线人数记录保持者某2077的记录。发售4天内，游戏销量达到1000万，同时也是国内游戏界的首款3A大作——《黑神话：悟空》。文化觉醒与前沿技术的珠联璧合第一款3A达到如此“恐怖”的回本速度，在当下环境里甚至可以用奇迹二字来形容。无论是国内充斥着氪金的手游与页游——让某些小孩误以为李白是游戏角色；还是国外怨声载道的政治正确——各大厂商为了利益丑化女性角色，这些都对本作销量产生了潜移默化的影响。在我看来，游戏科学在文化方面开了个好头。技术方面，游戏科学也紧跟潮流。近几年，虚幻5引擎悄然问世，在UE4长期称霸3D游戏界之后，游戏科学毅然决定采用UE5来处理模型材质。他们将高清的3D数据导入UE5，实现高多边形模型的自动渲染。玩家可以明显感受到，这款3A游戏的清晰程度超越了UE4。尽管有些机器对新引擎不兼容，会出现闪退问题，但整体感官效果依然令人振奋。（在启动项，游科为玩家准备了“以兼容模式启动”的选项）独一份的文化印记与独特的操作体验同类型中大多数3A游戏的主角都使用刀或剑之类，棍棒极少出现，所以这款游戏的打击感让我感受到了独一无二的爽快。技能的存在感也很强，包括定身术、画圈术、变长棍棒术、拔毫毛吹出分身术等。如果你从小看过86版电视剧，肯定会有一种亲切感。而且，如果这些技能安插在其他游戏的主角身上，反而会让人联想到孙悟空，比如漩涡鸣人的影分身术，如果是拔自己的头发来施展，别说你不会觉得奇怪。一些神仙与妖怪的刻画也仿佛是从原著中走出来的一样，给人一种古老而神圣的感觉。其实，《山海经》已经证明了咱们古人的智慧可能不亚于现代的专业游戏设计师。锦绣山河，这里风景独好！本作共有六章，每章都展现了风格迥异的大地图，有时一章之中还包含了多种不同风格的场景。我挑选印象深刻的来介绍：第一章让我仿佛置身于武侠电影中的竹林，游玩时我不禁幻想自己能在竹林间施展轻功。第二章则是黄沙漫天的大漠，无头菩萨的陕北说书与这氛围完美融合。第三章中，首次在3A游戏里出现了中国的龙，我沉迷于拍照模式，久久不愿离去。第四章里秋风扫落叶的寺庙，第五章里怪石林立的火焰山，到了第六章，可以驾驶筋斗云遨游花果山。游戏科学团队为了还原气氛，特地在山西多处古建筑景点进行实景扫描，如此大费周章，其用心程度可见一斑。同时，本作在整体风格上保持了高度一致，无论是古建筑、兵器、服装，还是战斗时的配乐、对话时的台词，都透露出自然的古风传统文化，真真正正做到了文化输出，我的评价是沉浸感十足。浅谈二周目与不足：“完成”比“完美”更重要 通关之后，解锁了装备升阶功能，可以带着一周目的装备从头来过体验更爽快的战斗。以及大圣的宝器也有三个阶段，二周目可以解锁新的阶段。除了装备方面，游戏科学还在大地图中设置了不少支线任务。由于现阶段每一章节几乎都没有引导和地图，如果在一周目漏掉了某个任务，那么在二周目发现时也会是一种惊喜（尽管这一点有些偷懒的嫌疑）。就像我上面提到的有偷懒嫌疑的缺乏引导，游玩时收获感动之余，发现本作并不是完美无缺：空气墙挺多、剧情阴谋论、各章质量没有到达统一。第三章， 黄眉让我感受到一流的BOSS设计思路，猴哥被收进黄眉袋中。之后缩小的主角和妖魔化的佛像陶瓷们对打，颇具黄眉风格：不疯魔不成活。还是第三章，小白龙让我眼前一亮。而第四章节， 八戒的回忆动画短片让我看哭了，但依然没有抹去盘丝洞带给我又黑又绕的恶心体验的余味。第六章像一只无头苍蝇在缺乏引导、传送点稀少的庞大地图中飞来飞去，收集大圣的装备…….总体来说，第六章虽然让我忍不住想吐槽，但前面带给我大量优质的游玩体验，以至于最后一章第六章的占比量，对我来说已经无所谓了。作为没有制作经验累积的第一款国产3A游戏，不求每一章都超神，没搞砸就实属不易，完成比完美更重要。看网友讨论，本作剧情还是存在不小的争议声音，所以我通关之后决定从剧透与不剧透两个角度分析一下。（不含剧透的分析）不够清晰的碎片化本作剧情如果较真解读，有否定取经的正当性，这可能会招致一些人的反感，因为表达清晰的观点本来就是会有反对的声音。比如说你在网上说咸粽子更好吃，肯定有人不这样觉得。本作剧情感觉是揉合了《大话西游》、《斗战神》（制作人始终没有放下）、《悟空传》，然后再加一点谜语人式的阴谋论，什么都想要，最终故事呈现出的效果就是碎片化，并且脉络不算清晰的碎片化故事。（警告：以下分析包含剧透）不可避免的挫败感本作故事讲述了成佛后的孙悟空想摆脱金箍控制。按照《西游记》原著，金箍并非他人取下，而是自行消失的，这一点可能给了不少读者遐想的空间。游戏开头，孙悟空和二郎神在天庭面前演戏，让二郎神把自己兵解成几样宝器，诠释了“不自由，吾宁死”这个主题，之后又过了许久，开头出场的老猴子宣布玩家扮演的猴子是天选之人，告诉玩家收集完宝器可能会复活孙悟空，实际上我被骗了。其实这游戏剧情方面最大槽点真不是三打前女友，或者铁扇公主借腹生子之类，感情戏份在未来修改起来很容易，可以理解为每个人回忆有偏差。最大槽点是这款游戏名字叫黑神话：悟空，结果玩家打到最后，老猴子突然疯狂暗示真正的孙悟空已经绝无复生的可能了，让一路收集复活道具的玩家怎么想？挫败感不可避免。如果有DLC，建议做个复活孙悟空大闹天宫的剧情。你心中可还有放不下的偶像？本作剧情需要口诛笔伐去批判吗？个人觉得大可不必，首先吴承恩写西游记本身就是“二创”，其次西游这个题材不知道被多少人创过多少回。如果逮到一个主打战斗的游戏使劲喷它有些不完整的、但并不是大缺陷的剧情，只会让大多数玩过游戏的玩家觉得对方吃饱了撑的。最后说一点个人私心，如果有续作或者DLC，可以参考战神4的剧情，其中的普世价值观，男女老少都能看懂，并且认同。亮点：
+优秀打击感与技能招式的文化印记
+国内首款3A大作，3A大作里首次出现中国龙
+UE5加持，场景上实景扫描山西景点，角色上无“政治正确”
+统一的古代元素设计，神仙精怪设计尊重原著，该丑的妖怪丑，女妖精漂亮
不足：
-常见的空气墙与整个第六章，地图设计略显青涩总评本作能否获得年度奖项已不再重要，因为它已成为无数国人心中公认的年度最佳游戏。然而，我仍希望本作能斩获今年所有年度优秀奖项，因为长久以来，“游戏”二字在某些环境中，只是众多商人以最低成本快速谋取利益的一种不择手段的手段。正如那句诗所言：今日欢呼孙大圣，只缘妖雾又重来！最后发条语音：——“吃俺老孙一棒！”
		如意金箍棒 
		一张《Black Myth: Wukong》的截图
		作者：麒麟问天KylinYu</t>
  </si>
  <si>
    <t>画面美术场景；音乐音效配音；演出角色怪物设计；动作打击手感；Boss战斗节奏；难度挑战；地图路线；空气墙可达性；探索隐藏支线；引导迷路单线；崩溃闪退；Bug兼容硬件；整体完成度；西游悟空符号；童年记忆情怀；本国媒介路径；中国文化宗教语言审美；原典知识人物关系专名；角色期待意义偏移；国产3A身份期待</t>
  </si>
  <si>
    <t>CN-P-300</t>
  </si>
  <si>
    <t>终于玩完了一周目，打了真结局了，本篇是说给一些手残党和动作小白又或者是平日要工作不能长时间玩游戏的朋友听的，对于这个游戏我分开「艺术」和「游玩」这两大点来评个分吧，注意「游玩」不会说优点而是全说缺点，我会说出一些会令人玩不下去的内容，因为给一些手残党和动作小白作参考的。
1. 艺术: 9/10分
真没什么好说的，玩完每一个章节之后的那一些画和语音都非常棒，真心感觉到文化输出的魅力，看完之后明明不怎么喜欢西游但都会想去了解和重读原著。至于为什么扣了一分，因为结局真心不是太满意，在第五和第六的章节明显有一种赶工上骨架的情况，看了访谈说本来是有大闹天宫的，结果删了，结局的内容也刪減了很多，內核相對模糊和高起低走的感觉，只能说要等待DLC看看情况了，但不影响前面的感动，很久没有玩游戏有这种感受。
2. 游玩: 7/10分
再声明一下，这里不会说优点而是全说缺点，主要是说出一些会令人玩不下去的缺憾。
a.极弱的探索引导:
这游戏是完全没有地图以及路线上的提示，火把算是廖廖无几的引导但基本上作用聊胜于无，在地图的引导设计上我认为是非常失败的，高情商就是地图设计「过度服务」太希望把地图做得跟现实世界一样，导致了在一个广阔的视角下是没有明显的引导物品或建筑物来提示玩家应怎么走怎么选择，低情商就是游科很明显不着重这一方面，做完了没BUG就拍指屁股交货。而黑神话中甚至有些是山路，不要说引导了，甚至连前面要走的路你也可能会看不到弄成迷路，更不用说有些路是要回头才能看到的，基本上你不去看攻略百分百会漏掉很多东西，同时「空气墙」这是很多人都有说过的，不要听别人说什么其实没影响，其实影响大得很，影响有很多方面，不过暂时只说游玩上的探索影响，基本上在全部地图会突然出现一些「路」但是这些路你是无法通过的，令刚刚所说的弱引导的问题倍增，一个「过度服务」地图再加上没有引导功以及空气墙...有时候真的懒得再跑就直接下线了，游戏初期的热情也是在这方面被消磨殆尽的。
b.非常逆天的战斗指令设计:
战斗的时候永远会有一种「我TM的真的按了闪避」却没有反应的感受，然而这并不是你的手柄或者键盘有问题，而是黑神话的指令是有优先度之分，我平时就有玩MH之类的游戏，无论是出了什么招式或动作，正常其他游戏如果你一但按了闪避键那个动作就会马上取消中断，从而进行闪避，但是黑神话却是，你就算按了闪避但如果你先前已经按了其实键位，你就必须等到指令完成你才会进行闪避。
简单来说就:
某游戏: 你接了三次A，那就会是普攻&gt;普攻&gt;普攻。而你突然间在角色进行第一次A时按了B(闪避)。那结果就会是普攻&gt;闪避&gt;(需重新指令)。
黑神话: 你接了三次A，普攻&gt;普攻&gt;普攻，你突然间在角色进行第一次A时按了B(闪避)。结果却是普攻&gt;普攻&gt;普攻&gt;闪避，闪避会排在最后。
当然实际情况不会这么简单，但好明显就是有这一方面的问题，不但是闪避，在喝酒用法宝变身都同样是用这个底层逻辑在判定，因为黑神话余其说是动作打斗我觉得更像排轴策略。
c.强迫两周目的补缺机制:
有些内容物如果你在一周目错过了的话都必须要两周目才能进行补救，虽然一周目就可以真的打到真结局，但是这游戏的两周目是真的重头开始，除了装备和等级不会洗掉之外其余的全部都会消失，因此有些阴间地图你不想重跑的话很遗憾没有方法。正如我先前所说黑神话是极弱的探索引导，本来就很容易漏东漏西，如果不小心错过了一些东西就真的错过了，但是有些你错过的东西其实也是一种彩蛋或者逃课的玩法，因些如果你想要完整的剧情体验，你就"必须"玩二周目，反正我个人不太打算玩二周目。因此热情已經被消磨得差不多了。
d.优化问题:
只能说优化对于电脑不好的人来说非常重要，但是黑神话的优化不算好，我玩到花果山坐筋斗云时，設定了性能優先基本上整个地图都变成马赛克了，但是还是有掉帧的情况，有时间甚至整个游戏直接崩溃关掉，正如我先前所说，如果地图设计就是「过度服务」不知道为何要把一些不会去看到的山和景做得这么细致，但是在那些很细致的地图下却是不能进去的空气墙，既然都是不能进入的区域，那为什么不直接用一些建模来阻挡或者格开玩家，现在地图是很大很精致没错，但是完全感觉不到有什么用还吃掉了很多内存而且还很卡。
声明:不要说什么电脑不好就不要玩，一个游戏要有人玩就必须要做好这方面的功夫，不会有人为了玩一个游戏而去买一部几千元甚至上万元的电脑，如果还是坚持3A就应该要狂暴式精致和画面，那我只能说3A有些玩家在前途真的坎坷。那就是为什么有些游戏可以一直有50亿流水量还一直有这么多人玩，而3A大作就算做得再好也永远是少众。
結合以上，我對黑神話的綜合平分為「7分」，非常建議至少開一个修改器來當大聖玩一次整个結局
(7/10分)</t>
  </si>
  <si>
    <t>画面美术场景；音乐音效配音；动作打击手感；Boss战斗节奏；难度挑战；锁定视角；判定反馈；地图路线；空气墙可达性；探索隐藏支线；引导迷路单线；优化帧率；崩溃闪退；Bug兼容硬件；推荐价值判断；西游悟空符号；中国文化宗教语言审美；外部资料依赖；国产3A身份期待</t>
  </si>
  <si>
    <t>JP-M-001</t>
  </si>
  <si>
    <t>日文</t>
  </si>
  <si>
    <t>下記スペックでクラッシュ頻発のため返品済み。手触りはよかったから改善されたらまた買うよ。Core i5-14600KF   3.50 GHzMEM 32GRTX4070TiWindows 11 Pro</t>
  </si>
  <si>
    <t>按以下配置频繁崩溃，已退款。手感不错，修好再买。配置：Core i5-14600KF 3.50GHz / 32GB / RTX 4070 Ti / Windows 11 Pro。</t>
  </si>
  <si>
    <t>动作打击手感；崩溃闪退；Bug兼容硬件；推荐价值判断</t>
  </si>
  <si>
    <t>JP-P-002</t>
  </si>
  <si>
    <t>こんな素晴らしいゲームはignにただ8点になった、9.5にも言えるのに。ignをはじめのメデイアとｓｗは揃いも揃って、最低だった。</t>
  </si>
  <si>
    <t>如此出色的游戏，IGN 只给了 8 分，明明可以给到 9.5。包括 IGN 在内的一众媒体和某站这回真拉胯。</t>
  </si>
  <si>
    <t>JP-P-003</t>
  </si>
  <si>
    <t>待ってたよ～っ！真棒！我等待很长的时间`～とにかくやっと遊べる事に嬉しさが隠せませんゲームへたっぴですが・・・；とにかく楽しめそう。</t>
  </si>
  <si>
    <t>等太久了！太棒！终于能玩了，完全按捺不住开心。虽然我手残，但感觉会玩得很开心。</t>
  </si>
  <si>
    <t>JP-N-004</t>
  </si>
  <si>
    <t>前評判通りの操作性、グラフィックに関しては前評判を超えていると思いました。とにかくチョー面白い。迷ってる人がいたら購入した方がいいよ！</t>
  </si>
  <si>
    <t>操作手感如预期，画面甚至超出预期。非常有趣。还在犹豫的人，直接买！</t>
  </si>
  <si>
    <t>画面美术场景；动作打击手感；推荐价值判断</t>
  </si>
  <si>
    <t>JP-P-005</t>
  </si>
  <si>
    <t>デラックス版を購入。
ファーストインプレッション
とりあえずファーストインプレッションだけ書きこのしていきます( • ̀ω•́ )ｷﾘ！
まずグラフィックは超綺麗。
けれど、事前情報として各メディアが言ってた様に「見えない壁」は若干気になるｗ
可能なら、ジャンプしても届かないだとか、落ちそうになると上昇気流を発生させるモーションを入れる等
自然な形に見える様になにか一工夫入れて欲しかったところ。
とはいえ、現状ちょっと残念だなーと感じる点は、上記の壁とやや最適化不足かなーという二点くらいで、他は好印象
ゲーム性もソウル系じゃなくてデビルメイクライ等といった爽快アクション系と事前情報があった為、すんなり入り込む事ができました。
この操作性が思ったより気持ちよくて自動的にスタイリッシュなアクションへと繋げてくれるので爽快感が凄い。
かといって緊張感が皆無というわけでなく、大型の敵と相対した時等は、ちゃんとモーションを見て回避から攻撃に繋げる等の戦略性も必要。
そこらへんのバランスが上手くまとまっていると感じました。
ストーリーはまだ始まってすぐなので、これからというところ。
西遊記は教養として大まかなあらすじは知っているというレベルなので、どういう展開になるのか非常に楽しみです。
ローカライズの方も違和感無く、凄く高品質に作り上げてくれているのでかなり嬉しい。
最序盤ではありますが、現時点で期待度も含めて自分的には90点は行くと思います。
間違いなくAAA級タイトルですね。処女作でこれは凄い・・・。
巷での騒動
念のため断っておきますが、別に自分は本作を叩き棒として使おうと思っていませんのでご容赦を。
ただ、昨今のメディアには一言苦言を呈したい。
「ゲームと現実を混同するな！」
まさにこれに尽きます。
ゲームに多様性だの包括性など必要ですか？
ゲームとは娯楽であり創作です。
創造性の産物です。
稀に「可能な限り忠実に」といった姿勢で政策を行うスタジオもありますが、基本的には「フィクション」です。
制作陣がなにか言及していない限りはそう捉えるべきであり、如何様にいじったとてそこにルールは存在しないのです。
そこに「現実では～とか、世界ではどうのこうの～」等を持ち込むのは、とてもナンセンスです。
純粋にゲームの中身だけで語れないのであれば、公の場でレビューなんぞするものではないし、して良いものではないと思います。</t>
  </si>
  <si>
    <t>购买豪华版。首发印象：动作手感扎实，回避与打击的衔接流畅；画面与光影非常出色；如意棒的派生技连接顺滑，能自然引向华丽连段但仍保留紧张感。大型敌人对峙时的压迫感也做得很好。</t>
  </si>
  <si>
    <t>画面美术场景；动作打击手感；Boss战斗节奏；优化帧率；推荐价值判断</t>
  </si>
  <si>
    <t>JP-P-006</t>
  </si>
  <si>
    <t>とても面白いと思います。映像も綺麗だし、戦い方も独特で面白いし、敵の背景まで細かく設定されていて、そのストーリーを読むだけで楽しいです。とにかくこのゲームのクオリティは凄いです。</t>
  </si>
  <si>
    <t>非常有趣。画面漂亮，战斗方式独特有趣；连敌人的背景设定都很细，光读设定就很有意思。总之，这游戏的完成度惊人。</t>
  </si>
  <si>
    <t>画面美术场景；Boss战斗节奏；整体完成度；推荐价值判断</t>
  </si>
  <si>
    <t>JP-N-007</t>
  </si>
  <si>
    <t>产品已退款
												RADEONのグラフィックカードを使っている人はクラッシュする場合が多いみたいです。自分の場合RX7900XTXでOPムービー途中で絶対クラッシュします。</t>
  </si>
  <si>
    <t>【产品已退款】使用 RADEON 显卡的人似乎容易崩溃。我用 RX7900XTX 在开场动画中途必崩。</t>
  </si>
  <si>
    <t>演出角色怪物设计；难度挑战；崩溃闪退；Bug兼容硬件；推荐价值判断；本国媒介路径</t>
  </si>
  <si>
    <t>JP-P-008</t>
  </si>
  <si>
    <t>初めて二時間半でとりあえず。。ライトなソウルライク。グラフィック◎キャラデザ◎戦闘も軽快で楽しい。ラスボスまで突っ走る。</t>
  </si>
  <si>
    <t>游玩 2.5 小时的暂评：轻量级魂 like。画面◎，角色设计◎，战斗轻快有趣。打算一路冲到最终 Boss。</t>
  </si>
  <si>
    <t>画面美术场景；演出角色怪物设计；Boss战斗节奏；推荐价值判断</t>
  </si>
  <si>
    <t>JP-P-009</t>
  </si>
  <si>
    <t>ムービー中にポーズできない、序盤なのか強攻撃がテンポ悪くしている、ゴッドオブウォーに比べてヒット音の爽快感が低いなど細かい所はありますが今のところオススメです。おそらく成長する過程で不満も減っていくと思います。クラッシュ問題についてですが、今のところ4070ti 7800x3dの環境で4k DLSS 超高設定で処理落ちすることなく遊べてます。私はソウルライク系のゲームが苦手でボスに何度も再戦するのは苦痛でしかないのですが、このゲームは何とかクリアできそうです。オススメと言いましたが、ゲームは大画面で起伏の激しい音楽で兎に角かっこよいアクションを求めてる方には来月発売の某ＲＰＧをお勧めします。私はＰＳ５で２周クリアしました。ただ序盤も序盤なので変わってくるかもしれませんが...カンフー映画や武侠映画好きならこっちも買いましょう！映像は圧巻で冒頭のシーンは久々に鳥肌立ちました。最近はＵＭＰＣで遊ぶ機会が増えたのですが、こういうゲームは大画面で楽しむにつきますね私は昔からのＰＣゲーマーでアジア系のゲームもたくさん遊んできましたが、ここまで丁寧に作られるとは思いませんでした。今後のアジアのゲームが楽しみです。早くステラーブレイドＰＣで遊びたいなぁ...</t>
  </si>
  <si>
    <t>无法在过场里暂停；也许是序盘关系，重攻击拖慢了节奏；与《战神》相比，命中音的爽快感偏弱……不过做得这么用心真没想到。很期待亚洲游戏的未来。希望《星刃》能尽快登陆 PC。</t>
  </si>
  <si>
    <t>演出角色怪物设计；动作打击手感；判定反馈</t>
  </si>
  <si>
    <t>JP-P-010</t>
  </si>
  <si>
    <t>4章まで進めてBADに変更グラフィックは綺麗で見ごたえがあるし画面の迫力はすごい。2章まではステージ構成もボス戦も気合が入ってたけど、3章からゲーム内容が怪しくなってきて、4章で完全に息切れ。3章のステージ中に体力が勝手に減るデバフが入り「クソステージ始まったな」と感じ、ボスの変身シーンのムービーでダメージを貰ったあたりで「何だこれ・・・」となったが、まだ面白い方だった。しかし4章はステージ構成も手抜きで、しかもボスで強制的にステータスを半減以下にされたところでやる気が失せた。何か大技を食らってしまってデバフがかかるなら解るけど、ボスの変身ムービーで自動デバフかかるのは意味が解らん。もしかすると回避方法があるのかもしれないけど何の導線も無いし探す気にもなれない。2章までは凄いゲームだった。3章以降は手抜きが目立つ。</t>
  </si>
  <si>
    <t>推进到第 4 章后改差评。画面漂亮，气势十足。到第 2 章为止关卡与 Boss 战都很不错，但从第 3 章开始手感与编排明显变差……总之 3 章以后偷工减料的痕迹很明显。</t>
  </si>
  <si>
    <t>画面美术场景；动作打击手感；Boss战斗节奏；地图路线</t>
  </si>
  <si>
    <t>JP-N-011</t>
  </si>
  <si>
    <t>最初のオープニングを抜けられない１回目　クラッシュ２回目　１回目の戦闘終了後にクラッシュ３回目　画質を下げてプレイしてすぐにクラッシュ４回目　画質を最大まで下げてプレイして戦闘中にクラッシュ５回目　１回目の戦闘終了後にクラッシュ心が折れました、返品します。ゲーム自体は面白そうなのですが、もうちょい改善されたからでいいと思います。</t>
  </si>
  <si>
    <t>过不了最初的开场。1 次：崩溃；2 次：第一场战斗后崩；3 次：降画质后第三场战斗后崩……心态崩了，退款。游戏本身看起来不错，等优化后再说。</t>
  </si>
  <si>
    <t>画面美术场景；Boss战斗节奏；优化帧率；崩溃闪退；推荐价值判断</t>
  </si>
  <si>
    <t>JP-P-012</t>
  </si>
  <si>
    <t>刚结束第一回的故事，超度了金沙长老，顶着低帧率3命过了黑熊精。（火焰效果让我的拯救者开始吃不消了，等出差回去就拿PS5玩！）瑕不掩瑜，第二回黄风岭一开场就把我搞湿了，纵观以往10多年的游戏经理，从来没有让我如此起过鸡皮疙瘩的场景，不知道这是不是就是“文化认同感”。“国风不该是免死金牌，更应该如履薄冰”。这质量这态度，用心了！游科YYDS！</t>
  </si>
  <si>
    <t>刚结束第一回的故事，超度了金沙长老，顶着低帧率3命过了黑熊精……这质量这态度，用心了！游科 YYDS！</t>
  </si>
  <si>
    <t>优化帧率；整体完成度</t>
  </si>
  <si>
    <t>JP-P-013</t>
  </si>
  <si>
    <t>i9-13900K　RTX４０９０ですがオープニングムービーからクラッシュしまくる。レイトレオフにしたら動くようになったがそれでもクラッシュする。ゲームとしては面白そうだけどアプデくるまではおすすめできない。（（追記））GeForceのドライバアップデートにより最高設定のレイトレでもヌルヌルで動くようになりました。ゲームはおもしろいです、オススメです。</t>
  </si>
  <si>
    <t>i9-13900K / RTX 4090，从开场动画就频繁崩。关掉光追能跑……之后 GeForce 驱动更新后，最高画质+光追也能丝滑运行。游戏很有趣，推荐。</t>
  </si>
  <si>
    <t>画面美术场景；演出角色怪物设计；Bug兼容硬件；推荐价值判断；本国媒介路径</t>
  </si>
  <si>
    <t>JP-P-014</t>
  </si>
  <si>
    <t>中華ゲーかぁとどこか侮っていたがとても好印象まずグラフィックが素晴らしいこれだけ緻密に描かれているのにFPSは安定しており自分の環境ではクラッシュしなかったアクションも軽快でもっさりゲーのようなストレスを感じないただ如意棒アクションが自分にはちょっと早すぎて当たり判定がよくわからない部分があったポリコレ排除しただけでも買いプレイ環境RTX4090・Ryzen9 5950X</t>
  </si>
  <si>
    <t>原本小看“中国产”，结果印象极好：画面精湛，如此细腻还保持不错的 FPS；动作流畅，但也有些判定过快难以看清。光是“去掉政治正确”这一点就让我买单。环境：RTX 4090 / Ryzen 9 5950X。</t>
  </si>
  <si>
    <t>画面美术场景；动作打击手感；判定反馈；优化帧率；Bug兼容硬件；推荐价值判断；国产3A身份期待</t>
  </si>
  <si>
    <t>JP-P-015</t>
  </si>
  <si>
    <t>【環境】RTX4080supercorei7-14700F元々気になっていたタイトルでしたが数日前にウルトラワイド対応と知りリリースを心待ちにしていました。当方の環境では全ての設定を最高画質で100fpsは下回らない感じです。(レイトレOFF)たまに最適化不足による影響を感じることもありますが、これだけの超画質で滑らかなゲームが出来ることに感動しています。あとは例の見えない壁が少し気になりますが、今の所それ以外に不満点はありません。</t>
  </si>
  <si>
    <t>【环境】RTX 4080 Super / Core i7-14700F。换上超宽屏后试了本作，能在高画质下流畅运行让我很感动。就是隐形墙有点介意，除此之外暂时没不满。</t>
  </si>
  <si>
    <t>画面美术场景；空气墙可达性；优化帧率；Bug兼容硬件</t>
  </si>
  <si>
    <t>JP-P-016</t>
  </si>
  <si>
    <t>リリース初日現状、安定動作は難しそう。導入部終了時にクラッシュ本編開始後のフィールド探索中、敵のいない所でフレームレートの異常低下まだ一時間にも満たない状況でも不安定すぎてイラつくレベル制作スタッフの経験値不足を感じさするお粗末さかな。アプデを待って評判を調べてからの購入をオススメします。</t>
  </si>
  <si>
    <t>发行首日很难稳定运行。序章结束时崩溃；探索中明明没敌人帧率也异常降低……过于不稳令人恼火，给人一种制作组经验不足的感觉。建议等更新与口碑后再入。</t>
  </si>
  <si>
    <t>难度挑战；探索隐藏支线；优化帧率；崩溃闪退</t>
  </si>
  <si>
    <t>JP-M-017</t>
  </si>
  <si>
    <t>ポリコレを排除した方が売れるってハッキリと証明されちゃったね簡潔にレビュー・死にゲーかどうかと聞かれると死にゲーだが理不尽さの押しつけは無い・ソウルライクではあると思うが死んでも経験値ロストしない親切設計・クソみたいな仕掛けによって死ぬ事はない・１ステージ目はチュートリアルで、２ステージ目から一気に探索するマップになる・スキルの振り直しはいつでも可能なのでボスに合わせてスキルを変えれるポリコレ関係についての個人の見解このゲームには美人キャラが登場する。もちろん人間ではない。容姿端麗な妖怪のイメージは、その美貌に引き寄せられた男を虜にして惑わし、餌にするというイメージがある。まさにこのゲームに登場する美人キャラもその様な立ち位置だと思う。なのでそれに対して多様性が足りないと言って不細工にするなんてのは言語道断であると思う。今の世の中は自分の価値観を他人に押しつけすぎ。</t>
  </si>
  <si>
    <t>事实证明“去掉政治正确更好卖”。简评：可以称作死法游戏，但谈不上无理；战斗不是靠堆数值。漂亮就该漂亮，别拿所谓“多样性”当借口故意做丑；如今太爱把自己的价值观强加给别人。</t>
  </si>
  <si>
    <t>JP-P-018</t>
  </si>
  <si>
    <t>西遊記の後日談細部にこだわって作ってるので雰囲気だけでも楽しい☆フロムゲーよりは難易度低そうだからちまちま進めたい！</t>
  </si>
  <si>
    <t>《西游记》之后的故事。细节讲究，光靠氛围就很享受。难度似乎比 From 的作品低些，我会慢慢推进！</t>
  </si>
  <si>
    <t>JP-M-019</t>
  </si>
  <si>
    <t>2025-03-14</t>
  </si>
  <si>
    <t>神ゲーです</t>
  </si>
  <si>
    <t>是神作。</t>
  </si>
  <si>
    <t>JP-P-020</t>
  </si>
  <si>
    <t>中国人の神話や孫悟空に対するイメージがどんなものかなと購入起動早々にアクセス権に手を伸ばしてくるあたり中国プライバシー？なにそれおいしいの？なお国柄なのでバックドアとかがちと心配みたくれが立派なのも令和最新型や電気ビリビリなのがゲーム内にも反映されています。膨大な評価数もあてにしない、amazonと一緒です。おらが国さがAAAゲーム作っただ、と喜びもひとしおなのだと思います。これ以降も中国人らしさのある面白いゲームを期待したいです。ゲーム内容はフロムならこれ行けんじゃね？ってところはもれなく見えない壁なのでマップはほぼ一本道、行けないなら見える壁にしておけよとスキルツリーが意味わからん、幅を持たせることが出来なくて一つのスキルをぶつ切りにした感じ？キャラは西遊記な感じで好き、デュラハンおじさんの歌も嫌いじゃない。色々なゲームのパク・・・オマージュは今更だけどゲームは面白いと思う。</t>
  </si>
  <si>
    <t>抱着想看看中国人对神话/孙悟空的印象而买。一开机就要各种访问权限，隐私？那是什么（笑）。Boss 演出很有电影感，我也不讨厌某位“无头骑士大叔”的歌。各种“致敬”不少，但游戏挺好玩。</t>
  </si>
  <si>
    <t>演出角色怪物设计；Boss战斗节奏；推荐价值判断；西游悟空符号；国产3A身份期待</t>
  </si>
  <si>
    <t>JP-N-021</t>
  </si>
  <si>
    <t>丹煉り初日、全世界96％の斉天大聖殿が早くも火眼金睛を取得し、4％の斉天大聖は永遠の失明を取得する、儂はその４％の存在が可哀そうと思う。難易度は宮崎以下対馬以上んまぁマップ無しですから探索要素パンパン、進行ルートは時々MHWの導き虫みたいに出てくるので、プレイ体験としては見えない壁以外満漢全席大満足ですね。プレイによってスキップしてしまうボスもあるけど、ファストトラベルで回収できるのでそこの心配はありません、スキップしちまったと感じたら自分の観察がクソカスだと思って下さい（自虐）。自分は5900X＋3090　DLSS　RTX全開　２K画質でFPSは平均６５FPS程度、ベンチマーク版の40FPSより伸びてます。そんな安くて大丈夫なのか？！いやもっと値上げしていいと思う！とポロっと出てしまう程のクオリティです、このレビューを見ているあなた、買ってインストールして冒頭の2時間を体験してみてはいかがでしょうか？</t>
  </si>
  <si>
    <t>“炼丹”第一天，全球 96% 的齐天大圣殿都开了火眼金睛，剩下 4% 喜提永久失明（笑）。开场两小时的品质已经让我震惊——看到这条评论的你，不妨买来体验一下。</t>
  </si>
  <si>
    <t>整体完成度；推荐价值判断；西游悟空符号</t>
  </si>
  <si>
    <t>JP-P-022</t>
  </si>
  <si>
    <t>世界観が最高すぎるし、ボス戦の時の臨場感が迫力もあってすごい。マジで神ゲーです。</t>
  </si>
  <si>
    <t>世界观太棒，Boss 战的临场感与气势一绝。真·神作。</t>
  </si>
  <si>
    <t>Boss战斗节奏；推荐价值判断</t>
  </si>
  <si>
    <t>JP-N-023</t>
  </si>
  <si>
    <t>チュートリアルで４回クラッシュしてしまいました13600k　3070TI</t>
  </si>
  <si>
    <t>教程就崩了 4 次。环境：13600K / 3070 Ti。</t>
  </si>
  <si>
    <t>画面美术场景</t>
  </si>
  <si>
    <t>JP-P-024</t>
  </si>
  <si>
    <t>音声は中国語で。西遊記に関する言葉や一般会話も学習できるダクソ。</t>
  </si>
  <si>
    <t>语音请用中文。既能学到《西游记》的词汇，也能学到日常会话的“黑魂”。</t>
  </si>
  <si>
    <t>音乐音效配音；西游悟空符号</t>
  </si>
  <si>
    <t>JP-P-025</t>
  </si>
  <si>
    <t>5時間遊んで、思ったより、面白かった。BOSSが多い。</t>
  </si>
  <si>
    <t>游玩 5 小时，比想象中有趣。Boss 很多。</t>
  </si>
  <si>
    <t>JP-P-026</t>
  </si>
  <si>
    <t>レビューで言われてた透明の壁は確かに気になる。通常攻撃ヒット音がショボい。不満点はそれくらいで今の所超楽しい！</t>
  </si>
  <si>
    <t>评论里提到的“隐形墙”确实惹人烦；普攻命中音略显单薄。除此之外目前非常好玩！</t>
  </si>
  <si>
    <t>判定反馈；空气墙可达性；推荐价值判断</t>
  </si>
  <si>
    <t>JP-P-027</t>
  </si>
  <si>
    <t>死にゲーだけど、エルデンリングというよりは仁王に近いかな。誰かがボスラッシュと言ってたけど正にその通りだった。道中短めですぐボス戦。おかげで凄く疲れるあと序盤から姿消して無敵になり突進連発するボス出すのやめてほしい。心を折りに来るのではなく攻略させる気にしてよ。ジャスト回避も、すれば有利どころか必須技術。しかも敵の攻撃が終わるまで延々と回避し続けないとダメだからスタミナ管理がかなりつらいジャスト回避関連が好きな人ならおすすめ。あと道中が長くてだるいからとっととボスと戦わせて！っていうバトルジャンキーにもオススメかな面白いのは間違いないんだけど。ここまで大騒ぎするほど面白いかな？と個人的には思う私は仁王・ウォーロンの方が好き追記。3章までやってなんかわかってきたこのゲーム、プレイヤーにストレスを押し付けて攻略してみろて煽ってくるゲームだ結構理不尽要素てんこ盛り。それを攻略出来たら嬉しいけど、できなければストレスMAX面白いって評価は変わらないけどオススメはできないな</t>
  </si>
  <si>
    <t>是受苦向，但更像《仁王》而不是《艾尔登法环》。整体偏 Boss Rush，路程短，夹杂不少“无理”要素——能攻克时很爽，攻不下来就非常上火。好玩归好玩，我却不太能推荐。</t>
  </si>
  <si>
    <t>Boss战斗节奏；难度挑战；推荐价值判断</t>
  </si>
  <si>
    <t>JP-P-028</t>
  </si>
  <si>
    <t>いいものがたり</t>
  </si>
  <si>
    <t>故事不错。</t>
  </si>
  <si>
    <t>JP-P-029</t>
  </si>
  <si>
    <t>処女作とは思えない完成度の高い作品。</t>
  </si>
  <si>
    <t>以处女作而言不可思议的高完成度。</t>
  </si>
  <si>
    <t>整体完成度</t>
  </si>
  <si>
    <t>JP-M-030</t>
  </si>
  <si>
    <t>海外レビューのスコアを見て若干不安を抱いていましたが、実際にプレイしたら予想をはるかに上回るクオリティで驚きました。すごい、かっこいい、ありえねー！！！（チャウ・シンチー風）の3拍子が揃った秀作。個人的によかったのは、心が折れるほどに難しくはない難易度ですね。ボスによって強さは異なりますが、ノーマル以上ハード未満といった印象を受けました（個人差あり）。他の方もおっしゃっていましたが、ソウルライクというよりも『ゴッド・オブ・ウォー』や『デビル・メイ・クライ』に近いかもしれません。本家のソウルシリーズと比べるとカジュアルな仕上がりですが、苦労を重ねて強敵を倒したときの達成感は、脳汁ドバドバものです。2ステージ目の時点で、プレイ時間は11時間前後。ストーリー的には序盤だと思いますが、探索や経験値稼ぎ、ボス討伐など寄り道しすぎました。しかしその寄り道がとにもかくにも楽しい。道草を食いながら天命人を強化し、手強いボスに挑むのも楽しい。UE5で描かれた自然や寺院を歩くのも楽しい。そりゃ11時間以上かかりますわな……（誉め言葉）。中国神話の世界にどっぷり浸りたい方、UE5を採用したアクションRPGを堪能したい方におすすめです！</t>
  </si>
  <si>
    <t>看海外评分有点担心，实际游玩后品质远超预期。想沉浸在中国神话，想体验 UE5 动作 RPG 的人强烈推荐！</t>
  </si>
  <si>
    <t>动作打击手感；整体完成度；推荐价值判断；中国文化宗教语言审美</t>
  </si>
  <si>
    <t>JP-P-031</t>
  </si>
  <si>
    <t>产品已退款
												すごい評価数だねなので、たぶん私の感性がおかしい流してほしいのだが、ビルド自由度がない。ステ振りもない。武器の取捨選択もない。スキルの取捨選択は３タイプのみ（内１タイプはレベル上げが必要）楽しいか…？仁王に例えている人いるけど、本当に仁王クリアまで遊んだ…？なんかレビューの自己紹介見ると中華系ぽい人多いし。非表示多いし。最初に動かせる悟空が最強であり、いわゆる完成系であり到達点。先に体験してしまうと、ゴールが見えているというかこれに向かって頑張って行くんだねとしか思えない。時間使って、ビルドや戦い方が決まった方針に向かっていくような…そこにプレイヤーの介入できるオリジナリティはないと思う。あまりプレイしていないので、後から上記のような項目が解放されるのであればごめん。ただ他のレビューでゲームの映像ばかりに触れていて、システム部分に触れている日本人があまりにも少なかった印象２時間以上遊んだのであれば次回からでいいんで、ちゃんと中身書いてもらっていいですか？購入検討層がゲーム判別する上で役に立たないんですよ。その内容だと。仕事でもよく言われない？修正しておいてね</t>
  </si>
  <si>
    <t>【已退款】缺少加点与 Build 自由度。也希望一些评测能把优缺点交代清楚，便于购买判断。</t>
  </si>
  <si>
    <t>JP-N-032</t>
  </si>
  <si>
    <t>基本的には面白い。冒頭のチュートリアルボス戦でのワクワク感はすごいです。そのおかげで頑張ってプレイしようという気になります。ですが、盛り上がりは最初がピークだった気がします。ラスボスも良かったけど、できれば使いまわしでなくオリジナルのボスが良かった。面白かったのは1、2，4章。5は普通で、3はつまらなかったです。以下気になった点です。・坂道のダッシュスピード・モーションが遅くなりすぎて気持ちよくない。このゲームには合っていない仕様だと感じます。・回復アイテムなどの先行入力は調整が甘い。他のゲームと同じ感覚だと飲んでくれません。何も行動していないときにボタンを押すようにするのが無難。飲まないのでもう一度ボタンしたら二回飲んじゃった、なんてことが起こりがち。・3章はレベルデザイン悪いです。意地悪というよりも、悪ノリが過ぎるといった感じでしょうか。雑魚・ボスともに戦闘が微妙。なんでそんな設計にしたの？ってところが多くあります。カットシーンも演出やモーションが他の章と比べるとクオリティ低め（インゲームでのエネミーのモーションは普通に良い）せっかくの綺麗な雪山ステージなのにもったいなかった。</t>
  </si>
  <si>
    <t>总体有趣：开场的新手 Boss 让人直呼过瘾，也因此有动力继续玩。遗憾是中后段的演出/过场质量不如前半，雪山那章尤其可惜。</t>
  </si>
  <si>
    <t>演出角色怪物设计；Boss战斗节奏；整体完成度；推荐价值判断</t>
  </si>
  <si>
    <t>JP-P-033</t>
  </si>
  <si>
    <t>とりあえずの感想を書いておきます。(クリアして変化があれば編集します)・感覚的には仁王にLies of Pが入った感じでした(ジャスパではなくジャスト回避ですが)※いや、God of Warかもしれない・変化を使うとフロムゲーや数多くの死にゲーをやってきた人達からはかなり大味になってしまうため縛ってプレイするのもアリ逆に言うとアクションが苦手でも遊べる難易度になっているので是非手に取って遊んでみてほしいです。・死んでも経験値が減るなどのペナルティがないため気楽に死ぬことができるのも良い点・グラフィックや世界観、環境音はとても綺麗でこれだけでも買ってよかったと思えます。</t>
  </si>
  <si>
    <t>先写点初感（通关后再改）：体感像《仁王》+《匹诺曹的谎言》。难度适中，死亡没惩罚，玩起来不焦虑。画面/世界观/环境音都很棒，光这点就值回票价。</t>
  </si>
  <si>
    <t>画面美术场景；难度挑战；推荐价值判断</t>
  </si>
  <si>
    <t>JP-P-034</t>
  </si>
  <si>
    <t>正直申し上げますと、ポリコレやくざの恐喝を突っぱねた、の一点だけで買おうと決めた作品で、エルデンリングは好きですけどいわゆる死にゲーというやつはあんま得意ではないです。グラフィックは美麗ですし、中国の歴史や文化には興味があるのでそういう点では楽しいですが、なんかやたら敵の攻撃が回避しづらくてしんどいです。エルデンリングのつよ敵の攻撃来てるの分かってるけど避けられないとは違う、攻撃が来てるのかどうかも分かりづらいてのが多い気がします。あとセリフのテキストが小さくて文字が白くて見づらいです。年寄りに優しくないです。あんまおすすめポイントを書いてないので何の参考にもならないと思いますが、一応おすすめとしておきます。一部の環境でクラッシュ多発の不具合も出ているようですが、これはPCゲームとしてはゼロにするのは難しいので、割合としては大きな問題ではないのかな、と。ポリコレやくざに逆らったり、全プラットフォームのプレイ開始時間を統一したりと、そういったゲーム会社としての姿勢も含めての「おすすめ」とさせていただきます。</t>
  </si>
  <si>
    <t>说实话，我就是因为其“拒绝被政治正确胁迫”的姿态而买的。游戏本身也很扎实；另外统一全平台开服时间等做法，作为公司姿态也加分——因此推荐。</t>
  </si>
  <si>
    <t>JP-P-035</t>
  </si>
  <si>
    <t>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t>
  </si>
  <si>
    <t>我太喜欢了（反复高呼“最爱”）。</t>
  </si>
  <si>
    <t>JP-P-036</t>
  </si>
  <si>
    <t>端的に言うとライトな死にゲーという感じ、とても面白いまだ序盤だが、ジャスト回避以外にも弱攻撃からタイミング良く強攻撃に派生させることでダメージを無効化しながら攻撃したり、タイミング良く動きを止める術を使うことで効果時間を延長出来たりと、敵の攻撃を見切る脳汁要素がいくつも用意されているあとボス戦手前に復活ポイントが必ず用意されているのが良い。道中もそれほど長くなく、そろそろボスと戦いたいなあと思うと大体ボスが出てきてくれる。何より評価できるのは美麗なグラフィック。西遊記の世界観をここまで美しく描いた作品はこれまでになかったのでとても新鮮だし、細かい動作とかにもセンスが光っていて、見ていて飽きない。悟空というとアイツが思い浮かぶけど、オリジナルもめちゃくちゃ良いなって思わせてくれるような作品まあ主人公は悟空じゃないんだけどｗ</t>
  </si>
  <si>
    <t>一句话：偏“轻度受苦”的动作，挺好玩。除了恰时回避，轻攻→时机→强攻的派生也有味道。提到悟空会想到那位，但本作的原创也很出色——不过主角并不是悟空（笑）。</t>
  </si>
  <si>
    <t>动作打击手感；难度挑战；推荐价值判断；西游悟空符号；角色期待意义偏移</t>
  </si>
  <si>
    <t>JP-P-037</t>
  </si>
  <si>
    <t>免费获取的产品
																　グラボの特典についていたので無料で入手しました。プレイ時間はバグっていますが約7時間程度プレイしたころのレビュー。RTX 4070 SUPERを使用していますがWQHD,ほぼ最高設定で70fpsくらい、グラフィックは綺麗でそれだけでもやる価値は感じました。　一方、一本道で探索要素があまりなくて自由が効かない点が自分にはもったいない点であると思いました。特に最近のオープンワールドゲームに慣れたためか、見えない壁は相当萎えます。また、ほぼボスを倒していくだけで進行していくので代り映えがないです。　面白いのは間違いありませんが、フルプライスで買うほどの価値は自分には見出せそうにありません。折角なので最後まで遊ぼうと思います。グラフィックが美しいのが救い。</t>
  </si>
  <si>
    <t>【免费获取】显卡赠品里附送了本作。时间显示有误，约 XX 小时。对我个人来说不值得全价，但既然拿到了就打算坚持到最后。画面之美是救命稻草。</t>
  </si>
  <si>
    <t>画面美术场景；Bug兼容硬件；推荐价值判断</t>
  </si>
  <si>
    <t>JP-P-038</t>
  </si>
  <si>
    <t>『Black Myth: Wukong』を15時間プレイした後の感想です。まず、このゲームの美術と音楽は非常に素晴らしいです。中国古代の建築や甲冑のデザインには非常に詳細な考証が行われています。戦闘システムも『西遊記』の特色をうまく取り入れており、七十二変によるユニークな変身プレイが際立っています。しかし、マップやレベルデザインには改善の余地が多くあり、さらにミッションの指示がほとんどなく、これによって多くのプレイヤーが一部の体験を損なう可能性があります。総合的には、非常に良い作品であり、GOTYの有力な候補と言えるでしょう。8/10</t>
  </si>
  <si>
    <t>游玩 15 小时后的感想：美术与音乐极佳；部分设计可能影响体验。总体是非常好的作品，可称 GOTY 有力候选。8/10。</t>
  </si>
  <si>
    <t>画面美术场景；音乐音效配音；推荐价值判断</t>
  </si>
  <si>
    <t>JP-P-039</t>
  </si>
  <si>
    <t>後半ボスがクソ(でかい主語)
A級の西遊記アクションという唯一無二のゲーム体験。
天命人となり孫悟空亡き後の物語を描く本作。
そんなゲームを自分は最高に堪能した。裏ボスを倒し、通常エンディングも真エンディングも見て、武器やら装備やらをほぼ全部回収できた。
古代中国の神話世界という美しいロケーションの中、スクリーンショットを撮ったりもした。
倒した敵の絵巻を眺めバックストーリーに思いを馳せたりと、俺の心はこの神話の世界に入り込んでいた。2024年で間違いなく上位に入るゲーム体験だった。
そんな楽しんだお気に入りのゲームに今からケチを付ける。孫悟空の頭にはまっていた緊箍児(きんこじ)を締め付けられ悶絶するがごとくブチ切れてしまったからだ。
一体このゲームの何がダメだったのか。
開発者「このゲームはソウルライクではない」は半分ウソ
開発者のインタビュー曰く、本作はソウルライクではなくアクションゲームと定義している。
それは半分正しく半分間違い。
正確に言うと「プレイヤーの動きはソウルライクゲームで敵の動きはアクションゲーム」ということである。
プレイヤーの操作感はソウルライクイズムを大いに倣っている。
攻撃を避け、スタミナを管理して、敵の隙を見つけて攻撃する。攻撃一辺倒でもなんとかなるようなゲームではなく、ソウルライクで見られる基本的な動きが必要。アクションゲームと聞くと割とアバウトな感じでやっていけそうに感じるが、このゲームでそれをやると普通に死ぬ。
敵の動きを止めたり、ステルス状態に身体を固くして弾いたりと便利な技はいくつかあるが、無限には使えないので結局基本的なソウルライクなムーブは必須になる。
そして問題になってくるのが先に述べたプレイヤーだけがソウルライクという点と、後半になるにつれて急上昇していくボスの難易度である。
アクションが多いようで少ない
本作の主人公は孫悟空の子孫……ということで扱う技術も棍棒術なため設定上しかたないのだが、設定に縛られた結果、ゲーム上で一番扱う攻撃というアクションの幅が非常に狭い。武器はいくつか種類があり付帯効果も武器によって違ってくるが、モーションはどれも一緒。武器のとある2つは槍術を組み込んだ個別モーションに置き換わるものもあるが、意識しないとそもそも手に入らないものでもあるため、アクションの幅には含められない。含めたとしてもその棍棒術(基本モーション)と槍術の二つしかない。
どうせなら型というシステムを、重攻撃だけでなく弱攻撃のモーションもひっくるめて全て別物に変わるようにしてくれていれば個性も出たのではと思う。立棍は横に範囲が広く範囲攻撃向け、刺棍は横は狭いが前方にリーチが長くて発生が早く、劈棍はリーチは劣るが火力が一番出る……とか。
モーションが少ないということは後半になるほど変化が減り飽きがきやすいという事でもある。この手の他アクションゲーでは、新しい武器を手に入れたらまず振ってみたくなるだろう。その武器特有のリーチがあり重さ、特徴があり、それを見る楽しさやワクワクが存在するが、本作には残念ながらそれを感じられる部分が少ない。しいていうなら変化くらいしかない。
また、プレイヤーの攻撃方法が少ないということは、敵によって武装を使い分けるという基本的なこともできなくなる。素早い敵にも鈍重な敵にも、プレイヤーは決まった速度の決まった手順でしか攻撃できないということ。これは後述するボスへの難易度にも結果的に影響していると言える。
自分はソウルライク、相手は爽快アクション
プレイヤーはソウルライクイズムなムーブでダメージをとっていく必要があるのに、相手は別ゲーのアクションばりにたくさん動いてくる。
全てのボスがそういうわけではないが、一部のボス、特にゲーム後半のボスは攻撃チャンスも少なくプレイヤーは防戦になりがち。やっていて気持ちよくない。
プレイヤーと敵の行動量が1：5
ブチギレポイントその1
プレイヤーが１の行動をしたあとに敵がしてくる行動量がその3~5倍。
このゲームのボスは基本的に後隙が少なく、行動を終えて少しした後にすぐに行動してくる。後隙の間にできるプレイヤーの行動は通常攻撃の３、４段目までくらいで、その後の敵のムーブによっては最終段まで繋げられたりもするが、基本的に攻撃チャンスの時間は少ない。後半のボスは一回のターンが長く、その長い猛攻を潜り抜けてプレイヤーに与えられるチャンスは数秒間、もしくはほぼゼロである。
ソウルライクと言うと一回のチャンスに一回攻撃できれば良い方だったりもするが、攻撃の一回一回が軽い本作では従来のソウルライクと比べて一回のチャンスの恩恵が非常に少ない。出血などのデバフがあればチクチク攻撃でもいいかもしれないが、本作には出血は存在しない。毒や火傷はあるが、それを付与する攻撃は特殊な武器だったり変身状態のみだったりと、それを主軸に立ち回る方法は非常に少なく限られている。
動きを止める術もあるが万能というわけでもなく、かけるタイミングによっては即解除してきたり、形態変化以降はそもそも止められないということもある。
ボスは特殊行動も多く、HPの減り具合でやってくる特殊行動に攻撃チャンスは基本なく、避ける続けるしかない。
このように敵ばかり多く行動するため、プレイヤーは気持ちよくなれる瞬間が少ない。
後半のボスは当たり前だが硬いため多くの攻撃を必要とするが、後のボスほど攻撃時間が長くなりチャンスが減る。回避後に連撃の途中から繋げられたり重撃で攻撃をいなして無効にしたりなど、敵の行動中にも攻撃できる要素はあるが、次の問題点がそれを潰してくる。
ディレイ攻撃は当たり前
ブチギレポイントその2
往年のソウルライクでも嫌われる傾向にあるディレイ攻撃。なくては寂しいものだが、やりすぎるとストレスの要因にしかならない要素でもある。
このゲームの後半ボスは基本ディレイ攻撃ばかりであるため、上述の「敵のターンでも攻撃できる方法」の難易度を上げる原因にもなっている。
敵の1ターンの長さとディレイ攻撃の多彩さを組み合わせた結果、受けに回ったとたんつみあがるクソとなったのが本作の後半ボス達である。
わかりにくい攻撃の予兆
ブチギレポイントその3
本作のボス達の攻撃は本当に分かりにくいものが多い。
力を溜めているのは見ればわかれど、いつ飛んでくるのかが何度見ても非常に分かりにくい。予兆エフェクトがあっても攻撃直前エフェクトが無いというものが多く、ほとんど場合は覚えて体感で回避を入れるしかないレベルのものが多い。
いわゆるノーモーション突進が多い。
拘束攻撃が多い
本作のボスの特徴だが、カットインに移行する拘束攻撃が多い。
数秒間しっかりと演出されしっかりと痛い。しかも高頻度で使ってくる。
独自フィールドで無理やり不利を付けてくるボスがいる
猪八戒や紫蛛児、百眼魔君など、フィールドでプレイヤーに対し不利をつけてくるボスが一部いる。プレイヤーが画面を見なかった結果不利になる足場を踏んでしまったとかならまだギミックとしてわかるが、本作のボスの不利フィールド押し付けは強制かつ逃げられないものとなっている。そしてそのどれもが回避の弱体化という一辺倒ぶり。防御の手段が基本回避しかないこのゲームにおいてあまりにも致命的である。
プレイヤーの技術ではなく頼るべきシステムが縛られた結果殺されるのはあまりにも酷い。これがフィールドの一部だったり戦闘中に解除できるギミックがあればまだいいのだが、猪八戒と蜘蛛に関しては解除方法は存在しない。百眼魔君に至っては隠しステージのクリア時のアイテムが必須である。
ボスまでのマラソン
ブチギレポイントその4
ボスの目の前から再開できるようにしろってこの手のゲームが何年言われてると思ってるんだ。
本作も目の前で再開できたりできなかったりと、基準がよくわからない。
個人的に最高に愉快だったボス達
-演虎-
ディレイの塊
攻撃ほぼ全てがディレイをかけてくるとうとんでもない猫科の畜生。
なれてくればおもちゃだが、慣れるまでの最初がとんでもなく大変だった。
例によって例の如く長い特殊行動と長い拘束攻撃をしてくるクソ野郎。
自分がこのゲームで初めて切れた相手でもあった。
-百眼魔君-
HPが減ると特殊なフィールドを展開し、永続的にプレイヤーの最大スタミナ減少&amp;回避弱体化してくる初見殺しの3章の最終ボス。
裏ステージ(入場にイベント必須の寄り道)で手に入るアイテムをフィールド展開されたあとに使えば解消できるが、そもイベントを見逃してたりするとアイテムの存在すら気付けない。
2章の最終ボスも同様にアイテムを使うと有利に立ち回れるが、なくてもどうにでもなるレベルであった。がこのボスはそうはいかない。
回避は軽ロリからどっすんロリに変わる程重たいものになり、最大スタミナも数回回避しただけで枯渇レベルまで下がるため、攻略アイテム有り無しでの難易度の違いが甚だしい。
エルデンリングには「モーグの高速具」や「冒涜の爪」などの「あれば有利に立ち回れるが必須ではない」というアイテム存在するが、このボスに限ってはなければまともに戦えない。そしてそれが寄り道しなければ手に入らないという難易度の設定方向をはき違えたボス。
-６章の水辺のカバ-
水辺に顔を出している植物性のカバ。別に強くはない。連続突進という遅延行動をしてきたり、後隙の後にバックステップをかましてきたりとイラッっとくるムーブが多い。バクステされるとタメ攻撃はもちろん外れる。たぶん開発もわかっててやってる。カバがバクステすんな。
-大石敢当-
本作最大のサイズを誇る岩の巨人。
こういう巨大ボスはイベントボス的な方向性が多いが、このゲームは格が違った。
攻撃チャンスは腕を振り下ろす攻撃の後の硬直時なのだが、その振り下ろす攻撃の頻度はランダム。
行動ルーティーンも固定ではなく、チャンスにつながる攻撃をしてこない時は全くしてこない。ひたすら腕を横にぶんぶんとしか振ってこない時もある。
側面に回れば待機中の腕を攻撃できるが、横にぶんぶんされると逆に攻撃チャンスは正面より少なくなる。側面張り付きは攻撃後におろしてくる腕に押しつぶされて即死する可能性のオマケつきでもある。
時間だけかかる無駄にデカイだけのボス。
-顕聖二郎真君-
本作の裏ボスであり、上記に書いた悪い部分を全て内包する仏塔より高くそびえ立つ特大のクソである。
無双ゲーか他のアクションゲームから呼んできたかのような内容のボス。
ずっと敵のターン、ディレイだらけの攻撃、発生が分かりづらいタメ攻撃、そして少ない後隙。おまけといわんばかりに状況によってはこちらのタメ攻撃を避けたりもする。
ガードゲージも持っているため、避け続けて攻撃を当て続けるか、ガードできないタイミングを見極めて攻撃を入れる必要がある。
一回の攻撃で5～8回以上の連続攻撃(ディレイ込み)で毎回10秒近く奪われる時間、その最中にたまに挟まれる拘束攻撃。そのわずかな後隙への攻撃すらも弾かれるプレイヤー。相手の動きを止める定身術も形態変化以降は跳ね返される始末。そして避けづらいタメ大技。
全てにおいてクソ度が高いが、もっともクソな部分はとある大技を打った後の、攻撃がまだ終わりきってないのにそのまま次の攻撃行動してくること。ちなみに確定行動である。大技撃ったあとの然るべき隙が存在しない。
一部のムービーがスキップできない
２週目以降のだるい要素。
新しい術を手に入れるムービーは大体スキップ不可。他のムービーも途中まで飛ばせないこともある。
飛ばせる飛ばせないの基準がわからない。いいじゃん２週目なんだからスキップしても……。
-終わりに-
本作のボスはやっててストレスばかりたまる相手が多かった。
序盤は探索もボスもそこそこで楽しかったが、後半になるにつれて苛烈になるボス達は倒せても疲労感の方が大きく、ソウルシリーズで得られた達成感というものはほとんど感じることはできなかった。
要は「やってて気持ちよくない」である。
ゲーム自体の雰囲気や力の入った幕間のアニメーション、未翻訳部分もあるが読み応えのある図鑑など魅力も多くゲームとしては素晴らしい出来だが、肝心の難易度調整は大分大味で調整不足な部分を大いに感じる。
海外のレビューにも後半の難易度の上昇曲線が激しいとネガティブに書かれていたがまさにその通りであった。
とても面白いゲームだし気に入ってるし二週目もするけど、あまりにも血管が壊れたので俺のグッドボタンは赤く染まってしまった。</t>
  </si>
  <si>
    <t>后期 Boss 很糟（大主语）。作为 A 级的《西游记》动作，本作提供了独一无二的体验；讲述孙悟空逝去后的故事……（下略）。我很喜欢这游戏，也会刷二周目，但因为几处设计让我血压飙升，只能给“好评但不完美”。</t>
  </si>
  <si>
    <t>动作打击手感；Boss战斗节奏；西游悟空符号</t>
  </si>
  <si>
    <t>JP-P-040</t>
  </si>
  <si>
    <t>まだ3時間しかしてないからレビューは後にします今のところクラッシュは一度も無しi7-12700RTX-4070TIMEM 32GSSDレイトレは重いからオフ、モーションブラーオフ2560*1440  趙高　70FPS～高　　100FPS～中　　120FPS～状況で前後はずるがこんな感じ高で120FPS以上出る時もあるから高で遊ぶつもりフレーム生成オフにすると高で80FPS程度まで落ちるからRTX4000シリーズがお勧めちなみにFSRで高の場合　フレーム生成ありで80FPS程度</t>
  </si>
  <si>
    <t>目前仅 3 小时，稍后再细评。到现在没一次崩。i7-12700 / RTX 4070 Ti / MEM 32GB。4K DLSS 性能优先高画质约 118–144 FPS；画质优先约 80 FPS。推荐 4000 系。FSR 高画质+帧生成为约 80 FPS。</t>
  </si>
  <si>
    <t>画面美术场景；优化帧率；Bug兼容硬件；推荐价值判断</t>
  </si>
  <si>
    <t>JP-N-041</t>
  </si>
  <si>
    <t>ジャスト回避主体と溜めたゲージで敵の強靭を崩して怯ませて体力削っていく感じのゲームです。なのでダークソウル系というよりはどちらかといえばベヨネッタとかデビルメイクライみたいな立ち回りになります。ステも自由に降り直しできるのでボスごとに特化ステ組めます。2面まで行きましたがボス間の難易度差が露骨で火力高くて素早いボスの次に速度普通で火力低めのボスがいたりとかします。とりあえず圧倒的に金が不足するので稼げる場所見つけたらこまめな金策が必要だと思います。</t>
  </si>
  <si>
    <t>以“恰时回避→攒槽削韧→打出硬直→削血”为核心，更像《只狼》而非《黑魂》。偶尔会遇到高韧但输出低的 Boss。钱非常不够用，找到刷钱点就勤刷。</t>
  </si>
  <si>
    <t>动作打击手感；Boss战斗节奏</t>
  </si>
  <si>
    <t>JP-P-042</t>
  </si>
  <si>
    <t>４時間ほどプレイした感想。仁王やWoLongの孫悟空バージョンかな？不満点としては、孫悟空（西遊記後）にフォーカスしてるため、武器種とキャラが固定であることで、上記２つとは違い選択肢の幅が狭い。ただ、道中は初見即死系トラップはないので安心して進める。まだまだ序盤なので、この後に期待ひとまず現時点では買いかな？</t>
  </si>
  <si>
    <t>约 4 小时感想：是《仁王》《卧龙》的“孙悟空版”？缺点在于聚焦《西游记》后的悟空，导致武器/流派偏单一。但途中没有初见必死陷阱，可以安心推进。序盘而已，暂时建议购买。</t>
  </si>
  <si>
    <t>动作打击手感；推荐价值判断；西游悟空符号</t>
  </si>
  <si>
    <t>JP-P-043</t>
  </si>
  <si>
    <t>1章クリア+a程度でのレビュー3Dアクションゲーの中では圧倒的な完成度で上位に来るレベルの出来ですあまり国が云々は言いたくないけども、日本はもうこのレベルのゲーム出てこないんだろうなって言う感想になってしまったそのくらい素晴らしいゲームですただ、ある程度のスペックは要求されるけどそれはご愛敬ですね</t>
  </si>
  <si>
    <t>通关第 1 章+α 的评测：在 3D 动作游戏里完成度极高，能排在上游。不想谈国别，但不得不承认这水平。虽然要一定配置，但瑕不掩瑜。</t>
  </si>
  <si>
    <t>动作打击手感；Bug兼容硬件；整体完成度</t>
  </si>
  <si>
    <t>JP-P-044</t>
  </si>
  <si>
    <t>Despite of its awful level design, the cutscene, music and graphic is excellent.</t>
  </si>
  <si>
    <t>关卡设计糟糕，但过场，音乐，画面都很出色。</t>
  </si>
  <si>
    <t>画面美术场景；音乐音效配音；演出角色怪物设计；地图路线</t>
  </si>
  <si>
    <t>JP-P-045</t>
  </si>
  <si>
    <t>免费获取的产品
																bug有点多，怪会隐形，还会滑步（？）手柄优化有点差，总体来说还不错</t>
  </si>
  <si>
    <t>优化帧率；Bug兼容硬件</t>
  </si>
  <si>
    <t>JP-N-046</t>
  </si>
  <si>
    <t>哟西哟西，大大滴好玩牛逼啊，豪华版内附的原声集竟然是全景声格式的，现在狗日的日厂游戏大多只给个MINI选集</t>
  </si>
  <si>
    <t>JP-P-047</t>
  </si>
  <si>
    <t>二章のNPCの歌を聞いた瞬間この神げーに満点をつけます。F**k ポリコレ、Monkeを抱擁せよ</t>
  </si>
  <si>
    <t>听到第二章某个 NPC 的歌那一刻，我就给满分了。无需理会所谓“政治正确”，拥抱猴子 Monke！</t>
  </si>
  <si>
    <t>JP-N-048</t>
  </si>
  <si>
    <t>シンプルにあれこれ書かずに、一言で言います。神げーです！</t>
  </si>
  <si>
    <t>不多说——神作！</t>
  </si>
  <si>
    <t>JP-P-049</t>
  </si>
  <si>
    <t>今年やった最高のゲームです！！買ってよかった～</t>
  </si>
  <si>
    <t>今年玩到的最佳游戏！买对了~</t>
  </si>
  <si>
    <t>JP-M-050</t>
  </si>
  <si>
    <t>its ture 未来が到達しました。</t>
  </si>
  <si>
    <t>的确如此——未来已经到来。</t>
  </si>
  <si>
    <t>JP-P-051</t>
  </si>
  <si>
    <t>2024-10-29</t>
  </si>
  <si>
    <t>素晴らしい</t>
  </si>
  <si>
    <t>很棒。</t>
  </si>
  <si>
    <t>JP-M-052</t>
  </si>
  <si>
    <t>とりあえず最高！！！</t>
  </si>
  <si>
    <t>简直太棒了！！！</t>
  </si>
  <si>
    <t>JP-P-053</t>
  </si>
  <si>
    <t>太好玩了，强烈推荐！</t>
  </si>
  <si>
    <t>JP-P-054</t>
  </si>
  <si>
    <t>まず、デジタルデラックス版を買う価値はない。あと、いつもの死にゲーって感じですねｗ説明が少ないので、話題だから！レビューがいいから！という理由で購入を考えてる人は必ず痛い目を見ます。敵の攻撃パターンやマップがないので位置を覚えたり、初見殺しは当たり前です。アイテムなどは消えないのでガンガン行ける反面、難易度は少し気持ち高めです。同じ敵と何度も戦う羽目になりますが、操作性は悪くなくよかったですとりあえず死にまっくてイライラしますが、れでも楽しめるドM様ならすごく満足のいく一作だと思います。</t>
  </si>
  <si>
    <t>不建议买数字豪华版。整体属于“受苦向”，说明较少——别光看热度就下手。操作手感不错；虽然会死很多让人急，但喜欢挑战的人会很满足。</t>
  </si>
  <si>
    <t>动作打击手感；难度挑战；推荐价值判断</t>
  </si>
  <si>
    <t>JP-P-055</t>
  </si>
  <si>
    <t>主にボス戦での感想。避けることを主体としたゲーム性の割に、ボスの攻撃モーションが振りかぶる→溜める→一瞬で攻撃判定が発生といった、振り下ろす動作が省かれた攻撃を多用してくるので、攻撃パターンとタイミングをキッチリと覚えておかないと気持ちの良い立ち回りができない。溜めから攻撃へのタイミングもクセがあり、ココだ！と思って避け動作をすると大体失敗する。（私が下手なだけかもしれないが…）また、ジャストタイミングで避けると残像を出しながら避けるのだが、その直後に反撃をしても敵は仰け反ることもなくお構いなしに連携を続けてくるので連携が終わるまではキッチリと避け続けなければならないうえに、連携が終わってさあ反撃だ！と思ったところで、ところがどっこい派生しまーすｗといった動作も頻繁にあるため、様子を見ながら弱攻撃をちまちま当てることが多くなり、爽快感がほとんどないのが残念。とはいえボスの攻撃はそこまで苛烈でもないため、何度か倒されてなんとなくパターンがわかってきたころになんとなく倒せてしまった、ということが多くなんとも煮え切らない感じ。それほど難しいといった難易度ではなくグラフィックも奇麗だが、圧倒的好評という評価にアクション面での期待値を求めてプレイするとガッカリ感は否めないです。</t>
  </si>
  <si>
    <t>以回避为核心的设计却常出现“抬手→蓄力→瞬发判定”的 Boss 模式，读招不顺；打击停顿与命中音偏轻，难以判断攻击是否入肉。画面很美，但若奔着“顶级动作手感”的预期来，难免失望。</t>
  </si>
  <si>
    <t>画面美术场景；动作打击手感；Boss战斗节奏；判定反馈；推荐价值判断</t>
  </si>
  <si>
    <t>JP-N-056</t>
  </si>
  <si>
    <t>めっちゃ凄い！</t>
  </si>
  <si>
    <t>太厉害了！</t>
  </si>
  <si>
    <t>JP-N-057</t>
  </si>
  <si>
    <t>高画質かつヌルヌルでプレイしたい方はLossless Scalingというソフトを導入してみてください。所謂アップスケーリングツールで、フレーム生成によってFPS向上したような見た目にできます。私のPCはミドルハイぐらいの構成※下記参照ゲーム内設定は最高 ( レイトレはoff ) にしてますが、120FPS程で安定してます。 ほかの重いゲームとかにも有効なのでお試しあれ！pc構成OS : win 11 proCPU : ryzen 7800x3dGPU : rtx 3080RAM : 64GBゲームの感想としては普通に面白いですけど ”圧倒的に好評” かと言われると微妙。グラフィックで2割増しぐらい盛られてる。内容は例えるなら隻狼チックなマップでベヨネッタやってる感じ。ちなみにまだボス数体倒した程度ですが、死にゲー苦手な人にもオススメできるぐらいの難易度です。何気にスタイリッシュ系のアクションゲームで死にゲーって珍しいのでは。（あったらごめんね）グラの綺麗さは言わずもがなですが、何よりストーリーへ没入できるよう気を遣って作りこんでるように思います。西遊記の話とかちょっと見とくと尚楽しめるかと。ちなみにソウルライクって感じではない。エルデンとかダクソみたいに自分のビルド追及して～とかの要素は無くて、アクションを開放していって組み合わせて戦う系。隻狼の様に固定のアクションを極めていく感じですね。なんでエルデンとかダクソの亜種が来たぞー！って思って買うのはお門違いです。UE5のAAAタイトルだけあって期待感がすごい中購入を検討されてる方も多いかとは思いますが、正直グラフィックは劣ってても面白いアクションゲームはいっぱいあります。なんで購入を迷ってる方はYouTubeとかで最初のチュートリアル戦？みたいなとこだけ見てこりゃすげぇ・・・ってなったら買ってください。フルプライスでも多分損はしないと思います。</t>
  </si>
  <si>
    <t>想在高画质且流畅地玩，建议试试 Lossless Scaling 之类的升频工具。把序章教程打一下，如果心里直呼“这也太厉害了”，那就买吧——就算全价大概也不亏。</t>
  </si>
  <si>
    <t>画面美术场景；优化帧率；推荐价值判断</t>
  </si>
  <si>
    <t>JP-P-058</t>
  </si>
  <si>
    <t>実績コンプ後の追記
実績全解除終わりました。甘草のドロップ品は30時間程必要でした。
敵の装備品ドロップはドロップ率上昇アイテム×3個状態で全収集におよそ５時間程度必要でした。
50時間～60時間で全実績解除出来ている人も居るみたいですが相当な”強運”の持ち主なので平凡な私の実態を記載しておきます。
スムーズな全実績解除には
・道中の敵（分岐の中ボスも含む）は全員確実に倒す。
・道中の草花は全部収集する。
・NPCイベントは次章に行く前に全部終わらせる。
・3章の提灯ドロップは塔のボス攻略前に終わらせる。
・4章の裏マップはボス億略前にお使いと大王討伐を必ず終わらせる。
・１周目で裏ラスボスを必ず倒し”岩猿”を開放しておく。→2周目が楽
とにかく草むしりがこれほどまでに時間がかかると思いませんでした・・・
以下、真エンディング視聴後の追記
ストーリーに関しては添え物かと思いきや真エンディングを視聴後ではかなり意見が変わりました。
テーマは”輪廻”だったんですね。この話の真実を知るには真エンディングの視聴は必須です。
アクション部分に関しては２周目は非常に”簡単”に感じてしまうのでこれを退屈な作業と感じてしまう人も居るかもしれません。
したがって真エンディングが見たい人は必ず1周目で辿り着く事をお勧めします。（例の人も１周目の方が弱い）
ネタバレは書きませんが真エンディングは演出が非常に作り込んでいて豪快かつ爽快です。
本当はトロコン後に追記しようと思いましたが何となく分かっているけどなかなか達成できなさそうなのでそうプレイ時間は100時間超えそうです。
以下はプレイ時間8時間弱時のレビュー
SEKIRO挫折者ですがこちらはデスペナルティーが無いのでストレスなくプレイ出来て楽しいです。
基本的には道中ザコ戦（分岐に中ボスあり）ボス戦、セーブの繰り返しの構成になっています。
グラフィックは素晴らしいですが行ける場所は少なく開放感のないステージ構成になっています。
徐々に技を強化したり武器や防具を強化したり補助アイテムがあったり等はSEKIROと一緒です。
ジャスト回避がほぼ必須テクニックでその後連撃からのチャージ攻撃、ボスの強攻撃をチャージ攻撃で抑え込むというのが攻略の中心になってきます。
妖術で妖怪に化ければ一定時間特殊な攻撃が行えるようになりなおかつ体力ゲージは悟空とは別管理なので大量の攻撃を叩き込めます。
かなり難易度は抑え目の印象ですがSEKIRO挫折者の私には丁度いいくらいです。
かといって決して簡単というわけではなくそれなりに歯ごたえのある戦闘が楽しめます。
ストーリーはまだ序盤なのでなんともですが雰囲気を味わう程度の添え物だと思った方が良さそうですね。
劇中の翻訳（和訳）は結構しっかりしていますが、インベントリの翻訳は微妙すぎて体力と生命力の違いが初めよく分かりませんでした。
全ての習得技を同時に使用できるわけではなくボスに合わせてカスタムすると攻略が楽になります。
フルプライスのインディーズゲームですのでAAAクラスのタイトルと比べ見劣りする部分が多いですがおおむね不満もなくアクションゲーム好き、ソウルライクゲーム好きはプレイして後悔は無いと思います。
既にトロコンしてる人何者だよwww</t>
  </si>
  <si>
    <t>【长文精译｜白金后补记】已全成就。为了刷“甘草”的掉落花了约 30 小时……动作/魂like 爱好者不会后悔。顺带一提：已经白金的人你们是什么物种 www</t>
  </si>
  <si>
    <t>JP-P-059</t>
  </si>
  <si>
    <t>令和最新版エイリアンソルジャー西遊記はドラえもん のび太のパラレル西遊記で履修済み今後はこのレベルのグラフィックのゲームが出てくるって考えたら超ワクワクしつつ財布を心配する必要がチラチラしてるゾ。中韓ゲーの特徴なのか、ソーシャルゲームの間隔が抜けてないのか面白くなるまでの時間が長い。パリィとかも覚えるの先なのソシャゲかな？言うまでもなく綺麗。流石UE5。ゲーム部分だけなら正直平凡。というより二昔前の普通のノンリニアアクションRPGゲームだゾ。それ故に戦闘は回避してペチペチ棒で殴るしかないゾ。ペチペチ殴る姿はシュールだけど猿だから多少はね？自分は怯むから攻撃避けないといけないけど敵のほとんどは痛覚がないのか怯まないという疑問も相手が異形の生物だから死ぬまで棒で殴り続けるという説得力を持たせているそもそも如意棒ですらない普通の棒で撲殺している。野蛮だねぇ今風のゲームらしくやっぱりガードやカウンター位は欲しいゾ、一度殴られると怯んで連続攻撃で死ぬことが多々あるしチュートリアルらしいチュートリアルは一切ないどこに行けばいいのか、何をすればいいのかの説明、なぜウロウロするのかの理由も説明は特に一切ないゾ。迷子になる？そこに方眼紙があるでしょ。今も現役の方法があるでしょ。令和最新版ロンダルキアの始まりや！は言い過ぎだけど新宿駅よりは複雑ではないゾ西遊記の雰囲気は過去の題材にしたゲームと比べたらとてもいいゾ。映画ドラえもんの西遊記みたいに楽しめるゾ。西遊記読んでないとkwskは分からんとは言わないゾ。wikiの西遊記でも読むと7割は分かるけど小説も文字も読まなさそうだし。そもそも西遊記本編じゃないからはえ～程度伝えるにはドラえもんで十分なんや。仕方ないだろ。ちなみにアクション苦手だと難しいかもしれないゾこれ言うと別に難しくないけど？ってマウント取りにくるやつが出てくるのもセットばっちりパターン覚えるまで死にまくるゲームだゾ。難しくないけど？って言ってる君センスあるね！ワイと一緒にRTSやらない？大丈夫だよ！君のセンスなら100時間位負け続けてからブロンズに多分いけるよ！さぁ！さぁさぁ！ほら！やろうよ！まずは無料だからスタークラフト2でブロンズ目指そうね！ねっ！えっ？難しいし勝てないって？難しくないよって言ったよね？はぁ～あほくさ　というのを何回か経験してるから死にまくろうね。率直な感想最近の日本は文句ばかり多い割には金持ってないし7500円すら払う金がないゴミだからスマホゲーのガチャ以外どうでもいいという現実を突きつけられるゾ。どのゲームもその国の通貨で計算したら円安パワーで4000円位が7500円！しゅごい！の割になんで国産のゲームは1万円超えるの？太閤立志伝か何か？拙者のスマホに入ってるソシャゲは国産だとウマ娘しかないし、ゲームすら中韓が迫ってきているから認められない気持ちも分からんでもないけど、ワイ確かにプレイしてるゲームで国産なの最近ないや・・・最後に買った日本産のゲームが「お前はカオスか？」「いいえ。違います」って都度問い合わせるFFのストレンジャーオブパラダイス位だし？→履歴見たら「妹せいかつファンタジー」だったうーん。ちょっと最後に買ったのが妹せいかつファンタジーだから何も言えない。</t>
  </si>
  <si>
    <t>令和最新版“异形战士”。童年靠《哆啦 A 梦：大雄的平行西游记》入门……今后只有达到这种画面水准的游戏才配叫“次世代”。</t>
  </si>
  <si>
    <t>画面美术场景；整体完成度；西游悟空符号；童年记忆情怀；本国媒介路径</t>
  </si>
  <si>
    <t>JP-P-060</t>
  </si>
  <si>
    <t>クリアしたので追記仏教と道教宗教戦争だこれストーリー一通りクリアしたが大傑作だったちんぷんかんぷんなストーリーに見えてちゃんと繋がっているし考えれば何となく意味は分かる、ストーリーに密接に関わるゲームシステムこれはソウルライクなんて言われているがそんなに難しくはない昔ながらの３Dアクションゲーム術などが強いため一度も詰まなかった。翻訳もすばらしくそうとう気合い入れて翻訳しているが現時点でフレーバーテキストが未翻訳の部分がありこれがストーリーの難解さにつながってしまっている。親切丁寧行先すら考えなくていいストーリーもおまけみたいな昨今のゲームと違うここまで濃く考えさせられるストーリーと邪魔にならない程度に歯ごたえのあるアクション、現状最高峰の激重グラフィックこれぞリッチなゲームで大満足だ。制作会社が中国というだけで評価悪くなるのがこの国の国民性だと思うがそんなノイズに惑わされないで一度プレイしたほうがいいほどすべてのクオリティが高い、残念なことに現状の日本じゃ絶対に作れないレベルのグラフィックだしその他の要素もすべてがリッチ。目立ったバグもないし現状最高峰のアクションゲームだろう。敵を倒すと読めるフレーバテキストが非常に面白いこれは西遊記の世界観を浅くしか知らない故に余計楽しめているんだと思う、セリフ廻しが京劇のようで世界観にあっていてすごくいい是非中国語音声でプレイしてほしい。</t>
  </si>
  <si>
    <t>通关补评：这就是佛教×道教的宗教战争。整体是杰作。看似云里雾里的剧情其实串得很扎实。行业梗，地方话，戏曲味儿十足的台词都很贴合世界观，强烈建议用中文语音游玩。</t>
  </si>
  <si>
    <t>音乐音效配音；中国文化宗教语言审美</t>
  </si>
  <si>
    <t>JP-N-061</t>
  </si>
  <si>
    <t>2025-04-07</t>
  </si>
  <si>
    <t>最高の死にゲー</t>
  </si>
  <si>
    <t>最棒的“受苦/死亡”游戏。</t>
  </si>
  <si>
    <t>JP-M-062</t>
  </si>
  <si>
    <t>感觉比法环好上手——来自小黑盒用户地蛋_666的评价</t>
  </si>
  <si>
    <t>JP-P-063</t>
  </si>
  <si>
    <t>まだまだ序盤ですが、とにかく楽しいです。グラフィックが綺麗、アクションが小気味いい、特に如意棒を伸ばして叩きつけるのは快感です。他のレビューにもあるように、ほとんどボスラッシュですが、いつでもスキルツリーを変更できるので、ボス毎に工夫できるのもいいです。あっ、音声は中国語の方が雰囲気が出ます。マップが無いとか、字幕の文字が小さいとか不満はありますが、やっててとにかく楽しいです。ただすべての人が満足するかといえば、「それはどうかな～？」という気がします。反ポリコレ派(自分もですが)が、頑張ってレビューを挙げているので、圧倒的になっていますが、購入を考えている方は多少割り引いて考えた方がいいでしょう。</t>
  </si>
  <si>
    <t>虽仍在序盘，但非常好玩。画面漂亮，动作爽快，尤其如意棒伸长砸下去很解压。评论里“免费领到”的也不少，导致好评偏“压倒性”；打算入手的朋友可以稍微打点折来看待评分。</t>
  </si>
  <si>
    <t>JP-N-064</t>
  </si>
  <si>
    <t>4ステージ目攻略中です。敵の攻撃に対する反撃手段にかなり不満があります。まず、破棍式を使うには軽攻撃を先に挟まないといけない上に、さらに一段階の「気勢」を消費しなければ使用できません。しかし、操作感が非常に違和感があります。MHの見切りを参考にしたかのようですが、あの爽快感が全くありません。次に金剛術ですが、これも使用するために法力を消費しますし、連続で使用することはできません。たとえ防御に成功しても、その後に続く強力な技がないため、結局のところ使い勝手が悪いです。総じて、反撃手段が期待外れで、ゲーム全体の爽快感を欠いているとおもいます。</t>
  </si>
  <si>
    <t>打到第 4 阶段。对“反击手段”非常不满：比如“破棍式”必须先穿插轻攻才能出，而且破棍后的派生也不强；整体缺少实用有力的反击技，导致手感偏差，爽快感不足。</t>
  </si>
  <si>
    <t>JP-P-065</t>
  </si>
  <si>
    <t>グラフィックがすごくきれいです！最初に流れるムービーに心惹かれました！わくわくします！アクションやスキルは西遊記の世界観を少しでも知ってる方はおぉ～と思うと思います。気になる点もいくつかあります。字幕が見にくくて字が読みずらいバグでフリーズしたりと直してほしい部分もありますがアクションゲームを探してる方は購入しても損はしないと思います。</t>
  </si>
  <si>
    <t>画面非常漂亮！开场 CG 直接抓住我，超兴奋！动作和技能把《西游记》的世界观表现得很到位。虽然存在读字困难/卡死等 Bug，希望尽快修复；但想找一款动作游戏的人，买了不亏。</t>
  </si>
  <si>
    <t>画面美术场景；演出角色怪物设计；动作打击手感；崩溃闪退；Bug兼容硬件；推荐价值判断；西游悟空符号</t>
  </si>
  <si>
    <t>JP-N-066</t>
  </si>
  <si>
    <t>免费获取的产品
																ティックトックのコラボイベントとしてこのゲームを無料で提供されました。ゲーム内のボスはかなり強いですが、それぞれの攻撃パターンを覚えて戦えば無傷でクリアも可能です。ただ、パターンを覚えきるまではほぼ倒せません。戦闘シーンや敵の攻撃をぎりぎりでかわすときに出る演出は高品質でかっこいいと思いました。少し値段は高めだと感じましたが、無償提供されなくても買う価値はあると思います。ただ、戦闘が苦手な人やPCのスペックがない方は楽しめないと思うので要注意だと思います。</t>
  </si>
  <si>
    <t>【免费获取】作为 TikTok 合作活动领取。Boss 相当强，战斗不擅长或电脑配置不足的人可能玩不开心；即便不是免费，我也觉得值得入手。</t>
  </si>
  <si>
    <t>JP-P-067</t>
  </si>
  <si>
    <t>適度な難易度と軽快な操作、そして綺麗なグラフィックまだ序盤までのプレイですが、すでにハマっています。基本的には１本ルートですが、幾つか隠しアイテム等用意されており、やりこみ要素も一応用意されているようです。ほぼボスとの対戦がメインですが、適度に難しく調整されており飽きないです。迷っていたら買いです。デジタルエディションの武器は、すぐに使わなくなるのでスタンダードで十分です。</t>
  </si>
  <si>
    <t>难度适中，操作轻快，画面漂亮。大体是一条主线＋少量分支，但 Boss 模式做得好，不会腻。犹豫就买标准版即可（数字典藏的武器很快就不用了）。</t>
  </si>
  <si>
    <t>画面美术场景；动作打击手感；Boss战斗节奏；难度挑战；推荐价值判断</t>
  </si>
  <si>
    <t>JP-P-068</t>
  </si>
  <si>
    <t>免费获取的产品
																 评分8/10，给中国游戏史增添了极其浓厚的一笔，已经达到了心中的预期，制作团队实地考察扫描出来的场景真的非常惊艳，我都是边打边看风景的。目前打到第三章，每一章的结尾处理也是眼前一亮（要看懂章结尾的小动画需要一定的原著知识储备），也许是第一次做动作游戏？总感觉猴子的攻击衔接有点生硬，特别是重攻击的反馈感觉怪怪的。地图设计方面也是稍显青涩，真的太容易迷路了，指引也做得不够足，如果能有玩家谏言或者发光石体验可能会好很多。还有就是第二章得远程小怪有点难顶了，站得高、射速快，我们还没有远程得反制手段，特别坐牢。不过以上的缺点都瑕不掩瑜，不影响这是一部好作品好游戏，好久没有这样通宵达旦地玩游戏了，对上一次是《怪物猎人：世界》，只能说游戏科学牛逼！</t>
  </si>
  <si>
    <t>免费获取的产品
																 评分8/10，给中国游戏史增添了极其浓厚的一笔，已经达到了心中的预期，制作团队实地考察扫描出来的场景真的非常惊艳，我都是边打边看风景的。目前打到第三章，每一章的结尾处理也是眼前一亮（要看懂章结尾的小动画需要一定的原著知识储备），也许是第一次做动作游戏？总感觉猴子的攻击衔接有点生硬，特别是重攻击的反馈感觉怪怪的。地图设计方面也是稍显青涩，真的太容易迷路了，指引也做得不够足，如果能有玩家谏言或者发光石体验可能会好很多。还有就是第二章得远程小怪有点难顶了，站得高，射速快，我们还没有远程得反制手段，特别坐牢。不过以上的缺点都瑕不掩瑜，不影响这是一部好作品好游戏，好久没有这样通宵达旦地玩游戏了，对上一次是《怪物猎人：世界》，只能说游戏科学牛逼！</t>
  </si>
  <si>
    <t>画面美术场景；演出角色怪物设计；动作打击手感；难度挑战；判定反馈；地图路线；引导迷路单线；推荐价值判断；本国媒介路径；中国文化宗教语言审美；国产3A身份期待</t>
  </si>
  <si>
    <t>JP-P-069</t>
  </si>
  <si>
    <t>6時間ほどのプレイですが、スキルの組み合わせを考えたり妖怪図鑑のストーリーを読んだり思ってた以上に面白い。ボス戦が多く回避が上手く出来ずに何度もやり直しになり、なかなか進めない事もあるが、雑魚敵を復活させる事が出来るのでスキルポイントを集めながらボスに再挑戦し回避の腕を上げながら進めてます。スキルポイントの割り振りもリセットが出来るので、なかなか倒せないボスの時は色々構成を変えて挑んでいます。序盤から倒さないでもよい強敵もいるのでやりごたえがあります。</t>
  </si>
  <si>
    <t>游玩约 6 小时：搭配技能，阅读妖怪图鉴比想象中更有趣。Boss 很多，Build 可随时更换；有些强敌可跳过，手感扎实。</t>
  </si>
  <si>
    <t>JP-P-070</t>
  </si>
  <si>
    <t>重さに目をつぶれば、ビジュアルとコンセプトは最高。中華メーカーじゃないとこれは作れないね。日本人に作らせたら、もうちょっと悟空の存在が軽くなっちゃうし。死にゲーではあるが、ロード以外苦痛な点は無いので、孫悟空好きなら買っとけ。ポリコレ云々言う奴がいますが、斉天大聖孫悟空というのは中国の南部中心として神様として信仰されている存在なので宗教問題に思いっきり突っ込むわけなんだけども、その覚悟はあるんだよね？まさか、他国の宗教を叩いて多様性とか言わないよな？</t>
  </si>
  <si>
    <t>若不计较“重量感”，视觉与概念一流。坦白讲，这样的题材与表现，恐怕只有中国团队能做出。若在日本做，可能会被塞进过多不相干的说教。作品也触及宗教议题，需要相应的创作决心。</t>
  </si>
  <si>
    <t>画面美术场景；中国文化宗教语言审美</t>
  </si>
  <si>
    <t>JP-P-071</t>
  </si>
  <si>
    <t>注意：プレイ途中の感想です。今後刺し変わる可能性があります（１０時間ちょい）
まずこのゲームは前評判で注目されていましたがその際によく用いられる「ソウルライク」というジャンルのゲームではありません。一番ゲーム性が似てるゲームを挙げるとすればゴッドオブウォーになります。
チャプターごとのボスが配置されているのでそこまで殴り込みに行き、妖怪変化をぶっとばし、ポイント（死んでも落とさないルーン的なもの経験値）を貯めて妙悟点を得てそれをMMO的なマスタリーに振り分けて全盛期の力を取り戻していきボスを倒していくボスラッシュ気味なアクションゲームです。
封印された孫悟空（斉天大聖？）の持っていた力が６つの至宝になって散らばってしまっているのでプレイヤーのお猿さんは天命人（多分使命を帯びた人）としてそれらを収集していくというのが現段階で明かされている目標となります。
冒頭に述べた様にソウルライクではありません。ハック＆スラッシュ要素は無いですし、シビアなパリィを使いこなさないといけない訳でも無く、様々な武器を選んで道中の雑魚が糞強くてまずボスにたどり着けないという感じのソウルライクとは色々様相が違います。
このゲームの肝になるのは回避（ローリング）、ジャスト回避です。そして法術。
武器は如意棒固定です。（変化で違う武器を使う妖怪に変化してしばらくその姿で戦える法術はあります）
基本的にカンフーアクションで早い攻撃、遅い攻撃（予備動作が必要）を使い分け法術で有利に立ちまわるというボス戦闘をしている時間がほとんどでソウルライクによくあるマップ探索はそこまで多くない部分までゴッドオブウォーの１本道スタイルとなります。肝心のボス戦闘の話をするとやや難しめのアクションゲームという塩梅に収まると思います。やはり死んでも経験値をロストしない，強モブの一部やNPCの近くにいるモブはリポップしなかったりするので何回かやってるとボスとボスの間の道中が短いのもあって死にゲーにはあまりならない印象です
プレイヤー側がある程度マスタリーを埋めていくと火力のインフレが始まるので回復用の酒が満タンなら数回リトライすれば勝てたりする事が多い。探索してればボス戦が有利になる術とかアイテムを得てる事があるのでそれも相まって序盤を乗り切れば結構サクサク進むようになります。
ソウル系と違ってボスがこっちの様子を見てくる事が多い（ソウル系は容赦ない苛烈な攻めがある）様子見してる所に斬りこんでいっても当たったりする上に前述のローリングの有効受付時間が長いので割と生き残れたりしてました。
棒術も３スタイルあって連続攻撃からの貯め攻撃、上に立てる状態からのカウンター派生攻撃、槍みたいに伸ばした状態の攻撃など必殺技となる重攻撃もスタイリッシュな絵面の戦闘に一役買っている
この重攻撃とさまざまな効果を発揮する法術がそろってくるとパンパンパン攻撃して回避して溜まったゲージを使った重攻撃でよろけて法術を入れてまた殴るプレイヤー側の火力インフレがあります
現段階のおすすめ度としては
ストーリーは4
ビジュアルは5
操作性は5
音楽は4
マップとかインタラクティブは2ですね。
アクションゲームが得意な人ならおすすめですが探索が好きな人にはあまりおすすめ出来ません。
PCのスペック（自分は２０２４年の７月に新調しているので少し余裕がありました）にもよりますが出来ればSSDに１００G越えのインストールを行わないと読み込みが追い付かないかもしれません。
要求スペックはエルデンリングやアーマードコアが余裕で動くPCでもムービー再生時には結構な負荷がかかってました
ベンチマークが配布されているので買う前に一度試した方が良いでしょう
既にクリアしてる人もおられますがクリアまで直進して２４時間程度らしくしっかりやると５０時間くらいはかかる様です。</t>
  </si>
  <si>
    <t>进行中感想（约10小时）：严格说并非“魂类”，更像《战神》。每章配置 Boss，整体偏 Boss Rush；核心在回避/恰时回避与法术。中文化本地化到位，云与树叶等演出惊人；字幕偏小。真希望日本也能做出同等文化力度的“黑神话：桃太郎”。</t>
  </si>
  <si>
    <t>演出角色怪物设计；动作打击手感；Boss战斗节奏；Bug兼容硬件</t>
  </si>
  <si>
    <t>JP-P-072</t>
  </si>
  <si>
    <t>目前玩到第5章。优点非常多，最突出的就是大圣性能高，战斗爽，其他的优点网上点开就有，我就不写了。说说问题，挑几个最受不了的讲一下：迷之视角锁定，有时候中键锁到了，就站在boss脸上三棍都能劈歪；地图设计和没有小地图，特别是第四章的盘丝洞，不看玩家自制地图根本找不到隐藏，是个人觉得最不好的一点；数值设计和招式设计，飞天的boss体验感都不是很好，能过但是打的很难受，一身劲使不出，全在看boss表演（特别是第三章的某人形龙，她能下来跟我好好打一架不），第四章小黄龙数值有点离谱，三刀就死，打了有三四十次（其他不shi的boss基本都3-5命内过了）；掉帧问题，有些场景和boss战会突然掉帧到40帧左右（平时1k正常稳120），其他的以后再补</t>
  </si>
  <si>
    <t>画面美术场景；动作打击手感；Boss战斗节奏；难度挑战；锁定视角；地图路线；探索隐藏支线；优化帧率；西游悟空符号</t>
  </si>
  <si>
    <t>JP-P-073</t>
  </si>
  <si>
    <t>ボスラッシュだわ。回避、タメ攻撃が強く、術がチート級なので詰みどころは無く、ボスは強いが縛らなければライトに遊べる。アクションは、派手な演出とボスの動作パターンも豊富でかなり面白く、ストーリーも良い。探索は行けるとこと、行けないとこが分かりにくく、MAPが欲しい。</t>
  </si>
  <si>
    <t>偏 Boss Rush。回避与蓄力很强，法术甚至接近作弊；若不自我限制，可以较轻松地玩。演出与 Boss 模式丰富，剧情不错；但可去/不可去的区域不清晰，很需要一张地图。</t>
  </si>
  <si>
    <t>演出角色怪物设计；动作打击手感；Boss战斗节奏；地图路线</t>
  </si>
  <si>
    <t>JP-P-074</t>
  </si>
  <si>
    <t>とりあえず2章の先鋒まではやるべき。というのも1章は主人公の技がほぼ基本技しかなく、利便性スキル(回避の発生を早くするなど)がない。それにあわせてなのか、1章の敵がみんな弱い。俺強い自慢ではなくまじで。だから惰性でやってた。2章になるとある程度そろってくるのでちゃんとアクションが楽しめるし、敵が強くて急に面白くなった。何よりこのゲームの気に入っているところが、硬派なソウルライクと違って自分の腕前だけでなく、スキルのビルドや使い方が攻略としてそこそこ関わってくるところ。割合としては3~4割くらい。努力することよりも、思考や判断や実験することが好きなので、自分にはかなりあってます。・システム面では最近のゲームの常識(スキルポイントの振り直しやファストトラベルなど)は基本的にあるので心配不要。・グラフィック良すぎ。ムービー良すぎ。独創的なデザインにそそられる。・マップがなくて不便という人もいるが、あんな一本道のマップを開発側が見せたいとは思えない。構造的にはむしろ一本道をがんばって一本道じゃなくそうと見せてる感じが近いかも。(かなり主観的感想)期待値低いところから入ったので過剰にいい評価をしてるかもしれなく、まだ1/5くらいしか遊んでないのでわかりませんが、現状かなり面白いです。</t>
  </si>
  <si>
    <t>至少玩到第 2 章的“先锋”为止再下结论。第 1 章仅有基础招式，但从第 2 章起节奏明显打开。我目前只玩了约五分之一，但已经很好玩。</t>
  </si>
  <si>
    <t>JP-P-075</t>
  </si>
  <si>
    <t>このゲームの音声を英語でやってる人、センスなさすぎ。大損してる。</t>
  </si>
  <si>
    <t>强烈建议使用中文语音，换成英文会损失大量风味。</t>
  </si>
  <si>
    <t>JP-P-076</t>
  </si>
  <si>
    <t>めちゃくちゃ面白いだからこそ下記はなんとかしてほしい・マップの探索を要求するくせに探索がし辛い全体マップとミニマップがほしい、、、ぱっと見の似た風景が多いから、「あれ、この道でいいのか？」っていうのがずっと続く「あれ、ここは行けるのに、こっちはいけないの？」みたいなのも多い・最適化これは設定で変更できるのでそこまで問題じゃない・メニューが重い？タブの遷移で少し固まる？</t>
  </si>
  <si>
    <t>非常好玩，但希望改进：1）鼓励探索却没有全局/小地图，路径与判定不一致；2）优化主要靠设置权衡；3）菜单切换偶有卡顿。</t>
  </si>
  <si>
    <t>判定反馈；地图路线；探索隐藏支线；优化帧率；推荐价值判断</t>
  </si>
  <si>
    <t>JP-P-077</t>
  </si>
  <si>
    <t>良かった点・グラフィックと雰囲気作りがとても良い・攻撃のモーションが重くなく、爽快感がある・スキルの振り直しが無料、スキルツリーの派生も豊富・難しすぎないが、けして簡単ではない、程よい難易度(ソウルシリーズジャンキーには物足りないと感じるかも)難点は中国産ゲーム特有の独特の小難しい言い回しが多く、ストーリー部分の会話などが少々理解しづらいこと。漢字3～4文字で似たような名前が多くて、パッと覚えられないこと。グラフィック的に行けそうなところも、見えない壁で行けなかったりするのでマップはほぼ一本道です。道中の雑魚敵は柔らかくサクサク進める。ボス敵はそこそこ歯ごたえがある難易度になっており難しすぎず、優しすぎない感じの塩梅でデスペナルティもないのでトライアンドエラーに関してはストレスフリーでソウルライク系のゲームほど辛くない。ただし、ボスの強さに波があると感じる点もあり、初見でサクッと倒せてしまうようなボスもなかには存在する。アクション性もトレーラー通り俊敏でソウルシリーズというよりはデビルメイクライとか寄りのゲーム体験と感じました。上記の通り、ソウルシリーズやオープンワールド系を想像して購入すると肩透かしを食らうので注意</t>
  </si>
  <si>
    <t>优点：画面与氛围出色；动作不沉重，爽快；免费洗点，流派切换自由。整体更接近线性动作而非“魂/开放世界”，请调整预期。</t>
  </si>
  <si>
    <t>画面美术场景；动作打击手感；地图路线；引导迷路单线</t>
  </si>
  <si>
    <t>JP-P-078</t>
  </si>
  <si>
    <t>Steam deck! 第一天、存檔再開無法啟動2次！第二天、已經完全無法啟動！deck玩家慎入！遊戲雖在deck可跑45FPS但是卡頓很嚴重,遊戲是滿好玩！</t>
  </si>
  <si>
    <t>Steam deck! 第一天，存檔再開無法啟動2次！第二天，已經完全無法啟動！deck玩家慎入！遊戲雖在deck可跑45FPS但是卡頓很嚴重,遊戲是滿好玩！</t>
  </si>
  <si>
    <t>优化帧率；推荐价值判断</t>
  </si>
  <si>
    <t>JP-P-079</t>
  </si>
  <si>
    <t>面白いことに、20時間経ったのにまだ寝ずに戦い続けることができます！</t>
  </si>
  <si>
    <t>有趣到 20 小时还不想睡，一直打下去！</t>
  </si>
  <si>
    <t>JP-P-080</t>
  </si>
  <si>
    <t>面白いです。黒神話は死にゲーなどと宣伝されてたけど死にゲーではないのです普通のアクションゲームかもしくはハクスラ系?アクション性が高いハクスラです。戦闘面はエルデンリングとかウォーロンや鬼武者は間違いなく参考にし作ってると思われる笑特に敵はほぼダクソなりエルデンリングとか鬼武者系！物語に西遊記なんで理解しにくい部分もあるがyoutubeに解説動画などあるので見てプレイすれば更に面白いし特にラスボス戦と隠しラスボス戦が個人的にかなり良かったので評価非常に満足だし中国のゲーム会社がここまで完成高いアクションゲーム作れるとなると日本のゲームメーカーもあぐらをかいてられないですね！　特にスクエニとか、、、😂</t>
  </si>
  <si>
    <t>好玩。与其说是“受苦游戏”，更像普通动作或类刷。没想到中国公司能做出完成度这么高的动作游戏，日本厂商不能再躺平了（尤其某几家）。</t>
  </si>
  <si>
    <t>动作打击手感；难度挑战；整体完成度；推荐价值判断</t>
  </si>
  <si>
    <t>JP-N-081</t>
  </si>
  <si>
    <t>クラッシュが頻発してまともに遊べません。</t>
  </si>
  <si>
    <t>频繁崩溃，基本玩不成。</t>
  </si>
  <si>
    <t>崩溃闪退</t>
  </si>
  <si>
    <t>JP-P-082</t>
  </si>
  <si>
    <t>【全体感】
ようやく中国の底力を感じた
封神演義にしろ＝作って
三国志演義にしろ＝作って
中国３０００年（４千？）の歴史の中、
素晴らしいシナリオがまだまだいっぱいあるではないか
わざわざ西洋を真似なく、日本でもなく、
中華世界をこういう形で表現していけばいいんですよ
音声、中国語でやっているけど雰囲気バッチリ
中国語日本語字幕を推奨
英語？なにそれおいしいの？
【プレイした感じ】
中国版仁王（プレイした感じ）と言われるのはわかる
【ストーリー】
ストーリーは西遊記ではないらしいから何とも言えないけど
最初のオープニングで悟空が「子分らが殺された許せね！」
って話があってなんつーか西遊記の闇を感じるから
すげぇきになる。そもそもプレイした天命人自体が、悟空じゃないってのがＧＯＯＤ
”中華ならでは”の作品。
日本人も負けてられませんね。</t>
  </si>
  <si>
    <t>总评：终于感到中国的底蕴。并非传统意义上的魂类，手感更接近《战神》。难度把握得当：认真就能过，乱按就会被惩罚。美术规模感惊人，但“隐形墙”多，可行动空间受限让人沮丧；字幕太小。以本土文化为骨的创作很有价值，期待更多类似作品。</t>
  </si>
  <si>
    <t>画面美术场景；动作打击手感；难度挑战；空气墙可达性；国产3A身份期待</t>
  </si>
  <si>
    <t>JP-N-083</t>
  </si>
  <si>
    <t>** Recommendation on changing game title to  Black Myth Wukong : Monkey kill wife thrice强烈建议游戏改名黑神话悟空：杀妻三度**After finishing the game, 5 and 6 chapter have the worst changed storyline ever. This is not the monkey we were promised from journey of the west. This is a monkey who is an imposter who have nothing alike the monkey king. Map design is still very bad. Other than the invisible walls which are still seen everywhere, Chapter 4 have one of the most toxic map i ever seen. Map in Chapter 6 is so empty but so vast, the experience is extremely bad. Starting from chapter 4, game science started putting elite together with bunch of mobs especially in narrow pathways. Its a torture if you wanna fight through it. Overall 6.5/10 due to the fact the monkey king being promised in their interview is not delivered properly, map design is extremely flawed, and you are punished for trying to use 识破(parry) in the last 3 chapters. You are better off using those magic skills given rather than trying to flex ur martial art. Pros : 1. Ancient Chinese Myth world          2. Great Music          3. Great Animation when a chapter ends          4. Great graphics           5. Somewhat easy for someone who are new to arpg or soulslike with 0 penalty on deathCons : 1. Not the monkey king being promised to deliver, and its a shame for portraiting the monkey king as                such, especially in chapter 5 and 6.            2. Extremely atrocious map design, with invisible walls everywhere. Map in chapter 4 is toxic, and in                 chapter 6 the map is vast but extremely empty without anything to do other than the few bosses.            3. Punished for trying to enjoy the game with pure action combat rather than spamming skills with                mana.           4. Unreasonable mob gathering throughout the maps, and lots of double bosses in the late half of the                game which are not fun and not skill-wise challenging. 基于这是难得一见的中国制造，且是国风，姑且还是给推荐。并没有全网吹捧的那么高，大致上只是一个还可以的游戏。通关黑神话后，个人认为分数为6.5/10. 最主要的原因就是因为所承诺的遵照原著的悟空丝毫未见，第四章拉郎配过去就算了，意淫黑化无脑的悟空在第五第六章直接往我嘴里塞，体验非常令人不快。无处不在的空气墙，约等于没有的地图引导。地图设计极其糟糕，第一章第二章尚可，第三章空而无趣，第四章窄而过度的复杂。第六章更是神作，偌大花果山，除了4个boss和一个青蛙，一个石子，一些毒石头，空空荡荡。从第四章开始，各种恶心的堆怪数不胜数，有多人boss，小巷里怪群等等。强项：1. 难得一见的中国风游戏          2. 很棒的音乐          3. 每个章节结束后的动画很棒          4. graphic很好看          5. 对于魂游或者arpg新手是个很不错的入门作。缺点：1.意淫出来的残障猴子，有损童年回忆，令人作呕。          2.极其智障的地图设计，无所不在的空气墙和极其繁复且无用的地图设计。          3.前期战斗爽，后期法术爽。单纯战斗爽玩家，从第四章开始有些boss简直就是惩罚你使用禁字诀。          4.第四章开始狭窄空间里极其无脑的堆怪。标榜自己忠于原著，文化输出，要是美猴王看见这么编排他，这么向不认识他的人介绍他，他真的不会生气吗？</t>
  </si>
  <si>
    <t>音乐音效配音；演出角色怪物设计；动作打击手感；Boss战斗节奏；地图路线；空气墙可达性；引导迷路单线；推荐价值判断；西游悟空符号；童年记忆情怀；本国媒介路径；中国文化宗教语言审美</t>
  </si>
  <si>
    <t>JP-P-084</t>
  </si>
  <si>
    <t>クリアした感想
・クリア時間２７時間半　
・ウォーロンより面白かったです
・マップがダクソ２みたいでストレスがたまりました
・ゆっくりプレイした方がストレスたまらないでいいと思います
・序盤終わりぐらいからちょくちょく探索を始めましたがプレイ時間の半分ぐらいが迷子でした　探索して嬉しかった収穫はHPとMPが回復できるようになる酒ぐらいでした
・ボスは全体的にそこまで強くない感じでした　
・２章、４章、ラスボスがちょっと強かったです
・おすすめの召喚獣は虎倀（こちょう）というお侍さんです　他のも何個か使いましたがお侍さんが使いやすかったです　ちょっと遠めから撃ってもワープしてダウンとってくれます
強化すると発生速度が速くなり攻撃キャンセルで出すとさらに早いです
＿＿＿＿＿＿＿＿＿＿＿＿＿＿＿＿＿＿＿＿＿＿＿＿＿＿＿＿＿＿＿＿＿＿＿＿＿＿＿＿
＿＿＿＿＿＿＿＿＿＿＿＿＿＿＿＿＿＿＿＿＿＿＿＿＿＿＿＿＿＿＿＿＿＿＿＿＿＿＿＿
※トロコンしたのでレビュー追記
普段ゲームでトロコンとかはあまり目指さないのですが今回は達成したので感想や取り返しのつかなかった話を書いていきます。
・最初はクリアデータで自力で頑張ろうとして探索を頑張っていましたが全然見つからず実績達成率58％で心が折れました
・調べてやろうにも日本語での情報がほぼなくレディットの海外ニキたちに助けられました。ありがとうございました。
・取り返しのつかない要素が多く、１周目で5章の隠しエリアを探索していなかった方は最低でも3周目までプレイしないといけなくなるのでお気を付けください。特定のボスを倒してしまうと出現や入手できなくなるアイテムも多々ありましたのでそちらもお気を付けください。ちなみに自分は3周目までやる羽目になりました。
・レアドロップアイテムが実績達成に数十種類必要必要になりその中の数種類は１～２時間ほどマラソンしたものもあります。心が折れそうでした。もう58パーセントの時に一度折れているのに。
・3周目から敵の火力も硬さも上がってきてまるで仁王をプレイしているような感覚に陥りました。それでもまだこちらの術が強いので何とでもなりました。周回で難易度はどこまであがるんでしょうかね
・１００GB越えにふさわしいサブイベントの数やムービーの数でした
・トロコン目指してからは日本語の情報がほぼなかったので言語設定を英語にしていたため英語の勉強みたいになってました、英語を勉強したい方は今トロコンするのおすすめです。</t>
  </si>
  <si>
    <t>通关 27.5 小时：比《卧龙》更合我意。地图像《黑魂2》那样让人迷糊，建议慢玩少焦虑；我有一半时间在迷路。Boss 整体不算很强，2章，4章和最终战略难。召唤里“虎倀”很好用，强化后起手更快，可打断。</t>
  </si>
  <si>
    <t>Boss战斗节奏；地图路线；引导迷路单线</t>
  </si>
  <si>
    <t>JP-P-085</t>
  </si>
  <si>
    <t>二章攻略中良いところ・圧倒的グラフィックで表現され る中国の文化的建造物や品々・如意棒を長くしたり敵の動きを 止めたり特徴的アクション・今のところちょうど良い難易度 のボス(フロムのボスよりは弱め)悪いところ・遠距離攻撃に悩まされる、射手 のちょっと後ろにまた射手が配置 されていて射手を処理しづらい・説明不足感、このエネルギーを 使ってとかこの効果がとか専門用 語の説明が足りない・導線がよくわからない、道に迷 うしどこに行かせたいのか分から なくなる結論グラフィックがとにかくすごくて 雰囲気がとても良いのでそこを重 視する人にはおすすめ</t>
  </si>
  <si>
    <t>二章攻略中。优点：以压倒性的画面呈现中国建筑与器物；如意棒可伸长，定身等机制有特色。缺点：找路指引不清，容易不知道该去哪。结论：重视氛围与画面的人值得买。</t>
  </si>
  <si>
    <t>画面美术场景；难度挑战；引导迷路单线；推荐价值判断；外部资料依赖</t>
  </si>
  <si>
    <t>JP-P-086</t>
  </si>
  <si>
    <t>・思っていたよりアクションが面白い。PVを見たときは攻撃が軽すぎると思ったけど軽快で爽快。・ボスはそこまで強くない。・グラフィックはめちゃくちゃ良い。ムービーからシームレスに戦闘になっても違和感ない。・ミニマップとかの類がないので方向音痴は死ぬ。・オープンワールドだけど実質一本道。・マップの探索し甲斐はない。悲しい。・字幕はちゃんとローカライズされてて違和感なく楽しめる。中国語CVかっこいい。・ストーリーはあんまり重視しないほうがよさそう。グラフィック5/5、音楽4/5、アクション4/5、ストーリー4/5</t>
  </si>
  <si>
    <t>比想象中动作更有趣，轻快爽利；Boss 不算太强；画面和 PV 都很帅。别太在意剧情分量。打分：画面 5/5，音乐 4/5，动作 4/5，剧情 4/5。</t>
  </si>
  <si>
    <t>画面美术场景；音乐音效配音；动作打击手感；Boss战斗节奏；推荐价值判断</t>
  </si>
  <si>
    <t>JP-P-087</t>
  </si>
  <si>
    <t>民族が悠久の時をかけて連綿と紡いできた風俗や文化とは、そのどれもが美しく愛おしく、そして確かな強度を備えている。
そういった素晴らしい風俗や文化が最も純粋に顕在化するのは、詩や歌、小説や演劇、素朴な絵とか彫像といった芸術や娯楽だろう。実際、学術書の中で定義される専門用語や、政治家や活動家の説き宣うナショナリズムよりも、土着で口伝に伝わる物語のほうが遥かにその民族の唯一無二の魅力や面白みを読み取れるものではなかろうか。
最近はゲームにおいても、その民族独自の感性や倫理感によって生み出されたような佳作が世に出始めたことは喜ばしいことだ。もはや抗い難いグローバリズムの文化的収束を辿る人類史において、少しでも多くの文化圏で、その土地に生まれ育った人々にしか為し得ないゲームが作られることを切に祈りたい。
そして『黒神話：悟空』は、そういった民族的感性に立脚したゲーム作品群において、空前絶後の傑作のひとつである。
桂林の山水画のような鋭く屹立する山々と棚引く霞、砂漠に広がる石窟寺院、雪に覆われた修験の道、そして荘厳でありながらも静謐とした情緒を備えた寺院群。壮大で圧倒される空間のクリエーティブも見飽きぬ素晴らしいものだが、この作品の最も驚くべきところは、あらゆる要素と体験の細部にまで徹底して拘って作り込まれた、血の通った体温のようなものすら感じ得る中国文化的描写である。
まるで山海経から飛び出てきたような神仙妖怪たちは、おぞましさと一匙の愛嬌を兼ね備えたオリジナルのデザインを損なっておらず、しかも身に着ける衣服や武具の質感はもちろん、獣人たちの毛の先の一本に至るまでに生き生きとした生命力とリアリティが宿っている。
手に入るアイテムひとつひとつも決して安易なテンプレートに頼ることは無く、バリエーション豊かな酒・漢方・薬・装飾品は東洋的世界に徹底して沿っている。更にそれらのグラフィックも細部に至るまで手抜かりなく、年季の入った皿や盆や小物入れや包み紙、紐にくくられた小物によって、そのアイテムを取り巻く小さな空間にすら歴史の匂いが伴わせている。
何より特筆すべきはフレーバーテキストの数々だ。アイテム解説は仏教・道教の格言めいた言葉の引用でつづられ、スキル説明も派手派手しい必殺技的な漢字がら羅列されたり安易な横文字は採用されていない。特に妖怪紹介のテキストは凄まじく、まるで聊斎志異や捜神記からの引用のような読み応えのある物語が、道中の雑魚敵ひとつひとつまで設定されている！！（もしかしたら本当に引用元がるのかもしれない）たかがモンスターの説明だけ抜粋しても、ひとつのコンテンツが成立してしまうほどの作り込みは、ただただ驚嘆するのみである。
物語も素晴らしい個性を放っている。仏教説話的なエピソードは、痛快なエンタメシナリオには無い味わい深さやある種の懐かしさも備わっている。
敵役たちは、現代風コンテンツの悪役テンプレートである「自由や人権の侵犯者」ではなく、いずれも我執や欲望をこじらせた化け物たちである。仏教的倫理観において反面教師とされる彼らの振る舞いは、邪悪粗暴でありながらも、凡人が感じる共感を伴った不思議な愛着やいじらしさも見出すことができる。安直な悪人をブッ飛ばすような単純明快な爽快感は無いかもしれないが、この東洋的倫理観を下敷きにしたシナリオが、このゲームの味わい深さをより一層深めていると言えるだろう。
そういった美術や物語を一層映えさせる、演出や演技も見所だ。
おもむろに耳から如意棒を取り出したり、毛を引き抜いて変化させた中華風の長い線香を振って灰に刺す悟空の仕草。京劇のようにキマった見栄切り、昔話のように感情をオーバーに発散させる妖怪たちの怒りや慟哭。「地上波でそのまま流せるのでは？」とすら感じる高品質なボス撃破後のアニメーションや、絵巻物で語られるエピローグ。ともすると地味になりそうな物語に、起伏やアテンションがつけられている。
とにかくあらゆる側面で、もはや狂気的と言えるほどの拘りで徹底的に創造された中国的／東洋的な世界観は、例え難い情緒的美しさと、異文化圏からの異論にもビクともしない確かな強度をもっている。それはまるで大昔に岩山に掘られた大仏のような、揺るがぬ不思議な安心感のようなものすらプレイヤーに感じさせるのだ。
アクションやゲーム性は間違いなくハイクオリティなものの、言葉を尽くし切れない美術や物語の素晴らしさに比べると、そこまで熱っぽく語るものはないかもしれない。
ソウルライク扱いされるのを度々見かけるが、せいぜい篝火システムとエスト瓶くらいしか共通点はなく、プレイ感はゴッド・オブ・ウォーに似ている。フロムゲーやゴッド・オブ・ウォーよりも戦闘アクションが派手でイカしててカッコよく、クールな武術アクションのモーションの棍棒術でボコボコに敵を撃ち据えるのは楽しいことこの上ない。そのうえで、絶妙に甘えを咎める敵の攻撃が良い塩梅で、きちんと丁寧にやれば倒せるがガチャプレイは許さない程度のグッドバランスが取れていると感じる。
マップの美術のスケール感も素晴らしいが、それゆえに行動できる空間の制限がかかっているのは惜しい。何度も何度も「見えない壁」にジャンプしてしまうのはストレスだった。果たして本作がオープンフィールドだったらどんな神ゲーになっていただろうか…？
その土地、その文化で育った人間にしか作れないゲームは、そのどれもが価値のある個性と魅力をもっている。いろいろな文化的バックボーンを背負ったクリエイターが民族的アイデンティティを込めた素晴らしいゲームが、いまも世界のどこかで作られていることだろう。『黒神話：悟空』はそんなローカルな文化や歴史を軸に据えたゲームを、勇気付ける作品になるのかもしれない。
いつかゲームが、人類が紡いだ無数の文化を反映する芸術群のひとつになれたとしたら、それはゲーマーにとって本当に喜ばしいことではなかろうか。
そのほか細かい感想
・中国の民話っぽい雰囲気を一切損なうことなく、格言や漢詩を邦訳したローカライズの技量も素晴らしい！
・雲や木の葉が舞う演出・演算がスゲェ…。無駄に暴れちゃう
・これほどまにカッコいいイケメンの猿キャラがかつていただろうか？
・字幕が小さい…。大きくするオプションが欲しいところ。
・日本でもこれくらい気合の入った文化的描写で「黒神話：桃太郎」とか作られないだろうか…？</t>
  </si>
  <si>
    <t>民族文化经久绵延的风俗与美都值得珍视。与其空谈宏大叙事，不如让土生土长的故事发声。本作正是由那样的感性孕育出的佳作的一例。</t>
  </si>
  <si>
    <t>JP-P-088</t>
  </si>
  <si>
    <t>6500xt is not qualified to complete this game.6500 xtはこのゲームをクリアする資格がない</t>
  </si>
  <si>
    <t>RX 6500 XT 根本扛不住这款游戏（配置太弱）。</t>
  </si>
  <si>
    <t>Bug兼容硬件</t>
  </si>
  <si>
    <t>JP-P-089</t>
  </si>
  <si>
    <t>中華ゲーかー、見た目良さげだけど、中身スッカスカなんじゃね、と思いきや、オレ氏、惹き込まれる。圧倒的好評の要因はズバリ、「ギャップ萌え」、だ。</t>
  </si>
  <si>
    <t>本以为“中国产=外强中干”，结果被深深吸引。之所以口碑压倒性好评，说白了就是那份“落差惊喜”。</t>
  </si>
  <si>
    <t>JP-P-090</t>
  </si>
  <si>
    <t>今、もう一度『西遊』へ... 中国の奇書『西遊記』の続編を描くアクションRPG。プレイヤーは天命人となり、失われた斉天大聖（孫悟空）の魂を集めるために、『西遊記』で描かれた地を周る旅に出る。他のレビュアーの方は主にアクション面やシステム面に言及しているので、私からは翻訳面について投稿しようと思います。執筆時点（2024/08/23)では３章以降の図鑑要素は未翻訳となっています。が！それ以前の図鑑は最近の国外産ゲームの中ではトップクラスの翻訳となっており、気にならない細かな誤字が片手で数えられるほどあったのみで、原文の難解な言い回しや漢詩等を損なうことなく、世界観の補完に非常に役に立つ資料に昇華させています。それらが美麗なグラフィックやアクションと合わさり、西遊記の世界観をゲームにうまく落とし込むことに成功している傑作だと思いました。今後のアップデートで翻訳が進み、図鑑を読むのが待ちきれません！※追記：ストーリークリア・図鑑収集済み・裏ボス撃破済み(2023/08/29)ネタバレがあるため注意！ストーリーは全 6章 。今現在翻訳が終わっていないのは ３章・４章・５章の小妖と頭目の一部。 これ以外はすべて翻訳がされており、物語の大まかな流れは掴めるようになっておりますのでご安心ください！未翻訳部分は現在翻訳者の方が丹精込めて仕上げ中。気を揉まず、ゆるりとお待ち下さい...裏ボスの 顕聖二郎真君はラスボスを超えた強さを誇るので覚悟してください。自分は芭蕉扇と刺棍連打攻撃で嵌め殺しました... アクション面は似ていると言われていたソウルシリーズよりかは、どちらかというとSEKIROに似ていると感じました。世界観やストーリーは、予想通り昨今のゲームの中では抜きん出て傑作と呼べるものでした！『西遊記』のその後を独自の解釈で描き、そのどれもが感嘆するほどの出来となっています。特に ４章は個人的に最も完成度の高い話だと思います。旅の仲間、八戒にフィーチャーしたエピソードは西遊記の新たな側面を発見させてくれました！総評としては個人的今年発売のゲームナンバーワンの傑作です！クリアまでプレイして絶対に損はない作品だったと思います！原典を知っていれば更に楽しめる部分が多々あるので、以下にオススメの原典資料を紹介しておきます！・孫悟空のぼうけん　全１０巻（岩崎書店）児童向けの大判漫画絵本。とりあえず西遊記をざっくりと読みたい方に最もオススメ。第一章、第二章の内容は含まれていないものの、漫画形式なので簡単に西遊記を学ぶことができ、これだけ読んでおけばゲーム内の会話などでクスッと笑えるぐらいには理解することができる。難点は現在絶版本のため市販されておらず、読むためには近くの図書館を探す必要があること。・西遊記　全10巻（岩波文庫）原典に忠実な文庫小説。より詳しく元ネタを知りたい人向け。こちらは第一章、第二章の内容も補完できる。利点は岩波文庫という点。信頼できる出版元（卒論書いたことのある人なら理解できると思う）のため、読み込むことさえできればより深くこのゲームを理解できる。また、市販されているため手に入りやすいのも良い。欠点は初心者には内容が難しすぎる点。読むためにはかなり気合がいる。</t>
  </si>
  <si>
    <t>重返《西游》：作为续写《西游记》的 ARPG，设定扎实，内容扎实。优点是系统与世界观；缺点是新手读起来较难。想深入理解，建议配合原典与解说阅读。</t>
  </si>
  <si>
    <t>西游悟空符号；外部资料依赖</t>
  </si>
  <si>
    <t>JP-P-091</t>
  </si>
  <si>
    <t>UE5の効果により、美術とデザインは非常に素晴らしく、戦闘システムも意外と面白いです。が、探索を奨励しながら、見えない壁が多く設置されているため、体験に悪い影響を与えますね。またEDですが、ネットの情報を調べない状態では達成が難しいです...</t>
  </si>
  <si>
    <t>UE5 让美术与设计极其出众，战斗系统也比想象更有趣。但探索鼓励与隐形墙矛盾，体验受影响。真结局在不查资料的情况下较难达成。</t>
  </si>
  <si>
    <t>画面美术场景；动作打击手感；Boss战斗节奏；空气墙可达性；探索隐藏支线；推荐价值判断；外部资料依赖</t>
  </si>
  <si>
    <t>JP-P-092</t>
  </si>
  <si>
    <t>【トロコンしたので追記（トロコン自体は最低２週でできます）】本当に面白かったです。ネットでは色々酷評されてる場面など見ますが、気になってる人は買って損はしないと思います。これをソウル”ライク”のジャンルでくくるのであれば間違いなくトップクラスでおもしろい。直近でこれを超えるゲームはそうそうでないんじゃないかな？グラフィックは神かつ戦闘も機敏でいろんな構成組めるからまじで楽しい。ボスの難易度もそんなに高くないから初めてでも楽しめる（もちろん強いボスも何体かいる）ただ、マデューラや円卓みたいなNPCが集合してる場所はしっかりあるNPCイベントを進めないと行けるようにならないから注意して進行すべきだね。あとストーリーを追うなら西遊記の知識を多少なりとも入れとくといいかも。知らないとキャラの別称とか出てきてもハテナになると思う。</t>
  </si>
  <si>
    <t>白金后补记（最低需要两周目）：非常好玩。网上被喷的段落我都能理解其设计意图。熟悉后，轻攻攒槽→重攻输出很有快感，其他流派也有搭配空间。追故事的话，懂些《西游记》会更顺畅。</t>
  </si>
  <si>
    <t>JP-P-093</t>
  </si>
  <si>
    <t>クラッシュしまくりとかいうレビューあるけど、うちの環境では今のところ一回もない。自分の環境が悪いのをゲームのせいにするようなレビューには惑わされないように。他のレビュアーも言ってるけどソウルライクではなくゴッド・オブ・ウォーが近い。雑魚が弱い、死んでも経験値ロストなし、探索要素は薄いなどなど。アクション面がとっても良くできていてプレイしていて楽しい。ビルドができてくると軽攻撃でゲージ溜めて重攻撃が非常に楽しいし、他のビルドも組みがいがありそう。アクション好きならおすすめのゲーム。</t>
  </si>
  <si>
    <t>说“经常崩”的评测很多，但在我这一次都没遇到。别把自己电脑的问题怪到游戏上。熟悉系统后，用轻攻攒槽，重攻打输出非常爽；其他 Build 也很有做头。动作爱好者推荐。</t>
  </si>
  <si>
    <t>JP-M-094</t>
  </si>
  <si>
    <t>おもしろくない。シンプルにそう思えたゲームが久々過ぎてレビューを書いてる。もっとプレイしなきゃわからないでしょ？と言われるかもしれないが、それは十分承知だ。数時間でプレイしたくなくなるレベルのつまらなさだった。それはゲームとして問題じゃないだろうか？力技のグラフィックは、初見では感動するがその後はただ見辛いだけ。至る所でグラフィックの主張が強くプレイヤーが忘れられてる。アクションは様々なスキルを使えるが、ひとつひとつの存在感が弱すぎる。結局殴って回避でしょ？とスキル習得の意味を見出せない。爽快感もない。ボスの戦闘のアニメーションがとにかくひどい。ひどすぎる。あらゆる良作は意図的にプレイヤーに攻撃を察知させるようなアニメーションを、違和感のないようにうまく入れている。この作品では突然なんの前モーションも無しに素早い攻撃を入れてきて「難易度高いでしょ？」というアピールをしてくる攻撃が多すぎて非常に腹正しい。ストーリーはしっかり世界観を理解していけば面白いのだろうが、それにしてもどのキャラも魅力に欠ける。一方的に話しかけてくるゲームでは特にNPC一人一人を丁寧に作り上げなければいけないのに安いソシャゲのキャラのように薄っぺらいものばかり。ボスにしてもポンポン出てきて重みにかける。しっかり探索したうえでそのエリアを代表するようなボスが出てくるのがボス戦じゃないだろうか？ファストフード並みどんどん出てきて死んでいく。先への期待感など皆無。要するに金をかけてほかのゲームの良いところを雑に模倣しただけ。スキルやグラフィック、ストーリーに関してはゴッドオブウォー。戦闘やゲームデザイン、ボスの戦闘アニメーションについてはフロムソフトウェアのゲームが今作と比較した作品だ。是非そちらをプレイしてほしい。</t>
  </si>
  <si>
    <t>不好玩。我很久没遇到这么“直觉上不行”的游戏了。若要论游戏设计与 Boss 动画，请去玩 FromSoftware 的作品。</t>
  </si>
  <si>
    <t>演出角色怪物设计；Boss战斗节奏；推荐价值判断；本国媒介路径</t>
  </si>
  <si>
    <t>JP-P-095</t>
  </si>
  <si>
    <t>YouTube™ 视频: Black Myth: Wukong Review | 黒神話: 悟空 ストーリー解説・エンディング考察 
			观看：135 次		
			仏教の世界観を背景にした本作は、アクションゲームとしての挑戦だけでなく、物語が持つ哲学的テーマにも注目します。六道輪廻や輪廻転生、西遊記がどのように物語に反映されているかを中心に掘り下げていきます。この作品には学ぶ事が沢山あります。 🌟こちらも必見です🌟 Telltal Games 関連動/TWD全シーズン👉 【...		
黒神話: 悟空をクリア！NG+に突入。(ストーリーメイン: 20~30H / メイン+サイドクエスト: 50~60H) このゲームはGOTYの可能性あり！【感想】オープンワールドというほどではなかったが、各チャプターの物語がとても美しくクリエイティブなアニメーションで語られており、心に響く。確か西遊記シリーズにも悲しく暗い物語があったと思うけど、今作もお決まりの実らない切ない恋物語などがあります。因みにこの作品は西遊記の後の物語と思う。伝承と今作のオリジナル物語をミックスした物語か詳しく分からないけど、 制作裏舞台があれば知りたいねｗ個人的に妖怪のデザインは、そんなに突出したものではなかったけど、とてもクリエイティブだったと思う。最終決戦は壮絶だった！音ズレや若干フレーム落ちはあったけど、それほど気にしなかった。Black Myth: Wukong【My thoughts】Although it was not so much an open world, the story of each chapter is told in a very beautiful and creatively animated way, and it is heartbreaking. As I recall, there were sad and dark stories in the Journey to the West series, and this game also has the usual sad and hopeless love stories, etc. In case you are wondering, I think this game is a story after Journey to the West. I don't know if it's a mix of the lore and the original story, but I'd love to know the story behind the scenes, if there is one.Personally, I think the design of the yokai was very creative, although it wasn't that outstanding.The final battle was epic! This game could be a GOTY. Verdict: 8/10</t>
  </si>
  <si>
    <t>通关并开启 NG+：主线 20–30 小时，主线+支线 50–60 小时。最终一战震撼，有望冲 GOTY。我的结论：8/10。</t>
  </si>
  <si>
    <t>探索隐藏支线；推荐价值判断</t>
  </si>
  <si>
    <t>JP-P-096</t>
  </si>
  <si>
    <t>確かに画質が綺麗ですが、最適化不足によってDLSSなどのスーパーサンプリング技術が必要とされ、スタッタリングが頻発、画面がぼやける場合もあります。RTX4080ラップトップを使用していますが、現時点では全く快適にプレイできないのでお勧めしません。</t>
  </si>
  <si>
    <t>画质确实漂亮，但优化不足，必须依赖 DLSS 等超采样技术，卡顿频发，画面有时发糊。我用 RTX 4080 笔记本，目前完全不推荐。</t>
  </si>
  <si>
    <t>JP-M-097</t>
  </si>
  <si>
    <t>Childhood recoveredSanity recoveredHearing tunes that you have grown up to has been the best feeling in a long while.Though admittedly I have teared up with the music choices.I thoroughly will play this again and again in more lifetimes.</t>
  </si>
  <si>
    <t>找回了童年，也让心情恢复。那些自小听过的旋律再次响起……我想在今后的许多次人生里都会反复玩它。</t>
  </si>
  <si>
    <t>童年记忆情怀</t>
  </si>
  <si>
    <t>JP-P-098</t>
  </si>
  <si>
    <t>ボスを倒すとどうなる？
知らんのか？次のボスが出てくる
・バトル関連
このゲームは死にゲーです。ただひたすら死にゲーが楽しめる人はともかく、
そこらの一般人には厳しいボスがあなたを待っています。しかも大量に・・・
いくらレベルを上げても物理でどうにもできないし、
その時点で最高の装備を揃えたところで無駄に終わる可能性が高いですね。
かつて何処かの地で、黄色い獣を1度倒した程度の人間にはこの世界は厳しすぎました。
序盤で苦戦する人にとっては最後までプレイしたところで
達成感ではなく苦行からの開放感しか得られないでしょう。
システム的なところで、一部のステータスやスキルポイントのリセットが
とても気軽に出来るところだけは最高でした。
・探索
綺麗なフィールドを眺めながらの探索も序盤は新鮮かもしれません。
ただ、どこが道なのかどこが壁なのかがよくわかりませんでした。
没入感とかどうでもいいからマップ・ミニマップは用意してほしいですね。
私は3話でギブアップしましたが、そこまでの20時間で特にクラッシュも無く快適に遊べました。
人を選ぶ要素はかなり大きいですが、製品としてはしっかり作られていますね。
どこかで付けられた82点というのも妥当な気がします。</t>
  </si>
  <si>
    <t>打倒一个 Boss 会怎样？——你不知道吗？下一个 Boss 就会出现。战斗方面，这就是一款“受苦游戏”，能尽情享受反复死亡。人群向确实很挑，但作为产品很扎实。某处给的 82 分我觉得合理。</t>
  </si>
  <si>
    <t>Boss战斗节奏；难度挑战</t>
  </si>
  <si>
    <t>JP-P-099</t>
  </si>
  <si>
    <t>一周目2个结局打完，综合体验还是很不错的，美术音乐都是满分。怪物种类丰富，大部分BOSS战做的很精彩。动作方面也做的不错。道具图标，怪物图鉴的用心程度都可以感受到制作组的用心。影神图小故事非常值得一看。当然问题也还是有的，地图设计还有不小的提升空间，空气墙有些影响体验。第六章地图太空，探索体验不太行。还有就是隐藏要素太多的同时提示给的太少了，不看攻略有些东西真是不太可能找得到。总的来说是瑕不掩瑜，是一部优秀的作品。有文化加成的情况下更是感触很深。期待DLC能快点出，最好是能让天命人打上天庭爽一爽。</t>
  </si>
  <si>
    <t>画面美术场景；音乐音效配音；动作打击手感；Boss战斗节奏；地图路线；空气墙可达性；探索隐藏支线；推荐价值判断；西游悟空符号；中国文化宗教语言审美；外部资料依赖</t>
  </si>
  <si>
    <t>JP-N-100</t>
  </si>
  <si>
    <t>戦闘が単調で面白くないです。弱攻撃は同じコンボのみで増えることもなく使い勝手もそこまで良くないです。ソウルライクを求めている人にはあまりおすすめしません。一つしかないコンボの三段目以降はキャンセルできるタイミングが遅く反撃をもらいやすく、敵もコンボ最終段か強攻撃以外では基本的に怯みません。強敵みたいなのはまだしも、そのへんの雑魚すらほとんど怯んでくれないのでプレイヤーだけ不利な戦闘を強いられてる感が。。。道中の雑魚は後半面倒になって無視するようになりました。ボス戦は法術でゴリ押せるのでそこまで苦戦しませんでした。法術が効かないタイミングがありますが特に説明もないのでそこはちょっと理不尽かなと思います。あと、戦闘勝ってるのにムービーで謎に負けるの嫌いなので３話のクソ坊主は悔い改めてほしい。</t>
  </si>
  <si>
    <t>战斗单调不好玩。轻攻击只有一套固定连段，既不会增加也不够好用。如果你想要的是“纯魂味儿”，那就会失望。战斗大多靠翻滚躲伤害；被怪夹击时容易被无解连段灌死，这点略显不讲理。还有我很讨厌“战斗赢了，过场里却莫名其妙输掉”，第 3 章那个臭和尚请悔改。</t>
  </si>
  <si>
    <t>演出角色怪物设计；动作打击手感；Boss战斗节奏；难度挑战；推荐价值判断</t>
  </si>
  <si>
    <t>JP-P-101</t>
  </si>
  <si>
    <t>免费获取的产品
																もしかしたらガチで人生で最もおもしろいゲームかも。そのくらいはまってます。ソウルライク＋三國無双＋モンハン＋西遊記最初はカジュアルなソウルライク死にゲーという印象でおもしろいけどまあこんなもんかくらいのかんじでした。ところが2章に入ると一気に印象が変わり3章に入り更に世界観やゲーム性が広がり、あまり興味のなかったストーリーにも惹かれるところが出てきて、いろんな要素が盛り込まれていて楽しいです。・ルート的に完全1本道かと思いきや2章に入ったら変化。1章は色んな意味含めて丸々チュートリアルだったんじゃ？と思わされます・ムービーシーン含めところどころに中国の歴史モノのワイヤーアクションバトル的演出や映像が盛り込まれていて「あー、こういうのあるある」みたいにド派手演出が楽しめます。・2章ではまさにモンハン！という演出や展開なバトルがあり、思わずうおおってなります(やりこみ要素のボス戦？)・パリィみたいに失敗しても軽減ダメージではなく、ジャスト回避or直撃なので下手くそにはつらい。けどそれが楽しいです・ボスが短期間に連続して出てきますが、強いボスには装備、クラフト、スキルポイント振り分け、攻撃の型の考慮、アイテム使用、回復薬のサブ効果セットの組み合わせなどなどの最適化を行って試しながら倒すかんじが楽しです。こう書くとめんどくさそうにも感じますが、全体的に浅く広くなのでややこしいことなく楽しめますとりあえずは2章の最後くらいまではやってみいてほしいです。1章だけではこのゲームの魅力は伝わらないと思います。ホントに面白いのは1章終わってからです。</t>
  </si>
  <si>
    <t>【免费获取】可能真的是“我人生中最有趣的游戏”。请至少坚持到第 1 章结束再判断，真正的乐趣从那之后开始。</t>
  </si>
  <si>
    <t>JP-P-102</t>
  </si>
  <si>
    <t>我买的时候本来没抱太多期待，只是支持一下。但质量真的不错，尤其是美术。虽然空气墙很烦人，但目前玩到第4章，只闪退了两三次，遇到了一次明显的bug(画卷中和辰狗交互卡模)。即使抛开滤镜，绝对也是值回票价了。</t>
  </si>
  <si>
    <t>画面美术场景；空气墙可达性；崩溃闪退；Bug兼容硬件；整体完成度；推荐价值判断</t>
  </si>
  <si>
    <t>JP-P-103</t>
  </si>
  <si>
    <t>やはり武器が一種しかないのは飽きます。悟空じゃないが が大剣やハンマーをぶんぶん振り回すのは世界観ブチ壊しになるので仕方がないですが…。基本攻撃も弱攻撃でゲージ貯めて強攻撃ブッパしかないので。パリィっぽいのはあるんですが、弱攻撃を振ってからじゃないと出せないのでタイミングを合わせるのはなかなか厳しいです。それなのに、パリィを決めても本家死にゲーみたいにボスは大ダウンするわけじゃないので、ぴょんぴょん動き回るボスは結構な確率でカウンターの強攻撃がスカります。全然リターンが無いです飽きさせないようにするためか、様々な術が使えるのですが、MPにあたるものがあっという間になくなるので使える回数・タイミングがかなり限定的です。分身が弱すぎるのはかなりガッカリしました。結局こちらが出来るのは、回避しながら棒をブンブンしてるだけになります道が結構迷いやすいものとなってるのに、マップがないのはどういうことなんでしょうか？特定の隠しイベント消化が前提のメインボスが出てきたときはどっと疲れが出ました。攻略サイト見まくる人なら大丈夫ですが、何も見ないで攻略したい人には大変不親切だと思いますグラフィックと独特な世界観の作り込みは圧巻の一言なので、最新のグラフィックで古典的な中国(というより仏教？)の文化に触れてみたいかたは買ってもいいんじゃないでしょうか</t>
  </si>
  <si>
    <t>只有一把武器确实容易腻。虽然让“不是悟空的主角”挥动大剑/大锤会破坏世界观，但总希望能在不违和的前提下再加一点变化。画面一骑绝尘，想借此接触“古典中国（或更接近佛教）文化”的人可以一试。</t>
  </si>
  <si>
    <t>画面美术场景；难度挑战；西游悟空符号；中国文化宗教语言审美；角色期待意义偏移</t>
  </si>
  <si>
    <t>JP-P-104</t>
  </si>
  <si>
    <t>他のレビュアーの方は主にアクション面やシステム面に言及しているので、私からは翻訳面について投稿しようと思います。執筆時点（2024/08/23)では３章以降の図鑑要素は未翻訳となっています。が！それ以前の図鑑は最近の国外産ゲームの中ではトップクラスの翻訳となっており、気にならない細かな誤字が片手で数えられるほどあったのみで、原文の難解な言い回しや漢詩等を損なうことなく、世界観の補完に非常に役に立つ資料に昇華させています。それらが美麗なグラフィックやアクションと合わさり、西遊記の世界観をゲームにうまく落とし込むことに成功している傑作だと思いました。今後のアップデートで翻訳が進み、図鑑を読むのが待ちきれません！</t>
  </si>
  <si>
    <t>说说翻译：作为写过《西游记》入门书的人，我觉得文本总体做得不错，能把格言/典故落到游戏里，是成功的。本地化若能继续完善，我很期待慢慢翻完图鉴。</t>
  </si>
  <si>
    <t>JP-M-105</t>
  </si>
  <si>
    <t>三阳交泰产群生，仙石胞含日月精。借卵化猴完大道，假他名姓配丹成。内观不识因无相，外合明知作有形。历代人人皆属此，称王称圣任纵横。</t>
  </si>
  <si>
    <t>JP-P-106</t>
  </si>
  <si>
    <t>楽しいです</t>
  </si>
  <si>
    <t>很有趣。</t>
  </si>
  <si>
    <t>JP-P-107</t>
  </si>
  <si>
    <t>『ブラックミシック：悟空』は、その卓越したビジュアルと深い文化的背景により、瞬く間に世界中で大きな注目を集めたアクションRPGです。このゲームは、中国の古典文学『西遊記』を基に、伝統的な神話と現代のゲームデザインを巧みに融合させ、中国文化の独特な魅力を見事に表現しています。現在のデモやトレーラーを見る限り、ゲームのグラフィックは驚異的で、細部までこだわった環境デザイン、リアルなライティング効果、そして滑らかなアニメーションが、Unreal Engine 5の強力な性能を余すところなく発揮しています。戦闘システムは挑戦的で、孫悟空の多彩なスキルと敵の戦術が絶妙に組み合わさり、プレイヤーに緊張感あふれる戦闘体験を提供しています。しかし、『ブラックミシック：悟空』に対する高い期待は、同時に大きなプレッシャーでもあります。最終版で現在の高水準を維持し、ストーリー、ゲーム性、バランスの面で国際的なトップレベルに到達できるかどうかが、このゲームの成功を左右する鍵となるでしょう。総じて、『ブラックミシック：悟空』は、中国のゲーム開発者の卓越した実力を示しており、中国ゲーム業界の歴史的な作品となる可能性を秘めています。また、世界中で新たな文化的ゲームの基準を打ち立てるかもしれません。もし最終製品がその潜在能力を発揮できれば、このゲームは時代を象徴する作品となり、プレイヤーに忘れがたい体験をもたらすでしょう。</t>
  </si>
  <si>
    <t>《黑神话：悟空》凭借卓越的视觉与深厚的文化背景迅速受到关注。若成品能充分释放潜力，它将成为一个时代的符号，带来难忘体验。</t>
  </si>
  <si>
    <t>画面美术场景；西游悟空符号</t>
  </si>
  <si>
    <t>JP-P-108</t>
  </si>
  <si>
    <t>今のところグラフィックに全振りしただけの平凡なアクションゲームの印象。これでフルプライスはない。映像、音響には文句はつけようがない。が、見た目の印象と違い見えない壁に囲まれてマップは狭くほぼ一本道でチェックポイント間を踏破していくだけのステージ制アクションゲームになってしまっている。戦闘は今のところ面白くはない。両手棍でぺちぺち殴る、転がって回避の他にの大技がある程度で新でもデスペナもない覚えゲー。ガードや受け流しがないのは非常にがっかり。戦い方の幅がないのでとても単調。敵に弱点部位も見当たらずどこを殴っても一定ダメージみたいなのも味気ない。ロックオンで戦うのが前提とされているようで、マウス感度の縦横が変な設定＆強制スムージング効きすぎの合わせ技で操作性は最悪なためフリーターゲットでマウスエイムによる立ち回りは無理すぎた。これは100%だめ。キーバインド変更に使えないキーも多すぎて非常に遊びにくい。お酒飲むキーでメニューが開くようになったり装備アイテムのアイコンが全部爪楊枝に変わって使えなくなるバグが厳しい。狭いマップでアセットに拘れた結果だろうけれど今のところPCゲーム史上最高峰のグラフィックスなのは間違いないが半額以下まで待つほうが吉。2980円くらいならおうすめ。</t>
  </si>
  <si>
    <t>目前印象：只是把点数全投在画面上的“普通动作”，不值全价。影像与音效无可挑剔，优化还有提升空间。虽说当下 PC 游戏里它的画面几乎天花板，但建议等打折，2980 日元左右更合适。</t>
  </si>
  <si>
    <t>画面美术场景；音乐音效配音；动作打击手感；优化帧率</t>
  </si>
  <si>
    <t>JP-N-109</t>
  </si>
  <si>
    <t>すごい</t>
  </si>
  <si>
    <t>厉害。</t>
  </si>
  <si>
    <t>JP-P-110</t>
  </si>
  <si>
    <t>予想をはるかに上回る出来の良さにただただ驚く。多少荒削りに感じる部分もあるけど全然許容範囲。ただ西遊記ガチ勢じゃないとフルで楽しめない部分はあるかも…皆さんご存じの！的なノリと勢いで多分西遊記の色んな登場人物が出てきたり、あの時の恨み！とか言うのですが全然何の事か、誰なのかさっぱり分からない…後は漢字が難しく、全然読めないです…まあここら辺はプレイヤーの教養の問題なので、ゲームは悪くないし面白さにもそこまで直結しないです。基本的にはかなりの傑作だと思うので、かなりオススメです。ソウルライク風ですが、中身は西遊記版デビルメイクライ風なので、そこだけ注意かな。</t>
  </si>
  <si>
    <t>完成度远超预期。虽有些粗糙处但完全可接受。就算不是《西游记》粉也能享受。表面像魂，内核更像“西游版《鬼泣》”的动作。推荐，但请把预期放在动作爽感而非纯魂上。</t>
  </si>
  <si>
    <t>动作打击手感；整体完成度；推荐价值判断；西游悟空符号</t>
  </si>
  <si>
    <t>JP-M-111</t>
  </si>
  <si>
    <t>파판7 리메이크 하다 오글거림 + 시간끌기 + 추억팔이 지겨워서 끄고 돈 ㅈ나 아까워서 파트 2기대도 안해서 손도 안대고, 소울류 못하겠는데 이건 개잼나네?중국 빼고 했으면 개난리 났을 겜이였을듯. nC 는 뭘 느낄까? 더욱 더 도박게임에 힘쓰길!</t>
  </si>
  <si>
    <t>JP-P-112</t>
  </si>
  <si>
    <t>免费获取的产品
																とてもおもしろい。画質がきれい、音楽が壮大、ストーリーは深い、完璧です。</t>
  </si>
  <si>
    <t>（免费获取）非常有趣。画质漂亮，音乐宏大，故事有深度，整体表现出色。</t>
  </si>
  <si>
    <t>JP-P-113</t>
  </si>
  <si>
    <t>隠しボスまでクリアしたので追記。40時間ほどでした。
一言で言うならアクションギリ良ゲーで、探索苦行ゲー。
★良い点
・アートデザインとグラフィック
特に主人公がカッコいい猿って、和ゲーでは中々お目にかかれないです。ムービーや演出もかなり豊富でこだわりを感じます。
・アクションゲームとして及第点の完成度
いわゆるジャスト回避ゲー、に見せかけたリソース管理ゲーです。
法力を使ったゲージ消費技が非常に強力で、この組み合わせだけでボスの体力を開幕半分削れたりします。できることが増えてくると、これを使って如何にハメきるかみたいなゲーム性になってきます。
５・６章ボスあたりは法力ゴリ押しだけでは勝てず、死にゲーボスらしくなりますが、それ以外は大体なんとかなります。
また、武器カテゴリが１つしかなく「弱攻撃で貯めたゲージを強攻撃でぶっ放す」というコンセプトが変わることはありません。
このため、戦闘が単調になりやすく意外と早く飽きがきます。なのでギリ及第点。
★悪い点
・操作性
特に移動のレスポンスの悪さが目立ちます。最初にオブジェクトが触れなくてフラフラしたのは私だけじゃないはず。
戦闘中はこれも難易度に含まれるので問題ありませんが、探索中などはこのレスポンスの悪さがボディブローのようにじわじわ苦痛に感じてきます。
・探索が苦行
広いだけで地図すらないマップ、広大に見せかけて至るところにある進めない場所。グラフィック上は進めない事が分からないのもマイナス。しかもほとんどの行き止まりが申し訳程度に金銭アイテムが置いてあるのみ。わずかな当たりを引くために、進めるのか分からないマップの端の境界を確認しながら探索するハメになります。特にマップ埋めが好きな人にはオススメできません。マジの苦行です。
高速移動手段がなく、非戦闘時のランでスタミナを消費するのもマイナス。
道中の雑魚も一部を除いて手応えがなく、敵が配置されてすらない一本道なども存在します。なぜ作った。とにかく移動が苦行です。
・一部ボスのしょうもない大技
ボスが無敵状態になり、こちらが相手の技を捌くだけのフェーズが結構あります。死にゲーっぽい側面もあるので、何度も挑戦するボスではこのフェーズを繰り返す必要があり、流石に作業感が出てきます。
・完全なムービースキップができない
ボス戦のムービーがシームレスにこだわっているため、ムービースキップしても前後数秒はスキップできない部分があります。何度も挑戦していると、これもストレスになります。
・攻略サイトを見ないと普通に発見できない隠し要素
ノーヒント過ぎる隠し要素があります。ダクソのサインシステムでもないと、このレベルの隠し要素はいまどき許されないと思います。
・西遊記を知らないとストーリーに置いていかれる
西遊記をちゃんと知らないとストーリーは雰囲気しかわかりません。それでもムービーと演出が良いのでなんとなく楽しめますが、流石に説明不足感が否めません。
・フルプライスゲーとしてはちょっと物足りない
周回要素はありますが、特に周回する意味がありません。前述した戦闘の単調さもあり、２周目で違うビルドを試すようなこともできません。大体40時間程度で遊びきってしまうことを考慮すると、フルプライスゲーとしてはちょっと物足りないです。
★まとめ
アートデザインに一目惚れしたら買いましょう。私もそうでした。
ゲーム全体の出来はギリ遊べるって感じで、あえて人に薦めるほどではないです。</t>
  </si>
  <si>
    <t>通关到隐藏Boss，约40小时。总体：动作合格，探索偏折磨。优点：美术与图形一流，主角“帅气的猿”很抓人；演出丰富。战斗是“资源管理型恰时回避”，法术组合很强，前期可快速压掉Boss血量；到5–6章仅靠法术不行，才像真正受苦Boss。缺点：不熟悉《西游记》会跟不上，主角不说话削弱代入；镜头追踪不稳，偶有“画面外吃招”。综合约80分；完成度细致，值得购买。</t>
  </si>
  <si>
    <t>画面美术场景；演出角色怪物设计；动作打击手感；Boss战斗节奏；难度挑战；锁定视角；探索隐藏支线；整体完成度；推荐价值判断；西游悟空符号</t>
  </si>
  <si>
    <t>JP-P-114</t>
  </si>
  <si>
    <t>国产第一部三A大作，确实超出了预期，非常好的画面感打击感音效感。唯一美中不足就是空气墙太多，希望下一步优化。</t>
  </si>
  <si>
    <t>画面美术场景；音乐音效配音；动作打击手感；空气墙可达性；优化帧率；国产3A身份期待</t>
  </si>
  <si>
    <t>JP-P-115</t>
  </si>
  <si>
    <t>西遊記を読んでからプレイするとさらにおいしい。また、仏教伝来の歴史を知っているとなお楽しめる作品となっている。</t>
  </si>
  <si>
    <t>如果先读一读《西游记》，再玩会更香；懂些佛教东传的历史，会更能体会到它有趣之处。</t>
  </si>
  <si>
    <t>JP-P-116</t>
  </si>
  <si>
    <t>話はいいんだけど全体的に敵の当たり判定がクソ例えば四つ足の敵なんかはロクに攻撃が当たりません。戦闘自体は悪くないただただ当たり判定がクソ不愉快</t>
  </si>
  <si>
    <t>故事不错，但整体判定很烂。比如四足怪根本很难打得到。战斗本身不差，纯粹是判定让人不快。</t>
  </si>
  <si>
    <t>Boss战斗节奏；难度挑战；判定反馈</t>
  </si>
  <si>
    <t>JP-P-117</t>
  </si>
  <si>
    <t>グラフィックの綺麗な死にゲーです。難しすぎてボスが全く倒せる気がしないので返品リクエストしました</t>
  </si>
  <si>
    <t>画面漂亮的受苦向。我太难，完全看不到打赢 Boss 的希望，申请了退款。</t>
  </si>
  <si>
    <t>画面美术场景；Boss战斗节奏；难度挑战；推荐价值判断</t>
  </si>
  <si>
    <t>JP-P-118</t>
  </si>
  <si>
    <t>ソウルライクゲームの未経験者ですが、去年から中国初めての国産3A級ゲームを注目し始めました。アクションRPGに関してはGTAシリーズをやったのですが、題材が違いすぎてなかなか参考にもならないと思います。発売日の当日までもしておらず、友達は何時間遊んで特に無茶なバグがないことを確認できてから私も購入してダウンロードをしました。初回では孫悟空と二郎神の戦闘場面で、用心して作ったCG動画と技能の組み合わせにショックされ、BGMやセリフの表現もとても素晴らしく、物語のあらすじを早く解き明かしていきたいと思いました。だがあくまでも新人なので、「幽魂」「白衣秀士」「虎先鋒」に止められ、平均では２時間くらいをかけて一つのボスキャラクターをクリアするのは少しつらいです。まじめに物語を探索するつもりだが、できる限りにモディファイアを使いたくないので、現実は一つの戦闘からもらった経験値と道具が次の戦闘に「役立つレベル」が低くて、一個一個クリアすると大変工夫する必要があります。私としてはどこまで我慢できるのか今は少し心配しています。よく人に評判されたマップツールがないことは、私にとってまあまあ良いレベルですね。恐らくこの点を指示した人は、第三章以降に進まれていると思います。また、見えない壁が多数設置されているのは本当に腹立ちますね。特に第二章「黄風」のシーンでは、もともと入らせてもらえないところはなんか入りそうな感じで、結局は見えない壁で入れないと、少し不快でした。総合的に言うと、3A級ゲームであることは間違いありません。IGNスコアが８点というのは、とても適当と思います。しかしながら、メディアに報じられたように別格な素晴らしさは見当たりませんでした。超一流の水準があることは疑いなく、全員一致だと思いますが、トップ1のレベルに至るかどうかはまだクエスチョンマークですね。今作をきっかけに、今後も沢山の高制作水準の中国産ゲームができるように心よりお祈りします。</t>
  </si>
  <si>
    <t>我没玩过魂类，但去年起开始关注中国的 3A 首作。这款在动作 RPG 的层面做到了“可玩与挑战并重”，是否“划时代”暂时还不好说。也希望以后能看到更多高水准的中国作品。</t>
  </si>
  <si>
    <t>动作打击手感；难度挑战；整体完成度</t>
  </si>
  <si>
    <t>JP-P-119</t>
  </si>
  <si>
    <t>cp.1が終わったところだけど、近年のソウルライク系の中では一番良く、ありがちなフロム系＋独自要素で終わらない新鮮さがあって非常に良い。ゲーム性は近いところで言えばsekiro＋仁王と言った感じでウォーロンに求めていたものが形なった様な感じ。多彩なアクションとバリエーション豊富なボスでアクションゲームとしてはかなり良い出来。また、操作性も良くプレイしていてストレスを感じないのも高評価。裏ボス含めてクリアしたので追記他のレビューにもある通り後半から段々と怪しくなっており、難しいと言うより面倒くさいクソボスが増えてくる。（特に最終章は判定スカスカ、前面無敵等のクソボスラッシュが酷い）ただ、メインの大ボスはどれも非常に面白く、ラスボスは演出面含めて最高の出来だった。</t>
  </si>
  <si>
    <t>刚过完第 1 章。在近年的魂类里算很好的，不是“From 套路+自家要素”的拼贴。小 Boss 太多，杂兵判定奇怪，空挥，正面无敌等糟点不少；但真正的大 Boss 都很有趣，最终 Boss 的演出简直顶级。</t>
  </si>
  <si>
    <t>演出角色怪物设计；Boss战斗节奏；判定反馈；推荐价值判断</t>
  </si>
  <si>
    <t>JP-P-120</t>
  </si>
  <si>
    <t>おもしろい</t>
  </si>
  <si>
    <t>很好玩。</t>
  </si>
  <si>
    <t>JP-P-121</t>
  </si>
  <si>
    <t>难得的精品，期待续作</t>
  </si>
  <si>
    <t>JP-M-122</t>
  </si>
  <si>
    <t>無分別無差別なポリコレ大嫌いだから応援の意図で買ってやってみた。この登場人物ほとんど妖怪の古典創作の世界観に「多様性がー」とか言い出すのはどう考えても的外れにもほどがあるなあ；ゲーム内容としては目新しいところはないアクションで相当歯ごたえある難易度。デスペナなくて何度も試行錯誤する死にゲーでスキル振りもノーコストで変えれてあれこれ試せるのでそーゆーの楽しめる人ならはまれると思う。この規模で売るなら試行錯誤に時間取れなかったりアクション苦手だったりいろんな人いるだろうから難易度設定はあったほうがよかったなあ（後で足されそう？開発者も途中であきらめられるよりはエンディングのクレジットまで見てほしいのでは）。画像はさすがにめちゃくちゃ綺麗、中華な世界観も興味深い。なおFPS落とさないとクラッシュしまくったのでもう少し最適化する余地はありそう。総じて主に映像面が良くできた普通のアクションゲームって感じなので、そこまで高評価って内容と思わずに興味あったらセール待ちで買うぐらいでいいかも。（噂だけど）ポリコレ利権に屈さなかった点は超評価。</t>
  </si>
  <si>
    <t>出于“反对无差别政治正确”的立场支持购买。就游戏性而言并非神作：剧情单薄，Boss 战结构重复，AI 与判定有不满，隐形墙塑造限制探索。整体仍算扎实，但建议等打折。对“不向身份话语让步”的态度表示肯定。</t>
  </si>
  <si>
    <t>Boss战斗节奏；判定反馈；空气墙可达性；探索隐藏支线；推荐价值判断</t>
  </si>
  <si>
    <t>JP-N-123</t>
  </si>
  <si>
    <t>走向世界，拿下年度！猛猛冲</t>
  </si>
  <si>
    <t>JP-P-124</t>
  </si>
  <si>
    <t>圧巻です！映像、音楽、キャラクターのデザイン、すべてにおいて大好評です。
20時間以上プレイしてますが、まだまだ中盤です。
一度もエラーやクラッシュは起きていないです。
参考までにプレイ環境とベンチマークの結果を記載します。
平均フレームレート：71FPS
------------------------------------
CPU：Corei9-13900KF
GPU：NVIDIA GeForce RTX 4090
メモリ：64GB
------------------------------------
グラフィックス設定
解像度：1980×1080
画質レベル：最高
サンプリング解像度：100
描画距離：最高
アンチエイリアス：最高
ポストプロセス：最高
影、テクスチャ、毛、植物：最高
モーションブラー：強
フルレイトレーシング：中
スーパー解像度：DLSS / フレーム生成：ON
DX12：ON
------------------------------------
何度も倒されて攻撃パターンを覚えて撃破したときの爽快感
まるで映画を見ているかのような大迫力の演出
こんなゲームがやりたかったんです。</t>
  </si>
  <si>
    <t>震撼。影像，音乐，角色设计都很出色。已玩 20 小时仍在中段，完全没遇到崩溃或报错。环境：i9-13900KF / RTX 4090 / 64GB；1080p，最高画质下平均 71 FPS。若开场战斗都让你兴奋不起来，后面大概会吃力；也有望通过后续更新继续优化。</t>
  </si>
  <si>
    <t>画面美术场景；音乐音效配音；演出角色怪物设计；Boss战斗节奏；优化帧率；崩溃闪退；Bug兼容硬件；推荐价值判断</t>
  </si>
  <si>
    <t>JP-P-125</t>
  </si>
  <si>
    <t>コンセプトの分からないソウルライクゲームでした。広いフィールドと多くのボスがいる点はよかったのですが、探索・戦闘・育成のいずれも面白く感じませんでした。西遊記をベースにした世界設定に関しても物語の一部だけを継ぎ接ぎにしたものでストーリーやキャラクターはまったく理解できませんでした。探索はマップが広い割には密度が薄く、ファストトラベルポイントもまばらなのでただ走っているだけの時間が多くなります。またマップの道と背景の見分けがつかず、分かれ道かと思えば透明な壁にあたることや、その逆のパターンが非常に多く、探索がやりづらいです。育成要素も薄く、悟空の戦闘スタイルはずっと変わらず、ステータスもそんなに変わりません。例えばひとつ前のステージのボスとの戦闘でも同じ戦い方をするし、戦闘時間も変わりません。アクセサリーを含めた装備に関しても同じで、探索の手間のわりにリターンが少ないので次第にやらなくなりました。多くいるボスとの戦闘においては、こちらの戦闘スタイルがまったく変わらないのでボスが変わっても新鮮さをあまり感じませんでした。また強いボスというのが攻撃時間が限られるという形で示されているのでただ見ているだけだったり、ひたすら攻撃を避けるだけだったりすることが多く、何度も挑戦するソウルライクのシステムに合っていないと感じました。総じてストレスを感じる要素が多く、続けるモチベーションに乏しいゲームでした。せめて西遊記の物語を体験できるようなものであれば良かったと思います。</t>
  </si>
  <si>
    <t>一款“定位不明”的魂类。场景很大，Boss 很多是优点；但探索/战斗/养成之间的关系并不紧密，常感到重复与乏味。若能更强地让人“体验《西游记》的故事”，或许会更好。</t>
  </si>
  <si>
    <t>画面美术场景；Boss战斗节奏；探索隐藏支线；西游悟空符号</t>
  </si>
  <si>
    <t>JP-P-126</t>
  </si>
  <si>
    <t>日本語字幕の出来が予想以上に良いです。アクション苦手な人には難しいゲームになりまずが、全然投げ出す気にはならない。何度も練習してキャラクターも自分の操作レベルもアップして敵を倒す、この達成感を得る事の楽しさを思い出させてくれるゲームです。</t>
  </si>
  <si>
    <t>日文字幕质量超乎预期。对动作苦手的人来说难度不低，但不会想放弃。反复练习，角色/操作水平一同成长，打倒强敌的达成感很大，这游戏把这种乐趣找回来了。</t>
  </si>
  <si>
    <t>JP-P-127</t>
  </si>
  <si>
    <t>产品已退款
												snsでソウルライクではないと結構見かけたので買いましたが、普通にめちゃくちゃソウルライクでした　最初の中ボス？みたいなので　絶対クリア出来ないと確信したので返金しました　世界感はめちゃくちゃ好きです</t>
  </si>
  <si>
    <t>（已退款）SNS 上总有人说不是魂，于是买来试，结果非常魂。我在开头的中 Boss 就确定自己绝对打不过所以退了款；不过我很喜欢这个世界观。</t>
  </si>
  <si>
    <t>JP-P-128</t>
  </si>
  <si>
    <t>今年やったゲームでぶっちぎりの面白さ（エルデンよりも大分好き）。まだクリアどころか序盤の段階だけど、GOTY候補に入るのは確定、個人的にGOTY十分狙えると思う神ゲーだと思う。超美麗なグラフィックに戦闘の楽しさ、適度な難易度、アクション・育成・装備集め等のやりこみ要素は他の方のレビュー見る限り十分そうだし、美麗なグラフィックのゲームは数多あるけど、世界観というか雰囲気が秀逸。西遊記って誰もが知ってる中国明の時代の小説をベースにその後の世界って設定？...を描いてるみたいだけど、鼻につく正義感は存在せず、おしつけじゃない寓話風のエピソードが淡々と、でも味わい深く丁寧に描かれていて、品のある良い意味でのThe・中華って世界観が気持ちいい。アニメ調を排したリアル志向で描いてるのも最高。（章終わりのアニメムービーがまたいい感じのスパイスになってる／FF XVIの挿入ムービーは飛ばしまくったけどこれは最初から最後まで見入っていろいろ感じながら楽しめる）キャラの作りこみも手抜きが一切なく、主人公やボスだけじゃなく、MOBさえも造形・動き・性能すべてにおいてバックストーリーから練りこまれているのが感じれて、どこまでも丁寧さを感じる。MOBの使い回し感なんて全く感じない。戦闘システムに関してだと、特にスタミナに相当する「体力」の設定が適切で感心する。普段のマップ移動時のストレスは皆無でありながら、しっかり戦闘時の重要な要素としては機能していて、キャラ育成時の選択肢としてちゃんと機能していて、日本の最近のゲームではエルデン以上の仕上がりだと思う。（DD2とか最悪だった）</t>
  </si>
  <si>
    <t>今年玩过里最好（比《艾尔登法环》更喜欢）。虽然还在序盘，但已能进年度候选。技能树不是“花架子”，在加点时真的能构成选择。就完成度而言，比近年的很多日本作品还高。</t>
  </si>
  <si>
    <t>JP-P-129</t>
  </si>
  <si>
    <t>1周クリアしたのでレビュー
シンプルにつまらなかったです
演出、グラフィック「は」目を見張るが
肝心のアクションがストレスでしかありませんでした
スキル解放で様々なアクションが解放できますが、
解放したとて序盤からあった違和感を拭うことが出来ないままでした
◆Good
- 直近出た中では頭一つ抜けてるグラフィック、演出
- 4090&amp;i9 13世代、レイトレOFF/FG ON/超高設定で4k100～120fps
- スキル振り直しがノーコストで出来る
- ラスボスは純粋に楽しい
- ジャスト回避自体はめっちゃやりやすい
◆Bad
- 敵はバックステップ、サイドステップ多用するので追っかける時間が多すぎる
- 敵の納得いく攻撃が少ない
- マップデザインの誘導が酷い
- 戦闘中の選択肢の少なさがただただストレス
- 通常攻撃の爽快感の無さ
- 全体的に戦闘における緊張感が無い。ロードがちょい長いのでダレる
- 3章
◆まとめ
オープニング戦から操作していてワクワクしない人は、おそらくクリアまで苦痛だと思います
アプデで調整入る可能性もあるので化ける可能性もあります</t>
  </si>
  <si>
    <t>一周目通关后的感想：简单说“无聊”。演出/画面很亮眼，但动作只带来压力。技能能解锁很多动作，但敌人频繁后撤/侧移，导致追着打的时间太多；合理攻击偏少；地图引导差；战斗中可用选项少，普攻爽快度不足；整体紧张感不足且读盘偏长让人更疲。若开场战斗都激不起兴奋，通关过程会很痛苦；当然更新后仍有提升空间。</t>
  </si>
  <si>
    <t>画面美术场景；演出角色怪物设计；动作打击手感；Boss战斗节奏；难度挑战；地图路线；引导迷路单线；推荐价值判断</t>
  </si>
  <si>
    <t>JP-P-130</t>
  </si>
  <si>
    <t>孫悟空という中国最強のIPをゲームにした傑作目立ったバグは無いし、景色を見たり妖怪の説明を見たり日本語の翻訳も質が高くとても良い雰囲気を出すためには音声を中国語にして字幕日本語設定のほうが楽しめます</t>
  </si>
  <si>
    <t>把中国最强 IP“孙悟空”做成了游戏的佳作。几乎没有明显 Bug；看风景，读妖怪图鉴都很有趣，本地化质量也高。强烈建议“中文语音＋中文字幕”，氛围更足。</t>
  </si>
  <si>
    <t>画面美术场景；音乐音效配音；Bug兼容硬件；整体完成度；推荐价值判断；西游悟空符号；中国文化宗教语言审美</t>
  </si>
  <si>
    <t>JP-P-131</t>
  </si>
  <si>
    <t>「今年のGOTY候補　世界的に見ても最高峰のアクションゲーム」ゲーム性としてはダークソウル、セキロ、ゴッドオブウォーなどを参考にしつつ独自に改良を加えたような形。2024年のゲームとして画質はもちろん抜群で、最適化がうまくできてるからか、ゲーム内でFPSの低下は全く感じられなかった。総合的にゲームはとても楽しくプレイでき、難易度もかなり挑戦的で手ごたえがある。フロムゲーと違いデスペナが存在しないので、気軽に死ねるし気軽にリトライできる。あとスキルリセットが簡単なため、挑戦するボスに応じてビルドを変えたりすることが難易度の低減に繋がっている。難易度の調整はとてもうまくいっており、フロムゲーのプロならば少々物足りないところがあるかもしれないが、自分は大いに楽しめた。ストーリーも抜群に読み応えがあり、先が先がと気になって、二日で32時間プレイしクリアしてしまった。原典である西遊記のストーリーを知れば知るほど、道中のボスや妖怪などについて楽しむことができ、特に4,5章に関しては、「あ！ここ進研ゼミでやったところだ！」と西遊記のエピソードを自分の身で追体験することができる。小さいころにテレビドラマなどでみた記憶が沸々と湧いて出て、自分はプレイ中ワクワクが止まらなかった。また、ゲーム内ボイスは英語と中国語が選択できるが、個人的には極めて強く中国語音声でプレイすることをおすすめしたい。具体的に、漢文のような歌、詩、などが韻調を直接味わえるからだ。長い時間をかけて作ったゲームであるだけに、章切り替え時のアニメーションもとても完成度が高く、ミニ映画として楽しむこともできる。本作がGAME SCIENCEによる処女作であることに驚きを感じるとともに、この完成度のゲームならばSTEAMの同時接続数1位というのも頷ける。実際に面白すぎる。今年のゲームオブザイヤーを選ぶならば、間違いなく私は本作を挙げるだろう。興味がもしあるならば、ぜひ試してみるべき一作である。</t>
  </si>
  <si>
    <t>个人年度候选，也是全球顶级动作之一。系统既有《黑魂》《只狼》的影子，也有《战神》的演出与力度。若要选 2024 年度游戏，我会投它。有兴趣请务必一试。</t>
  </si>
  <si>
    <t>演出角色怪物设计；动作打击手感；推荐价值判断</t>
  </si>
  <si>
    <t>JP-P-132</t>
  </si>
  <si>
    <t>考察読みながら進んだんだけど、原作に対して相当な理解がないと話が見えないが、原作とか背景が分かって初めてストーリーの良さに気づく。ストーリーの一つ一つに元ネタがあって、すごいなぁと思った。</t>
  </si>
  <si>
    <t>一边读考据一边推进才发现，若不懂原著与背景就很难看清故事魅力。几乎每段剧情都有出处与影射，设计精巧。</t>
  </si>
  <si>
    <t>难度挑战；中国文化宗教语言审美；原典知识人物关系专名；外部资料依赖</t>
  </si>
  <si>
    <t>JP-P-133</t>
  </si>
  <si>
    <t>めっちゃ　いい</t>
  </si>
  <si>
    <t>非常好。</t>
  </si>
  <si>
    <t>JP-N-134</t>
  </si>
  <si>
    <t>2024/9　隠ボスを倒し真エンドまで攻略済み　他ソウルライクゲーとの比較レビュー西遊記を題材にしたソウルライクゲー。西遊記ダクソとか呼称されていたが、箱庭を探索して最奥のボスを倒す仕様は似ている。ボスがかなり強め。操作や成長システムは別ゲー。ダクソエルデン感で遊びだすとボタン配置の違いで混乱して死ぬレベルで違う。盾がなく、防御はローリング回避相当のクイックステップしかない。ソウルライク系で盾ビルドに慣れてる人はかなりの戦いにくいと思われ。成長は敵を倒すごとに経験値がたまってレベルごとにポイントが貯まり、ポイント消費でスキルツリーを開放していくタイプ。経験値を落としたりしないので気兼ねなく死ねる。使用したポイントの全回収付与しなおしは最初からいつでもできる。敵特性に応じてスキルの振り直しをして楽しむゲームといった感じ。西遊記にかなり理解のある人でないと？？なシーンが多い。前作を遊んでないRPGを遊んだ時、前作キャラが出て来て過去の出来事知ってるのを前提で話しちゃうイベント見てるようなモヤモヤ感がある。作品外で情報補完が必要なレベル。逆にこの作品で次々出てくるキャラを初手からすべて理解できちゃう人は西遊記マニアレベル。絵は綺麗なんだけど山道や岩場などの自然環境がおおく、似たような風景が続くため、地形の理解がしにくい。昨今のソウルライクでは当たり前のように搭載されているマップがないのも地味に辛い。透明の壁や例外的に壊せる柵がうざい。綺麗な絶景が目白押しだが、歩ける範囲は思いのほか狭い。目前に絶景が開けているのに見えない透明壁で移動できないところが多くイライラ。そして透明壁に慣れて探索が雑になったころ「実は透明壁あるように見えて進めますゾーン」や「実はこの柵は例外的に壊せます」な場所が増えてアイテム取り逃しが増える。それが取っても取らなくても影響軽微なアイテムならいいが「無敵モードになるボスの無敵を解除するアイテム」レベルの重要なアイテムだったりするからタチがわるい。ポリコレ拒否でくだらない多様性を拒否したのはよいが、武器が１種類しかない等、害悪ポリコレ以外の要素においても多様性がない。主人公が悟空だから武器は棒！！という気持ちは分かるが、ヌンチャクとか青龍刀とか三節昆とか中国っぽい武器を入れる余地はあったのでは？ボスに勝てないとき、攻略済みマップで修行しなおすときに武器が棒しかないのでいろいろ試せないのが寂しい。ここらへんはほかのソウルライクゲーに劣る。多様性がないので術特化ビルドもできない。毛分身やら硬化やら西遊記らしい術は使えるものの、効果時間は短く、クールダウン時間が長く、MP消費は多く、威力もたいしたことなく「物理攻撃は苦手だけど術で戦う悟空」を演出することはできない。あくまで棒バトルに花を添える程度。「西遊記ゲーなんだから術メインの魔法使いビルドとかできるんでしょ？」とか思ってる人は要注意。キャラ成長にも多様性がない。最大HPやらMP相当のものを増やすアイテムは落ちているが、数が少ない。それとは別にHPやMPや体力や防御力などの任意の項目を強化する薬を作成できるシステムがあるのだが、これも多様性がない。「HPモリモリの死ににくい悟空」を作るためＨＰ薬を量産すると１０個目あたりで「これ以上つくれません」の警告。限界まで作っても基本ＨＰの１０％くらいまでしか性能が伸びない。ほかの薬も作成上限があり、どんな組み合わせで薬を作ろうがパッと見で差異を感じるのが難しいレベルの性能ＵＰであり、１能力特化を拒否されているので多様性がない。　基本キャラ性能をレベリングで伸ばす要素が希薄でアクションゲーム下手くそマンもレベルアップでそのうちクリア…というデザインからはかなり遠いゲーム。敵が全般的に硬い。道中のクソ雑魚やられ役以外は、弱攻撃で殴ってもほとんど削ることができない。また、弱攻撃はクソ雑魚以外はノックバックをしない。なので強攻撃を使うことになるのだが、この強攻撃がゲージをためないと出せない、ゲージ蓄積中は動けない、技が出るまでが遅すぎる、敵の攻撃を受けると貯めたゲージが消失　など、爽快感とはおよそ無縁の仕様となっていて戦闘が全体的にモサい。強攻撃は一度発生してしまえばスーパーアーマー化で攻撃が中断されることはないが、技が出るまでが遅すぎて切られるわ殴られるわでＨＰがモリモリ減る。技発生中はダメージを軽減するスキル等はあるが、効果は微々たるもの。強攻撃は出しにくくて爽快感少なく、敵をノックバックさせ大ダメージを与えるには強攻撃を使うほかなく、残念な戦闘デザインになっていると思った。強攻撃は３種類用意されているがスキルポイント付与の関係で１つに絞って強化することが多く、１種類しか使わないケースが多い。複数スキルにポイント付与しても忙しい戦闘中にいちいちスキルを切り替えるのが面倒。強攻撃スキルは切替ではなく各ボタンに配置して瞬時に使い分けができるようにしてほしかったし、ボタンを押す順番で別の強攻撃に派生するなどの多様性がほしかった。強攻撃ゲージを貯めるときに移動ができなくなる２スキルについては出番が少なかった。ゲージ貯めで移動できなくなる制約だけでも取っ払った方がいいのでは？と思った。　敵の攻撃をジャストタイミングで回避すると残像を残して無傷で離脱するが、この時に強攻撃のゲージが増える。通常のゲージ貯めは移動できなくなるのでゲージ蓄積は敵の攻撃回避から得る量がどうしても多く、遊んでいくうちに「このゲームのボス戦はボスの攻撃をジャストタイミングで避けてゲージ貯める音ゲーなのね？」って印象に変わってくる。ジャスト回避ありきで回避苦手で盾受けしたい系の人には終始辛いデザイン。一部のボスは能力が超強化されるハイパーモードに入るものがある。特定のアイテムを使うとそれを解除できる。「いくらなんでもボス強すぎだろバランスおかしい」と思ったらまだ行ってない場所の探索を推奨。ボス戦開始時に豪華な演出が出るのはよいが、ボスに倒されてリトライするときも演出が出るのは面倒。昨今のソウルライクは簡単に演出のスキップができるが、本作はボタンを「長押ししないとスキップできない」のでとてもイライラする。「スキップしても演出すべてがとばせず一部は強制再生」なところもあり。この仕様は今すぐ修正を命じたいレベルで擁護できない。明暗の切り替えで目がとても疲れる。日差しが強く、光と影の明暗が強いシーンが多いが、明るいところから暗いところに入ると「目が徐々になれて暗所が少しづつ見えてくる」という演出が入る。個人的にこの演出はとても目が疲れる。システムが古臭く、制約が多く、多様性が少なく、爽快感も少ないレガシーアクションゲーに、とても綺麗で先進的な今時のＣＧをつけました系ゲームという印象。世界観や絵作り、キャラ資料などは（未翻訳資料が完全翻訳されるの前提で）文句のつけようのないレベル。１２０点。ゲーム本体の古臭さや、爽快感のなさで減点が続き、-６０点。そんな感じでギリギリ親指上。といった印象。ソウルライクゲーをレベリングでバランス破綻させない進行で一人でクリアできない人には相当苦痛なゲーム。動画サイトで絵をみるだけで終わらせるのをおすすめする。腕に覚えアリなマジゲーマーを自負してる人にだけおすすめ。</t>
  </si>
  <si>
    <t>2024/9 已打倒隐藏 Boss 并看真结局。和其他魂类对比：对新手极其苛刻，容错低；不擅长者会是“相当痛苦”的游戏。建议观赏视频了结；只推荐给自认很硬核的玩家。</t>
  </si>
  <si>
    <t>Boss战斗节奏；难度挑战；探索隐藏支线；推荐价值判断</t>
  </si>
  <si>
    <t>JP-P-135</t>
  </si>
  <si>
    <t>フロ◯ゲーは全作クリア経験していることもあり、やり始めは敵が弱すぎてこれ大丈夫か？と思いましたが、後半になるにつれしっかり敵が強くなっています…が、結局初見クリアできる程度って感じではあります。こちらもスキルがつよつよなので人によってはやっぱり最後まで弱いと思うかもしれません。結果的に買ってよかったと思います。武器モーションがどれ選んでも同じなので戦闘が単調で飽きるという意見もあり、理解できるところもありますが個人的にはそこまで気になるポイントでもなかったです。 ただ、2章の黄風チキン大聖のエリア外にでて視界不良状態での強襲と謎追尾大風がかなり鬱陶しかったです。どっかの鋼龍みたいなことするのやめろ。</t>
  </si>
  <si>
    <t>通关过 From 全系列的体验：开头会觉得敌人弱，但越到后期节奏与强度越好。黄风大王一段在地图外偷袭，还有“谜之追踪风”很恼人——别学某作的那套。总体仍然好玩。</t>
  </si>
  <si>
    <t>地图路线；推荐价值判断</t>
  </si>
  <si>
    <t>JP-P-136</t>
  </si>
  <si>
    <t>まずこのゲームは中国神話(もとい西遊記)や仏教にそれなりの興味があるか、造詣が深い人でなければ十全に楽しむのは難しい。最低限西遊記の話の流れ、別名を含めた登場人物、仏教における御仏や死生観辺りは抑えていないと何が何だか分からない箇所がちょくちょく出てくる。(例えば、悟能と聞いてすぐさま猪八戒の別称である事が浮かぶ程度の知識が必須)制作が中国のため、自国の神話を他国に伝えたいというよりも、ある程度理解している人間をターゲットにしているが故の割り切りかもしれない。あとは普通に常用漢字ではない漢字が振り仮名無しで出てくるので、その辺りはプレイする人間の教養が如実に影響すると思う。日本語吹き替えがあればgoodだった。印象としては、アクションゲームのガワを被せたノベルゲームのような感覚。西遊記のその後の物語、孫悟空の足跡を辿るという要素にピンと来ない、西遊記、仏教に全く興味がない、わからない箇所を調べる程度の事ができない人には全くお勧めできない。ゲームプレイについてはお世辞にも洗練されているとは言い難く、他のレビューで言及されているようにアクションゲームとしてはコンボ、ボスの強さといった要素が噛み合っておらず、少々退屈に思える箇所がそれなりに存在する。長い期間かけて醸成されてきたフロムゲーの足元にも及ばない。とはいえ初作品がこれならまあ及第点といった感じ。擁護できないのはマップ、探索のわかりにくさ。背景は確かに素晴らしい出来であるが、ランドマークがほぼ無くどこに行けばいいのかわかりにくい。なにも考えず遊んでいると、特に隠されているわけでもないボスに辿り着けず延々と迷い続けるだろう。ミニマップの一つでもあればまた違ったはず。総評としては、丁寧に作られているものの処女作であるが故の不便さが目立つ。しかし中国神話、西遊記、仏教に少しでも興味がある人間にとっては唯一無二の神ゲーとなるはずだ。逆に上記に全く興味がなく、純粋なアクションゲームを求めている場合は凡作になるだろう。そして、中国アレルギーを抱えている、あるいはポリコレ云々に毒されている人間にとっては駄作以下のクソゲー評価になるだろう。</t>
  </si>
  <si>
    <t>如果对中国神话（或《西游记》）与佛教不感兴趣，就很难“十足地”享受它。反过来，若抱有对中国的偏见，或被某些政治话题裹挟的人，大概会把它评成“烂作”。</t>
  </si>
  <si>
    <t>难度挑战；西游悟空符号；中国文化宗教语言审美</t>
  </si>
  <si>
    <t>JP-N-137</t>
  </si>
  <si>
    <t>評価される点は概ね他にレビューされている方と同じなので自分が気になった点のみ書かせて頂きます。
ソウルライクと言うよりだいぶ仁王に近い印象があります。
仁王もソウルシリーズに影響を受けていると思われるので広義ではソウルライクと言えるのでしょうか。
ちなみに私は仁王シリーズの戦闘が合わなかったので本作も合いませんでした。
仁王シリーズもそう思ったのですがテンポが速いのに各動作の繋がりが悪いというか
素早く動くワリにリズムが悪いので「ここでこうしたい」という時に
入力を受け付けない事が多い印象で操作していて気持ち悪いです。
以下はソウルシリーズと本作の攻撃モーション（回数）を現したものと思って頂ければと思います。
（「・」が入力のタイミング、数字は適当なのでご了承下さい）
ソウルシリーズ：1・2・3・4・5
本作：1・2・345・6789・10（大技）
ソウルシリーズは武器によって違ってきますが大まかに入力したボタンの数だけ攻撃が発生しますが、
本作は武器は一種類、アクションも話を進めてもレベルを上げても基本変わりません。
その上で派手さを優先されているためか特定の入力以降が勝手に連撃となり
一応回避でキャンセルはできるのですが微妙にラグが発生するため
下手に連打すると連撃が発生し回避が間に合わないといった事が多発します（連打癖のせいもありますが）
しかもとあるスキルを取得すると回避後も攻撃入力が継続可能となり一見有用に思えるのですが
最後の攻撃は回避でキャンセル不能な大技なため、攻撃→回避→攻撃（最後）となると相手が攻撃動作中の場合はほぼ被弾します。
敵は平気でスーパーアーマーで攻撃を差し込んでくるためどうしても攻撃動作と噛み合ってないと思ってしまいます。
じゃあ2撃目辺りで止めればいいじゃんとなるのですが、
せっかく派手に動けるアクションで行動を制限させても楽しくないとなってしまうのです。
本作は防御がなく基本的に敵の攻撃をいなすのは回避がメインとなるのですがこの回避がだいぶ曲者で、
回避はジャスト回避をすることで一瞬スローモーションになり反撃のチャンスと思わせてくれるのですが
敵はいたって普通に連撃を継続してくるので回避を継続させないといけません。
むしろスローモーションでリズムを崩されて以降の回避が上手くいかないといった事が多々ありました。
似たようなものとしてSEKIROの弾きのような能動的な防御やターン交代を期待してしまうのですが
本作のジャスト回避のリターンは（全くないわけではないが）かなり薄く、むしろアクションを阻害している要因にも見えます。
また、ボスはそこまで強いと思えるものにはまだ会ってはいないのですが一部のボスの挙動が気になりました。
こちらとの距離を詰めてくる動作が基本的に超スピードの突進、攻撃が届かない大ジャンプ、瞬間移動などと
こちらの反撃を許さない、回避のタイミングを取らせないものが多いように思われました。
そして特に酷かったのがこちらの攻撃を受け付けない、端的に言ってしまえば無敵状態になるボスが存在します。
別にアクションゲームではよくある話なのですが、本作のような死にゲーでは再戦のたびに
その無敵時間を見せられる羽目になるため、これもテンポを阻害している要因となっています。
正直まだ気になる点はあるのですが、
ありそうでなかった西遊記をモチーフとしたシリアスなアクションであり
一作目として見るならば相当レベルが高いゲームであることには間違いないです。
ただ私のスキルの低さもあるのでしょうが、どうしてもリズムよく・気持ちよくプレイしたい人間としては気になる方が多い作品でした。</t>
  </si>
  <si>
    <t>更像《仁王》而非典型“魂”。我本就不适应《仁王》的战斗，所以这作也没对上电波。节奏很快，但各动作衔接却不顺，常在“此时就该接这个”的瞬间吃不到输入，操作感别扭。不了解中国神话时，剧情里会冒出很多陌生人物与四字熟语；不过就算只知道“猴子拿棍子打架”，也能玩得下去。地图上“看似能去却被隐形墙拦住”的地方太多，是我最大的不满。</t>
  </si>
  <si>
    <t>动作打击手感；Boss战斗节奏；地图路线；空气墙可达性；中国文化宗教语言审美</t>
  </si>
  <si>
    <t>JP-P-138</t>
  </si>
  <si>
    <t>積みゲーもたくさんあるし、年末の割引とかになってから買おうかなとか思っていたけど我慢できずに買っちゃったよ。結果買って大正解だった。バリエーション豊かなボス、美しくも過酷な大地、原作を生かした悟空（厳密にはネタバレになるからあれだが）の多彩なアクション。中国ではすでに原神やゼンゼロ、鳴潮といったアクションゲームは存在していたけど本格的なアクションコンシュマーでAAAタイトルは（自分が知る限りでは）今作が初になるのかな？このゲームは中国というとてつもないパワーを秘めた国家がゲーム業界でさらなる頭角を現す先鋒となるゲームなのかもしれない。そしてそれは今のゲーム業界をより多様化させ新しい刺激となってくれることを願っている。</t>
  </si>
  <si>
    <t>本来想等年末打折再入手，但还是没忍住买了。结果证明买得值。它或许会成为“开路先锋”的那类作品，也许能为当下的游戏行业带来更多元的新刺激——我希望如此。</t>
  </si>
  <si>
    <t>JP-P-139</t>
  </si>
  <si>
    <t>ゲームとしてとても高評価です。
ソウルライクが好きなので、SEKIROくらい難しいのを期待していましたが
そこまで高難易度というわけではないにもかかわらず満足できました。
【印象】
ソウルライクが生まれる前の難しいアクションゲームに回帰したかなという印象。
ソウルライクによくある初見の攻撃が避けれず、ワンパンで死ぬということはないです。
アクションが得意な人なら初見～数回で討伐可能なボスが多い印象でした。
難しいかと言われれば難しくはない、がゲームに慣れてない人にとっては難しそうでいいバランスだなという感想です。
（ウォーロンがやりたかったのコレだったんだろうな～～～～）
序盤でなんかボス弱くてつまらんな～って人は少し我慢して進めましょう。
ちゃんと強くなってくるので。
【戦闘システム】
戦闘システムは、スピード感と言い「仁王」に少し似ているかなと感じました。
殴って殴って避けて、殴って殴って殴って避けて、というようなテンポです。
ひたすら避け続けてチクチク削るゲームではないため、殴るのが好きな人にはお勧めできると思います。
【ストーリー】
ストーリーに関しては、他レビューにある通り中国神話を知らないと置いて行かれます。
知見がないといきなりよく分かんない人が出てきたり、よくわからん四字熟語を言いまくります。
（ソウルライクやる人はストーリーなんて在ってないようなもんですし、あまり気にならないかと…ｗ）
西遊記をちょこっと知ってて、サルが棒振り回して戦ってるんだ～くらいでも楽しめるは楽しめます。
これを機に原作の悟空も知ってほしいです。西遊記のイメージが強いですが、実はぶっ壊れて強いので。
【気になった点】
行けそうでいけないところがめちゃくちゃあります。
よくある岩が置いてあって登れないとかではなく、普通に降りれそうな段差が見えない壁のせいで降りれないです。
ここだけなんか上手く出来なかったのかなーと思いました。
（これ気になるの日本人だけなんですかね？あんまり話題に上がってなかったので…）</t>
  </si>
  <si>
    <t>作为游戏本身非常出色。我喜欢魂类，原本期待接近《只狼》的高难度，实际难度没到那样的高度，但玩得很满足。
【印象】更像回到“魂like诞生之前”的那种硬派动作。没有那种初见必死，被一拳秒掉的情况；动作好的玩家往往初见到几次内就能过很多 Boss。说它“很难”并不准确；对不熟悉动作的人来说又不至于太容易，平衡得不错。
【建议】如果觉得序盘 Boss 弱有点无聊，请再坚持推进一段，后面会明显变强。
【不满】后期 Boss 太硬，连段太长。角色的普攻较弱，体系要求用普攻攒槽→用强攻输出；但普攻打不中就攒不到槽。虽然中途能解锁“原地蓄槽”的技能，但要按住按钮，稍被打到或恰时回避失败就会被打断；后期很多敌人的连段又很长，招与招的衔接很短，导致很难插入普攻，挫败感强。恰时回避窗口短，常常像“看运气”。如果既有回避又有防御就好了（法术里有一次性的“壳”，但不能连用）。此外，升级对角色数值加成很小，无法堆出“高攻/高防/大血量”的无脑玩法。
【总评】如果你能喜欢上它的画面，手感与世界观，会很快乐。卡关时就先把悟空的操作练到手顺，记住敌人的连段，剩下的交给运气吧（笑）。</t>
  </si>
  <si>
    <t>画面美术场景；动作打击手感；Boss战斗节奏；难度挑战；推荐价值判断；西游悟空符号</t>
  </si>
  <si>
    <t>JP-P-140</t>
  </si>
  <si>
    <t>ダークソウルみたいな感じのゲームだと思ってたら、実際にやってみたら全然違ってました道なりに進み出会った敵を順番に倒していく、と言うのはダークソウルと同じなのですが、戦闘での戦いの感触はダークソウルとはかなり程遠いですこのゲームはガードがないので、敵の攻撃を凌ぐ手段は回避のみとなります遠距離攻撃に限ってはガードができることもあります道なりに進むゲームなのですが、そこら辺に見えない壁があるので、そのせいで簡単に道に迷います、ジャンプすれば行けそうな場所でも見えない壁のせいで行けなかったりとか、紛らわしいです、行動できる範囲がかなり限られています自キャラの成長システムはそれなりに充実してるので、敵と戦ってレベルを上げるのは結構面白いです装備や強化素材なども充実してるので探索でそう言ったものを見つけるのも結構面白いですグラフィックはかなりいいですね正直に言うと思った程ではないけど、これはこれで楽しいので、おすすめしますゲーム全体の完成度はかなりいいです因みにストーリーもかなりしっかりしてて、とても面白いです</t>
  </si>
  <si>
    <t>原以为像《黑暗之魂》，实际完全不是。基本是沿路推进，依次打遇到的敌人——但这种玩法也有趣，完成度很高，剧情也扎实，推荐。</t>
  </si>
  <si>
    <t>整体完成度；推荐价值判断</t>
  </si>
  <si>
    <t>JP-N-141</t>
  </si>
  <si>
    <t>これほど世間(中国)の評価とかけ離れた感想は初めてだったので初レビュー。納得のいく難しさを作ることが如何に高レベルな仕事か痛感しました。まず武器と攻撃手段が貧相。攻撃がイチイチ無駄な動きばかりで隙が出来すぎる。苦痛。カメラワークが悪く、障害物で敵が見えず、当然攻撃も見えなくなる。苦痛。敵は複数で遠距離攻撃してくるが、こちらは碌な遠距離攻撃がない。苦痛。仁王2で言うところの妖怪技は基本1戦闘で1回程度しか使えず存在感が薄く、ハクスラ要素もないため雑魚と戦闘するモチベーションが上がらない。苦痛。同じ様な風景を行ったり来たり。せめて全体マップくらいは用意すべき。苦痛。登場するボスは納得のいかないディレイ、無理やりな攻撃軌道と当たり判定が多い。苦痛。と思ったら法力&amp;回復のゴリ押しで倒せるボスもいるため納得のいく難しさ(楽しさ)を得られない。ゲームは簡単でも難しくても楽しさを得るもの。仕事ではない。1章序盤の通常マップと一部のボスから違和感を感じ、2章の唐突な雷音ゲーで見限りました。ストレスしか溜まらず、ただただ苦痛しか感じない苦行なので全く楽しくない。</t>
  </si>
  <si>
    <t>这次写第一条评，因为它与（中国）舆论的落差太大。要把“令人信服的难度”做出来有多难我很清楚，但本作并未让我信服。从新手 Boss 起就有违和，到第 2 章突然变成“打雷节奏游戏”时我彻底失望。压力大却不带来乐趣，只有痛苦。</t>
  </si>
  <si>
    <t>JP-M-142</t>
  </si>
  <si>
    <t>I am half Asian...so i like this game 100%</t>
  </si>
  <si>
    <t>JP-P-143</t>
  </si>
  <si>
    <t>とうとうクリア。トロコンと、写真撮影で二周目を。今までほかのゲームでも写真機能はあったが使おうとすら思わなかったが、このゲームで初めて風景を撮影したいと思うほど綺麗。山、仏像、建物と凄い。DLCが楽しみ</t>
  </si>
  <si>
    <t>终于通关，准备白金并用拍照模式刷二周目。虽然别的游戏也有相机功能，但我从来没想用过；这作是第一次让我想“想把风景拍下来”。山，佛像，建筑都美得惊人。期待 DLC。</t>
  </si>
  <si>
    <t>JP-N-144</t>
  </si>
  <si>
    <t>SEKIROのいなしを回避にして、ゴッド・オブ・ウォーを足した感じのゲーム。ソウルライクに寄せているせいか、戦っていても爽快感はほとんどない印象。正直、圧倒的高評価というほど面白い、という訳ではない。プレイすればするほど荒が目立ってくる。圧倒的好評という評価は恐らく中華勢の高評価の嵐が原因だと思われる。またフィールドで移動できる場所がわかりにくく、かつ探索要素は基本的にほとんどない為、一本道と考えて問題ない。しかしグラフィックは間違いなく最高峰、かつ中国でなければ作れないであろう本物の西遊記を遊べる。エルデンリングのようなゲームを想像しているのであれば回れ右、中華の雰囲気にどっぷりと浸かりたいなら買ってもいいだろう。</t>
  </si>
  <si>
    <t>像把《只狼》的“弹反”改成回避，再叠加《战神》。因为靠拢魂式，战斗偶有糟点，但总体很稳，演出极佳。不是《艾尔登法环》那种开放世界；若想沉浸中式氛围，可以考虑入手。</t>
  </si>
  <si>
    <t>JP-P-145</t>
  </si>
  <si>
    <t>グラフィックだけのゲームです。フィールドの登れそうな段差や奥に行けそうな場所、探索したいと思わせるような見た目をしているのに謎の壁に阻まれて先に行けないストレス。それなら最初から行けないようなフィールドデザインにしておけよと。アクションもダークソウルシリーズや仁王シリーズ、ゴーストオブツシマなどと比べると稚拙な作りで、爽快感のかけらもありません。武器の種類が少なすぎるんですよね。なので戦闘に幅もありませんし、絵的な部分も代わり映えしなくて棒でポコポコ殴ってるだけでつまらない。グラフィックは最先端でも、ゲームの中身は10年前って感じ。</t>
  </si>
  <si>
    <t>这是“一款只有画面”的游戏。看起来能翻越的台阶，能深入的路径，实际都被隐形墙拦住；敌人套路少，画面也缺乏变化，打起来就是拿棍子捅来捅去，很无聊。画面虽前沿，玩法像十年前。</t>
  </si>
  <si>
    <t>画面美术场景；动作打击手感；地图路线；空气墙可达性；推荐价值判断</t>
  </si>
  <si>
    <t>JP-N-146</t>
  </si>
  <si>
    <t>一般向けレビュー・難しいとされているエルデンリング等のゲーム程の難易度はない・アクションが苦手な人でも、何回も死ぬのに抵抗がなければクリアできるレベル・世界観は陰鬱でも陽気でもない・エルデンリングは難しそうでやっていない/やったけど心折れて辞めた人にも、おすすめできるフロムファン向けレビュー〇中盤時点でのゲーム内容への感想・アクションはフロムよりは少し大味、ブラボから銃と変形攻撃をとりあげ、セキロウの弾きのような面白さのあるジャスト回避を取り入れ、溜め攻撃に遊びを入れたような仕上がり・ジャスト回避はかなり中毒性があって、無敵フレームがエルデンよりわずかに短い事も相まって回避しているだけで楽しい・基本道中はおまけで、ボス戦がメイン・難易度は低め、フロムの初見～5回目までで倒せるレベルのボスのラッシュをやっているようなゲーム・レベル上げは、本体強化ではなくやれる技が増えていくスタイルなので、難易度気にせずガンガンレベルを上げれて楽しい〇おすすめできるか・確実に面白くはあるが、フロム信者がフロムゲーと並ぶぐらい評価できるかと言われると怪しい、現代基準で見たデモンズソウルくらい・低めの難易度のおかげで、プレイ感覚が空いても全く問題はないことから・時間の余裕は関係ない・お金に余裕があるなら絶対買い、金欠ならスルーでも全然良いレベルだと思いました</t>
  </si>
  <si>
    <t>面向大众的简评：难度没有到《艾尔登法环》那一档；就算不擅长动作，也可以多死几次慢慢过去。对没时间的人/新手也能玩。时间不是问题——有预算就买，手头紧就等等也行。</t>
  </si>
  <si>
    <t>JP-P-147</t>
  </si>
  <si>
    <t>フロムゲーをごちゃ混ぜにした感じのゲーム。それらと比較しても全体的に面白いが、超えるということは無さそう。良い点は、ほぼフロムゲーのような感覚でプレイできるところ。残念なところもあるが、決してその劣化版にはなっていない。こっちの方が好きという人も中には居るはず。悪い点は、見えない壁がある故に、探索面がかなり面倒。行ける場所と行けない場所がはっきりしていないためストレス。構造が似ている場所が多く、迷う。二又に分かれた道の二択を外すと元の場所に戻ってこれない。（ソウルシリーズなどのように探索において親切設計ではない）隠しエリアのフラグが攻略情報無しでは難しすぎる上に、真エンディングに繋がる。（やらないと損レベルな内容、おまけ程度ではない）字幕が小さく、漢字も難解で読めない。そのため映像に集中しにくい。ストーリーは基本謎。メタスコア低めですが、はっきり言って８６点以上はあります。</t>
  </si>
  <si>
    <t>像把 From 的几作混合到一起。总体很好玩，但也谈不上超越。优点：演出强，Boss 出彩，动作爽；缺点：文本中有难懂的汉字，影响阅读；剧情也偏谜语人。即便 Metascore 不高，我个人要给 86 分以上。</t>
  </si>
  <si>
    <t>演出角色怪物设计；动作打击手感；Boss战斗节奏；推荐价值判断；中国文化宗教语言审美</t>
  </si>
  <si>
    <t>JP-P-148</t>
  </si>
  <si>
    <t>ストーリーは少し難しいけどプレイはめちゃ楽しいElden Ringはわたしにはちょっと難しすぎたんですけど、このゲームはほどよく歯ごたえがあってアクション初心者さんにもおすすめできる感じでした。God of Warとはまた違ってボス戦が多めで、ボスごとにちゃんと特徴があって、戦うたびに「どう攻略しよう？」ってワクワクさせられるのもポイントです。バランスがちょうどよくて、遊びやすいと思いました。本当に楽しくて夢中になれちゃうゲームなんですけど、独特な表現がけっこう多くて、ストーリーの会話がちょっとだけわかりにくいところもあるかな～なんて…それでも誰でも十分楽しめると思います。オススメです！</t>
  </si>
  <si>
    <t>剧情有点难懂，但玩起来非常好玩。《艾尔登法环》对我太难了，这作更易上手。虽然有些独特表达让剧情对话偶尔不易懂，但基本谁都能玩得开心。推荐。</t>
  </si>
  <si>
    <t>难度挑战；推荐价值判断；剧情叙事理解</t>
  </si>
  <si>
    <t>JP-P-149</t>
  </si>
  <si>
    <t>1週目クリア　総評75点ぐらい (敵図鑑が翻訳完遂してたら80点)
西遊記のその後を描いた非常に出来の良い二次創作といった感じの作品
使いまわしボス無し！広大な景色！手の込んだムービー有り！と7500円の価値は確かにあったが・・・
遊んでてうーん微妙だなあと思った部分もいくつかあったので記載
・戦闘バランス
終盤になるとボスが物凄い密度で攻撃してくるためロ―リング回避しながら通常攻撃を行うソウルライクのような戦い方になる
こちらの通常攻撃は長めの5連撃になっており最後まで通さないとダメージがあまり出ない
だからと言って5連撃全部入れようとすると高確率でボスに差し込んで殴られる　こちらと向こうの動きが噛み合っていない
特にラスボスは敵だけ楽しそうに両足突っ込んだ強さでそんな動きするならもう最初からソウルライクで作れ・・・！と思った
・マップが本当に広い
ゲームが進行するにつれどんどんマップの規模が大きくなっていく
開放感と広大な景色は文句なしに素晴らしいが導線が薄めなのも相まってそれはもう疲れる
しっかりと行き止まりに報酬を設定しているので肩透かしは無いがそれでも疲れる
他のレビューで言われる見えない壁については視覚的な開放感とのトレードオフだと思えたのでそこまで気にならなかった
・ストーリー
西遊記を詳しく知らない人は置いていかれるぐらい登場キャラの過去に関する解説が無い
加えて主人公が一切喋らないので物語上での没入感が薄め
西遊記を隅から隅まで知っている人間へ向けた作品だと考えれば仕方がない部分ではある
・カメラワーク
全体的にカメラの動作が独特で駄目な人は本当に駄目だと思われる
カメラがボスの激しい動きに追従しきれず画面外から攻撃が飛んでくることもしばしばあった
これらのマイナス理由により80点ぐらいかなという感じ
とはいえ「気合い入れて作りすぎて少しだけ空回りしたんだろうな」と好意的に捉えられるぐらい作り込みが細かいゲームなのでやはり買って損は無いと思います</t>
  </si>
  <si>
    <t>一周目通关，综合约 75 分（若怪物图鉴完全翻译能给到 80）。像是“讲述《西游记》之后”的高完成度二次创作。没有重复 Boss！风景辽阔！过场讲究！对得起 7500 日元。但也有些微妙之处：
·战斗平衡：末期 Boss 攻击密度极高，打法会变成一边翻滚一边夹普攻的“魂式”。普攻是较长的 5 连，不打满伤害不高，但硬要打满又很容易被 Boss 反打，双方动作节奏不合拍。最终 Boss 尤其夸张，让人想“既然都做到这份上干脆从一开始就按纯魂去做吧”。
·地图极大：随进度越做越大，开阔感与景致很棒，但因为引导稀薄，实际游玩很累。
（其余细节略）</t>
  </si>
  <si>
    <t>画面美术场景；演出角色怪物设计；动作打击手感；Boss战斗节奏；难度挑战；地图路线；引导迷路单线；整体完成度；西游悟空符号</t>
  </si>
  <si>
    <t>JP-P-150</t>
  </si>
  <si>
    <t>トレハン要素のない中華版仁王全体的な難易度は低めでカジュアル向け（一部強い敵もいる）隠し装備を除くと武器は棍しか無いのでアクションは単調ボスの種類はかなり多く、モデルの使い回しもほとんどない超絶神ゲーというわけではないが、自信を持っておすすめと言える一作気になった点・敵の攻撃ターンが非常に長く、こちらが攻撃できない場所から一方的に攻撃してくることもありうっとおしい・ボス部屋の端が見えない壁で区切られている（半透明な壁とか霧にしてほしい）・字幕小さすぎ＆字幕背景なし（雪山で白文字とか全然見えない）</t>
  </si>
  <si>
    <t>没有刷宝要素的“中国版《仁王》”。整体难度偏低但也有强敌。除隐藏装备外基本只有棍一类武器；地图用隐形墙分隔。字幕太小且没有背景，在雪山这样的白场景几乎看不清。</t>
  </si>
  <si>
    <t>画面美术场景；难度挑战；锁定视角；地图路线；空气墙可达性；探索隐藏支线</t>
  </si>
  <si>
    <t>JP-P-151</t>
  </si>
  <si>
    <t>すごく良かったです</t>
  </si>
  <si>
    <t>JP-P-152</t>
  </si>
  <si>
    <t>产品已退款
												他の人もレビューで書いてるけど、いくらか自分で思ったことを書いてみる。■良い点・グラフィックがとても美麗・「西遊記」としてではなく、「西遊記」のその後を描いたシナリオ・期待を持たせてくれる演出、展開■悪い点・発売前の宣伝や煽り等で非常に期待を持ったが故にガッカリ・攻撃が単調（コンボ派生が極端に少ない、武器種が棍しかない為か）・美麗なグラフィックを自由に探検出来ると思いきや、見えない壁で阻まれ実質一本道・チュートリアルが終わって第一章が始まるかと思いきや、前触れもなくゲームが落ちる（エラー表示もなし）・思っていたほどのハイスピード感はなく、敵だけ速くこちらはのろのろとした動き・翻訳が不十分、インストールに大容量、"ソウルライク"ではない、etc...購入は配信等で見てから判断でもいいと思う。こんな他人のレビューだけだと不満でしょ？ただ言いたいのは、これだけの話題作なのに、体験版が出ていないのがその証左かとは思うよ。</t>
  </si>
  <si>
    <t>【已退款】很多人写过了，我补几句。优点：画面华丽，演出强，音效好。缺点：战斗节奏与判定并非我喜欢的那类；没有体体验版令人遗憾——以这样的话题度，本应推出体验版。</t>
  </si>
  <si>
    <t>画面美术场景；音乐音效配音；演出角色怪物设计；Boss战斗节奏；判定反馈；推荐价值判断</t>
  </si>
  <si>
    <t>JP-P-153</t>
  </si>
  <si>
    <t>グラフィックも敵の動きも最高です。</t>
  </si>
  <si>
    <t>画面与敌人的动作都极其优秀。</t>
  </si>
  <si>
    <t>画面美术场景；动作打击手感</t>
  </si>
  <si>
    <t>JP-P-154</t>
  </si>
  <si>
    <t>武器は棍棒一つのみで、スキルはいくつかあるけどどれも隙がデカくて被弾しまくるMAPもない上に、一見広大な「オープンフィールド風」に見えるが実際は似たような景色、似たような雑魚多数派一の一本道こっちの攻撃や防御は、ステータスアップしても微増というか、敵の火力、攻撃範囲(全体攻撃回避前提)、攻撃速度、体力が全て自キャラの数十倍ある状態敵は気持ち良さそうにDMCのダンテ並みに動き回るなかこっちは、ひたすら紙装甲、もっさり動きのダークソウルやってる感覚が序盤・中盤・終盤まで永遠続いていくボスラッシュばかりな上に、攻撃手段が棍棒のみで変わらずボスの一方的な攻撃ターン(無敵or高所で攻撃不可)が続き後隙が少ないせいで、２～３発殴って、ずっと敵のターンが続く何故これが高評価されてるのか全く理解が出来ないレベルただ個人的には「セールで2千円以下なら…う～ん」って思うレベルで映像”だけ”はキレイ</t>
  </si>
  <si>
    <t>只有一把棍；技能虽多但后摇大，容易被打。没有地图；所谓“看起来很大的开放世界”其实限制很多。老实说我完全不明白它为何能被高分称赞。个人结论：若打折到 2000 日元以下也许可以考虑；唯一无可挑剔的是“只有影像很美”。</t>
  </si>
  <si>
    <t>难度挑战；地图路线</t>
  </si>
  <si>
    <t>JP-P-155</t>
  </si>
  <si>
    <t>５５時間一週クリアしました。今６６時間実績６８個を解除しました。評価させていただきます。ネタバレ注意してください。自ら到着したエンディングは、 主人公が孫悟空の六根を継ぎますが、緊箍児を外しました。これがグッドエンディングですかそれともバッドエンディングですかといわれていて、自分の意見では、グッドエンディングだと思います。なぜなら、このエンディングで主人公が孫悟空の緊箍児を外して、てんていの支配から逃れるという孫悟空の願いを果たしたと言っても言い過ぎではないからです。 そもそもおれ自身も、孫悟空のように体を死なせてもいいほど自由を追い求めている1人です。確かに斉天大聖としての孫悟空は、水簾洞の猿の子孫を守って、てんていの支配を抗いますが、闘戦勝仏としての孫悟空は、三蔵法師の取経旅を保って、旅に出た妖魔を倒して、旅の８１難を乗り越えます。この二つの身分の中で、おれが斉天大聖である孫悟空に似ていて、すなわち永遠な自由に追求して、不公正な権威を反抗する人です。したがって、黒神話悟空の孫悟空は、斉天大聖である孫悟空として強調されているから、ストーリー展開がそんなに悪いわけではありません。逆に、自由を求めれば体が死んでもいいという精神は、今までのおれ自身の人生に信じていることです。これからゲーム性を議論させていただきます。マップ＆レベルデザイン：5/10。見えない壁の数が多過ぎます。したがって全図探索の欲望が挫けます。困ったことに、見えない壁が多い一方で、探索不充分のせいで見出さないイベントが存在します。なお、道しるべという役割を果たす建物がほとんどないから、つい道が間違ったんです。ボスデザイン：8/10。重複するボスが殆どありません。でも、ボスの技も知らずにもう倒しちゃったほど簡単なボスが多いかもしれません。ちなみに、 顕聖二郎真君と大聖の残躯はマジで神ボスです。立ち回りがすっごくいいし、難易度も適当だし、達成感もいっぱいこもっています。 顕聖二郎真君との法天象地の戦い、大聖の残躯が主人公の酒を飲んでみる意外性がとっても深い印象を与えてくれました。美術デザイン：9/10。道しるべとしての建物が少ないことは、恐らくシーンデザインのせいです。メリットと言えば、やはり 斯哈哩国と紫雲山の景色、三尖両刃槍の見かけです。遊記と坐禅を通じてキャラと景色を目に映れるのは素晴らしいです。ちなみに、道具、遊記などで振り仮名をふる気づかい、ありがとうございました。戦いに関わる装備、武器、武芸、神通など：7/10。天命人の剛強が弱すぎるから、やはりDODGEを推奨します。使える武器は棍と槍だけなので少し簡単かもしれません。棍法については、やはり棍勢を蓄積するのが最も大切なことです。しかし劈棍の3つ蓄の攻撃距離は少し近い、立棍の派生技が少し弱い、刺棍の見切りが少し難しいかもしれません。おれ自身は、一週目で劈棍と立棍、主に劈棍でボスを倒しました。 顕聖二郎真君を倒した後で獲得した三尖両刃槍を使うために、刺棍を鍛えました（三尖両刃槍 IS SO BROKEN!） 。神通と言えば、一週目で定身術、氣行術と虎の変化をよく使います。DLCがでるまで二週目は刺棍、安身術、禁字術、金剛術と猿の変化を主に用いる予定です。まとめると、個人的な評価は7-8/10、多分7.5ほどです。今年のゲームが全体的に良いわけではないから、2024のGOTYと称えます。アクションRPGゲームの好きな方は、是非お試しください。ご覧になって頂き、本当にありがとうございました！</t>
  </si>
  <si>
    <t>55 小时一周目通关；目前 66 小时解锁 68 个成就。优点与不足很多（内含剧透）。最喜欢的场景与造型是：斯哈哩国，紫云山，以及三尖两刃枪的外观。能够在“取经/坐禅”的过程中把人物与风景尽收眼底，非常棒。</t>
  </si>
  <si>
    <t>画面美术场景；演出角色怪物设计；中国文化宗教语言审美</t>
  </si>
  <si>
    <t>JP-P-156</t>
  </si>
  <si>
    <t>「黒神話：悟空」は本当に素晴らしいゲームです！グラフィックが美しく、一部のシーンは映画のように感じられ、光と色が非常によく表現されています。戦闘システムもとても爽快で、難易度が高くて何度も失敗しますが、それが逆に挑戦したい気持ちを引き立ててくれて、達成感があります。ストーリーは『西遊記』と東方の神話を組み合わせていて、妖怪の真善美と仏の自己中心的な欲望を探求していて、とても興味深いです。ボスを倒したりストーリーを進めたりするたびに、キャラクターや世界観についてより深く理解できるようになります。全体として、このゲームは本当に試してみる価値があります。見た目が素晴らしいだけでなく、内容も豊かで、プレイをやめられなくなります！</t>
  </si>
  <si>
    <t>确实很棒。画面漂亮，如电影般的灯光色彩让人沉浸；整体内容也扎实，值得一试。</t>
  </si>
  <si>
    <t>画面美术场景；推荐价值判断</t>
  </si>
  <si>
    <t>JP-N-157</t>
  </si>
  <si>
    <t>ゲームの美術デザインはきれいばってん　美術デザインを排除したら全然のくそゲームになるっちゃ妖怪のデザインは少なかしボスのデザインは完全にうんこやん　ボスの存在は　ただお前がゲームクリアできんためにおるだけよゲームがクラッシュするのは基本毎回で　二時間プレイしたら絶対クラッシュするばい</t>
  </si>
  <si>
    <t>把美术拿掉就是一塌糊涂；妖怪设计偏少；很多敌人只是为“让你过不了关”而存在。几乎每两小时必崩一次，稳定性很差。</t>
  </si>
  <si>
    <t>JP-P-158</t>
  </si>
  <si>
    <t>とても面白いですが、クリア後の周回で敵を強くするかどうかは選ばせてほしいです、プレイヤー側は早々に攻撃力や防御力が頭打ちするのに敵だけどんどん強くなる。        現在6周目ですが、さすがにもう自分の腕前では限界です。ボスが痛すぎ硬すぎ。それからもう一つ気になるのがアクセサリーが弱すぎる、周回で5つまで装備できるようになりますが6周目だと装備しても全然楽になりません。できればアプデで４周目くらいで敵のステータスの上昇が止まるようにしてほしいです。</t>
  </si>
  <si>
    <t>很有趣。不过希望周回时能让玩家选择“是否继续增强敌人”。到第 6 周目，即便穿了装备也不轻松。建议把敌人属性提升上限控制在第 4 周目左右。</t>
  </si>
  <si>
    <t>JP-N-159</t>
  </si>
  <si>
    <t>見た目は神ゲー、中身はクソゲー</t>
  </si>
  <si>
    <t>外观堪称神作，内核让人失望。</t>
  </si>
  <si>
    <t>JP-P-160</t>
  </si>
  <si>
    <t>一周目寄り道しまくった後ようやく二周目突入！！他の方もおっしゃる通りソウル系ではなく、SEKIROにドはまりした方なら凄く楽しめるとは思う。中国棒術ならではの連撃の快感もさることながら、時折パリィ等で敵に痛い一撃をお見舞いしたときのよっしゃ感はこういうチャンバラゲームならでは。筆者は刺棍型一本でやってるが、6000位のカウンターをぶち込んだ時のドーパミンはリアル金丹を飲んだ時に匹敵するだろう。戦闘は棒術以外にも、 ボスにも効く動きを止める術やらデコイ隠れ身、自分に有効な結界術や西遊記お馴染みの分身の術や変化の術 と多彩で、様々な戦術を組み立てることができる。回避の無敵時間もSEKIROやブラボのステップより明らかに長いので、アクション下手な方でもおねロリ（回避連打）で何とかなる。敵の強さもこういった高難易度系で理不尽と思えるようなボスは少なく、 複数体ボス であろうとも気分良くプレイすることができた。惜しむらくは、他の方もおっしゃる通り日本語版は図鑑がまだ未翻訳部分があるところ。だがプレイ中のテキストは全く違和感もなく読めて楽しめた。二章の琵琶法師の語り唄はいい翻訳に乗せてノリノリで聞けるので必聴。後はパリィ面は連撃中前提故、発動しにくいとか判定が当たらないとか意見はあるが個人的には慣れてくればそこまで気にはならなかった。刺棍だと射程も長いので当たるしね。 ただし百眼魔君、てめーはダメだ。  胴体蜃気楼かお前は。最後に思い返してもに中国製ゲームとは思えない程楽しめたどころか、ELDENRINGのDLCよりストレスなく終えれた（あくまで個人的な評価！）ので、今年のGOTY狙える大作だとは思う。取り合えずシナリオ好きでもアクション好きでもプレイしてみようよ。いつの間にか50時間溶けてるから！</t>
  </si>
  <si>
    <t>一周目大幅探索后终于进二周目！不算传统魂，倒更像只狼；作为大作有望冲击年度。无论喜欢剧情还是动作，都值得试——不知不觉 50 小时就没了。</t>
  </si>
  <si>
    <t>动作打击手感；探索隐藏支线；推荐价值判断</t>
  </si>
  <si>
    <t>JP-M-161</t>
  </si>
  <si>
    <t>すぐに落ちる。</t>
  </si>
  <si>
    <t>很快就会崩溃。</t>
  </si>
  <si>
    <t>JP-P-162</t>
  </si>
  <si>
    <t>すべてにおいていい</t>
  </si>
  <si>
    <t>几乎一切都好。</t>
  </si>
  <si>
    <t>JP-P-163</t>
  </si>
  <si>
    <t>トロコンまで遊んだので感想 -良かった-・戦闘システムとレベルデザイン・魅力的な敵クリーチャー・美しいマップ-残念-・『見えない壁』⇒特にゲーム序盤がストレスに感じる。ひざ丈ほどの岩も、明らかに進めそうな坂道も見えない壁に阻まれてぜんぜん進めない。マップが基本的に自然環境の中なのもあり、道のつながりが分かりづらく、探索の楽しさが削がれる。・一部ボスの遅延行動⇒戦闘は基本的に『ターン制バトル』。その中で、相手の攻撃をジャスト回避、弾き、見切り反撃などでいなして攻め続けることに重点を置いている。殴り合いは楽しいが、問題は所謂『お前だけ楽しい』攻撃を持っているボスの存在。飛び上がって空中から40秒くらいビームを打ち続ける、無敵になって転がり続ける、なんか遠くに行ってぜんぜん帰ってこない。こういったこちらから一切干渉できない無敵遅延行動を使ってくるボスが無視できないレベルで多く、氏にゲーなレベルデザインも相まって戦闘がだるく感じる瞬間が数多くあった。・一部NPCと会話する際のテンポの悪さ⇒話しかけるボタンが表示される→ボタンを押す→そのNPCのちょうど目の前の特定のポジションまで自動でゆ～～っくり歩く時間にしてみれば2～5秒ほどだが、序中盤以降に出会って最後まで何度も会話するすることになるため、ここの微妙なテンポの悪さは地味にストレスに感じる。・スキップできないムービー⇒割と周回前提なゲームだが、飛ばせないムービーが多い。長いものだと2分以上持ってかれる。他にも、40秒くらい観た後にスキップ可能になるものや、ボス戦前に毎回(氏ぬたびに)15秒くらい観せられるものなど、周回時にだるさを感じることは多い。戦闘面が良くできたハクスラなだけに、前述のNPCの挙動も合わせて地味なテンポの悪さが目立ってしまう印象。・↓以下残念ポイント列挙敵の硬さに対してバフの効果時間短すぎ弓使ってくるモブストレスすぎ飛ぶタイプの敵全部楽しくないがちプレイヤーの攻撃中の強靭が低すぎて道中の雑魚戦でだるくなりがち初見だとストーリー半分も頭に入ってこない(筆者が浅学なだけ)-総評-悪目立ちする要素は多いけれども楽しい。まだ遊びたい。 *これから実績100%を見据えてゲームを始める人は、出来るだけ目についた植物は収穫するようにしておくと後で虚無の苦労せずに済みます</t>
  </si>
  <si>
    <t>白金后感想。优点：战斗系统与关卡节奏，极具魅力的敌人与生物，美丽的地图。遗憾：某些收集要素略繁琐；建议从一开始就顺手采集路边植物，后期做成就会省掉大量空耗。</t>
  </si>
  <si>
    <t>动作打击手感；Boss战斗节奏；地图路线；探索隐藏支线</t>
  </si>
  <si>
    <t>JP-M-164</t>
  </si>
  <si>
    <t>took me 32 hours to clear this game. it was challenging but satisfying. i love the graphic and combat, but the story was not well narrated. esp, im not quite familiar with the journey to the west, and the story is basically assuming that you've read it (well, it's for cn ppl anyway, that's understandable).</t>
  </si>
  <si>
    <t>JP-P-165</t>
  </si>
  <si>
    <t>世界一カッコいい猿、世界一カッコいい仏像
クリア済みレビュー
ソウルを意識はしているがソウルライクかと言われるとなんとも言えないアクションゲーム。
開発は西遊記を元にしたMMOに携わっていたこともあり、本作からは相当な西遊記への愛を感じる。
まず何といってもグラフィック。
UE5を遺憾なく発揮しており、特にライティングが映える。
戦闘時以外はUIが全て消えることもあってステージを見て回るのが楽しい。
何気なく置いてある仏像が異常に手が込んでいたりして、その手の愛好者はフォトモードだけでお腹一杯になれそうだ。
猿の装備はどれもカッコよく、この世界によく合う。
好きな装備で歩いているだけで満足…と言いたいが本作はアクションゲーム。敵がわんさか出てくる。
種類はこの手のジャンルにしてはかなり多く、一匹一匹に小話が付いている。
これが読み物として面白い。新しい敵が出てくる度にこいつはどんな出自なんだろうとワクワク出来る。
戦闘について。
通常攻撃と三種の型の重攻撃、法力が4種と特殊アイテムと妖怪の手を借りる技がある。
かなり出来ることは多い。この手のジャンルにありがちな、ボスばかり派手な行動をしてプレイヤーは切ってはコロリン切ってはコロリン…という風にはならない。
開幕全力を出せばボスの体力が半分なんてこともざらにある。が大味にもなっていないのが本作の凄いところ。
要所要素難しいボスがいるため、しっかり行動を見切る必要もある。このバランスは非常に良いと感じた。
ステージについて。
本作はステージ制で、最初こそ一本道にボスラッシュの印象が強いが、中盤以降広さに驚く。
1ステージだけで1本のゲームが作れるんじゃないかと思う程広い箇所もあり、マップがないため迷う人には厳しい。
ソウルと違って死んでもデメリットが無いため探索に緊張感はあまり無い。
ストーリーについて。
西遊記の知識を前提とした作りで、知らないとついていけない…が開幕のムービーで心を掴まれない人はいないはず。
更に各章合間のアニメーションはどれもクリエーターが別(おそらく)で、とんでもなく豪華。特に3章終わりは必見。
展開についていけなくても十分楽しめる。
また翻訳の出来は素晴らしく、国産ゲームだと言われても違和感がないほど。
気になった点
出来ることは多いが幅は狭い戦闘。
法力等は全てクールタイムが長め。開幕撃ち切ってしまえば出来ることは通常攻撃でゲージを溜めて重攻撃を撃つ…の繰り返し。
この通常攻撃が最初から最後までずっと同じモーションのため飽きる。
これを当てるためインファイトになりがちで、結果的に間合い管理がほぼ無いに等しい。
ステージデザインの出来にムラがある。
透明な壁に阻まれる箇所が多く、その境界線が分かり辛い。グラフィックがリッチな分こういう部分が目立つ。
総評
西遊記への愛を非常に感じる作品。
背景の作り込みが凄く、フォトモードだけで満足してしまう人もいるはず。
アクション面にもう少し幅は欲しかったが、ボスばりの派手な行動がとれるためメリハリはある。
難易度はそれなりにあるが、世界観が素晴らしいため色んな人におススメしたい。</t>
  </si>
  <si>
    <t>“世界上最帅的猴子，世界上最帅的佛像”。通关后评。虽然参考了魂，但未必能称作“魂like”。回避，蓄力与法术的相互作用做得有趣；缺点与 2 段变形的敌人有关（略）。总体而言，只要喜欢它的画面，手感与世界观，就会很快乐。</t>
  </si>
  <si>
    <t>JP-P-166</t>
  </si>
  <si>
    <t>歯ごたえのあるゲームです。ゲームバランスが絶妙なのでつい夢中でリトライをくりかえしてしまいます</t>
  </si>
  <si>
    <t>很有嚼劲的一款。平衡拿捏得好，让人不由自主地反复重来。</t>
  </si>
  <si>
    <t>JP-P-167</t>
  </si>
  <si>
    <t>最上級のゲーム体験を得られるアクションRPGこのゲームは西遊記の物語を深く知っている人か、あるいは物語自体はふわっと理解できれば楽しめるという方にオススメができます。逆に知識はなくても考察したい方や物語の流れが分からないとモヤモヤする方は日本人の場合あまりお勧めはできません。アクションRPGという点においては過去の名作たちに引けを取らない満足感と高揚感を得られます何より圧倒的な数のボスの存在が飽きさせること無く、また常に新しい選択肢を得られる戦闘スタイルによってクリアの瞬間まで面白くプレイできるでしょうそういった圧倒的なゲーム性の良さも相まって、間に挟まるムービー、章ごとのアニメーションでは分からないなりに世界へのめり込み自分だけにとっての解釈を持つことができます。西遊記知らないよって人にだって楽しめる、そんなゲームだと思いました。</t>
  </si>
  <si>
    <t>顶级的动作 RPG 体验。无论是深懂《西游记》，还是只知道个大概，都能沉浸进世界并形成“只属于自己的理解”。即便不懂《西游记》，也能享受。</t>
  </si>
  <si>
    <t>动作打击手感；西游悟空符号；原典知识人物关系专名</t>
  </si>
  <si>
    <t>JP-N-168</t>
  </si>
  <si>
    <t>取返しのつかない要素が多いのが残念</t>
  </si>
  <si>
    <t>“错过会永久错过”的要素太多，这是遗憾。</t>
  </si>
  <si>
    <t>JP-P-169</t>
  </si>
  <si>
    <t>おお、仏陀よ！我が毛根を根絶すべき仏敵と申されるか！
いわゆる転がって避けてぶん殴るアクションRPGです。
ですが、このゲームは色んな面で差別化が図られています。
こちらには「貯め切れば強制よろけが取れる」チャージ攻撃や「強制力の高い」魔法（法術）が存在しており、それぞれの種類は少ないですが役割が明確に分かれています。
で、これらを駆使する事で、ボスの大技を封印したりデコイへと空振らせたりしながら、攻め継続を仕掛けたり仕切り直したりする訳です。
もちろん際限なく使える訳でもないですし、基盤になるスキルポイントも限定されています。
なので、効くのはどれだ、サイクルはこうだ・・・とボスの攻略を能動的に組み立てていく。これが実に楽しい。ボス以外に俺も楽しいボス戦。画期的です。
ラスボス様は流石の鬼畜っぷりですが、原点に帰って避け合い刺し合い（そう、こちらからも刺せるんです！）スキルの化かし合いを総動員すれば、スカッと倒せます。
「削り切るまで避け続けた結果、ボスが先に死んで俺が死ななかっただけ」ではないんです。
これを、実に実に風光明媚な古代中国式仏教遺跡巡りの中で繰り広げる。雰囲気抜群です。
そして曲者ぞろいの章のボスを必死で倒し抜いた時に観る、仏教寓話めいたアニメーションと、章を一枚絵に美しくまとめ上げた絵巻物の静謐。
なんというか、本当に浸るという言葉が相応しい、そんな冒険譚になっています。
さて、褒めまくりましたが。　問題児でもありまして。
まず、ホスピタリティ。KBやマウスのリマップがとことん不自由で、WASDかESDFかみたいな「え？DOOM時代の論争またやるの？」的な選択幅しかありません。
マウスのサイドボタン？使えません。KBのカーソル周辺？使えません。
これが、WASDで誤爆しまくる勢には本当に厳しい。仏陀の試練其の一です。
次に、強化などロールまわり。これが第一章では軒並み使えない。装備強化に至っては全六章中の第三章中盤ですってよ奥さん。
なので、みんなが遊ぶ序盤では誰も彼もが皆一律火力不足で、ストレスが無駄に溜まってしまう。
チャージ攻撃や、棍勢というチャージ攻撃を即出せるゲージへの理解が浅いと、本当に拷問みたいな時間が続きます。そしてチュートリアルはちょびっとテキストだけしかございません。仏陀の試練其のニです。
もうね。魂斗羅・ザ・ハードコアの開発チーム「機知GUY」が遺した名言、「1面は買った人全員が遊ぶ。だから一番楽しくなくてはならない」を緊箍児に刻んで、リードデザイナーの頭にハメてギリギリやりたい。
しかも、装備強化が一周目は事実上禁止。罠。これが仏陀の試練其の三。
強化の素材と装備生成の素材が「共通している」為、迂闊に強化しちゃうと後半～終盤の強力な武器防具が作れなくなっちゃうんですね。上位用の「金の糸」って奴がどうやら出現数固定なので。
俺ですか？もちろん涎垂らしながら好きなビジュアルの鎧を強化しまくって、きっちり地獄を見ましたよ・・・
あと、皆さん仰ってますが最適化がアレ。仏陀の試練其の四です。
俺は7950X3D/RTX4090/32gb DDR5＠6000CL28と喜捨を済ませていたので、1440p@DLSS3FGで下限120fpsで遊べました。
ですが、逆を言えばここまでPCゲーのカルマに殉じても120～140fps帯を彷徨ってる訳で、ちょっと重すぎやしませんかってのが本音です。Zen3/Ampere世代の方々の苦労が忍ばれます・・・
ネイティブフルスクリーンが無いとか、Denuvoで足枷も本当にゲンナリ。
最後に、一部ボスが本当にヤバい。もうね、強制剃髪でデジタル仏門かよ！？って散々思いましたわ。
四龍の最後のサンダーなあの方とか、中華ドラマ標準装備の白衣ロン毛最強野郎とか、もう思い出しても胃が痛い。
ラスボスに至っては俺の酒まで飲みやがって・・・
まぁ長々と書きましたが、お勧めできるゲームなのは確かです。
抜群の空気感、戦いは白熱。棍しか使えないのにあの手この手で差別化を実現する手腕もお見事。
主人公が猿ゆえのハイテンポ感、避ければ隙を突けるのは勿論、見切ればゲージが貯まってガッツリ有利を奪えるご褒美感も素敵。
西遊記を読んだり、懐かしのドラマを観た方なら、そりゃもう覚えのある連中が業に囚われる様を方々で目にするでしょう。
その中を、徹頭徹尾喋らない猿＝俺（Half Lifeなんかと同じストーリーテリングですね）が巡り渡り、山口貴由先生の悟空道（ゴクウロード）よろしく棍で軒並みバッキャム！していく。この爽快感。
是非遊んで下さい。</t>
  </si>
  <si>
    <t>所谓“翻滚躲避然后上去一棍”的动作 RPG。不过本作在很多方面做了差异化：有“蓄满就能强制硬直”的重击，以及“控制力很强”的法术，虽然种类不多，但分工清晰。用好它们，可以封印 Boss 的大招，骗招打空气，持续施压或重置节奏。这种“主动构建攻略循环”的过程非常有趣。最终 Boss 很地狱，但只要回到本源：互相博弈，刺入空隙，技能斗智，也能畅快地打赢。不是那种“我一直苟着躲，最后它先死了”的游戏。</t>
  </si>
  <si>
    <t>动作打击手感；Boss战斗节奏；难度挑战；推荐价值判断；外部资料依赖</t>
  </si>
  <si>
    <t>JP-P-170</t>
  </si>
  <si>
    <t>一周クリアしたのでレビューそつのない作りの3Dアクションゲームだとも思いますジャスト回避が気持ちいいですパリィはないけど自分硬化して攻撃した敵が怯む動作があるのでこれで我慢しましょう探索要素はあんまりないですオープンフィールドではないので透明な壁が至る所にあるのが残念ですせっかくのきれいな風景なので思う存分探索したかったところです一点気になるのはコントラストが高過ぎなところでしょうかRadeonだからなのか分からないけど明るいところは眩しく、暗いところはつぶれてしまっていましたそういう時は設定のグラフィックで「全体の光」を「低」にしましょう神ゲーではないけど3Dアクションゲームが好きなら十分楽しめると思います</t>
  </si>
  <si>
    <t>一周目通关后来写评：做得四平八稳的 3D 动作。恰时回避手感很爽，没有招架。偶有卡顿，建议在图形设置里把“全局光照”调为“低”。称不上神作，但喜欢 3D 动作的人足够玩得尽兴。</t>
  </si>
  <si>
    <t>JP-M-171</t>
  </si>
  <si>
    <t>このゲームすげーもてはやされてるけど、クソゲーだぞ</t>
  </si>
  <si>
    <t>这游戏被捧得太高了，其实就是“粪作”。</t>
  </si>
  <si>
    <t>JP-P-172</t>
  </si>
  <si>
    <t>ストーリークリア済み面白かったですソウルライク苦手な人にはオススメしずらいかも</t>
  </si>
  <si>
    <t>已通主线，很有趣。对不擅长魂类的人可能不太好推荐。</t>
  </si>
  <si>
    <t>JP-P-173</t>
  </si>
  <si>
    <t>グラフィックは凄まじいけど、アクションゲームとしては凡作という感じ。ガードの概念はなく、パリィも一応あるけどボス戦では基本的にヒット＆アウェイで少しずつ敵HPを削っていく感じの戦闘になる。ジャスト回避もあるけど、タイミングを見極めるのがけっこう難しい。武器も如意棒だけだし、戦闘は単調になりやすい。爽快感とか達成感みたいなのはあまり感じなかった。マップは森林、砂漠、雪山、洞窟、山岳とバリエーションがあるけどどこも同じ景色ばかりで途中から飽きてくる。原作通りなのかもしれないけど、ボスのデザインが微妙。昆虫モチーフのボス多すぎ。虫をそのままデカくしましたみたいなボスばかりでもうちょっとデザイン凝ってほしかった。ストーリーは西遊記の知識があること前提で進んでいくので、ネットで調べながら、なんとか理解できる感じでした。不満点は多いのですが、比較的小規模なゲーム会社が処女作にしてこれだけのゲームを作れることに驚き。UE5を使ったグラフィックは圧巻でした。レイトレをこれだけフル活用したゲームって、ほとんどないのでプレイできて良かったです。ただ不満点も多いので、メタスコア81点は、すごい納得できる点数ですね。</t>
  </si>
  <si>
    <t>画面惊人，但作为动作游戏只是中规中矩。没有防御的概念，虽有类似弹反的设定，但在 Boss 战里几乎用不上；多数强敌都靠回避。尽管不完美，我依然觉得能玩到这样的作品很难得；Metascore 81 分——我觉得挺合理。</t>
  </si>
  <si>
    <t>画面美术场景；动作打击手感；Boss战斗节奏；难度挑战</t>
  </si>
  <si>
    <t>JP-P-174</t>
  </si>
  <si>
    <t>自初中看到宣传片后一直在期待，终于在高考后有机会和条件玩到了。他可能在某方面不完美但作为第一个国产3a来说已经给人 带来相当大的震撼和惊喜了。对于我来说他不仅有国产3a的特殊意义，还是我的第一个通关的动作类游戏，更是一个让我真正意识到第九艺术吸引力的作品。虽然在黑猴出来之前玩过其他3a作品，但没有一款像黑猴让我如此痴迷。本人在游戏发售后花了3天时间通关，期间没碰过其它游戏甚至刺客信条都快通了但黑猴出后一分钟都没碰过了，并不是说黑猴一定比刺客信条好玩，只是我如今在黑神话上找到了小时候玩造梦西游的快乐。在次世代的引擎加持下，儿时的童年幻想成了真。在游戏里我看到了各路鬼怪妖魔，战胜了诸多强敌，相较于影视作品，游戏让我更直白地知道了他们的强大与奇异之处，见到了各处惊奇美景让我知道了中国的传统风景不仅仅是课本上的一张图片。130G的大小装下了我的大圣美也装下了三年寒窗对他的期许。在我的心中，它会占据最佳游戏的位置。谢谢游科的努力与奉献，满足我对3a的期待。【女儿国和四妹的DIC求求了快点出，已经开始三周目了孩子等不及了！！我又想吃好的了！！！！！】</t>
  </si>
  <si>
    <t>画面美术场景；动作打击手感；推荐价值判断；西游悟空符号；童年记忆情怀；本国媒介路径；国产3A身份期待</t>
  </si>
  <si>
    <t>JP-P-175</t>
  </si>
  <si>
    <t>免费获取的产品
																牛逼游科牛逼</t>
  </si>
  <si>
    <t>JP-N-176</t>
  </si>
  <si>
    <t>クラッシュゲー最初のムービーからクラッシュしてその後もボス戦でクラッシュボスと戦ているとき勝ちそうになったあともクラッシュ普通に冒険ができない100以上はクラッシュしてます早くアップデートしてください</t>
  </si>
  <si>
    <t>“崩溃之作”。从开场动画就崩溃；Boss 战也崩；快赢的时候更崩。根本没法正常冒险。已经崩溃 100 次以上了，请尽快更新。</t>
  </si>
  <si>
    <t>演出角色怪物设计；Boss战斗节奏；崩溃闪退；本国媒介路径</t>
  </si>
  <si>
    <t>JP-M-177</t>
  </si>
  <si>
    <t>TAIHAOWANLA</t>
  </si>
  <si>
    <t>JP-N-178</t>
  </si>
  <si>
    <t>ゲーム自体は可もなく不可もなくだが、最適化不足なのか数十分に1回必ずクラッシュしたまにブルースクリーンが発生します。ほかのゲームは問題ありません。頻繁のクラッシュを乗り越えつつやっと4章突破。例の13世代・14世代CPU問題としてはBIOSを最新にした後に交換対応をしてもらい新品の14900Kを使用しての状態です。 □ゲーム時CPU360ｍｍ簡易水冷　35～40℃GPU本格水冷　27～35℃14900KRTX4090DDR4 64GBレイトレ入れつつ4KでFPS 90～110前後-------------------------------------------------------------------【追記】2024//09/08どの辺がクラッシュの原因かまだ確定してないですが、Windows11上でこのゲームだけ仮想デスクトップにして、ゲーム内設定のグラフィック項目をカスタマイズせずに「推奨設定」のままでやるとクラッシュしなくなりました。</t>
  </si>
  <si>
    <t>游戏本体不算好也不算差，但可能因为优化不足，每隔几十分钟必崩一次，偶尔还会蓝屏。把 Windows 设置为“虚拟桌面”，游戏内图形项用“推荐设置”，之后就不再崩了。</t>
  </si>
  <si>
    <t>画面美术场景；优化帧率；崩溃闪退；推荐价值判断</t>
  </si>
  <si>
    <t>JP-P-179</t>
  </si>
  <si>
    <t>すっごくいいゲーム</t>
  </si>
  <si>
    <t>非常棒的游戏。</t>
  </si>
  <si>
    <t>JP-P-180</t>
  </si>
  <si>
    <t>思っていたよりアクションが面白い。PVを見たときは攻撃が軽すぎると思ったけど軽快で爽快。ボスはそこまで強くない！グラフィックはめちゃくちゃ良い。ムービーからシームレスに戦闘になっても違和感ない。ミニマップとかの類がないので方向音痴は死ぬ！オープンワールドだけど実質一本道。マップの探索し甲斐はない。悲しい。字幕はちゃんとローカライズされてて違和感なく楽しめる。中国語CVかっこいい。</t>
  </si>
  <si>
    <t>动作比想象更好玩。预告里以为攻击很轻，但实际轻快爽利。Boss 没那么强！画面一流。不过地图几乎是单线；探索乐趣不足，遗憾。字幕本地化到位，中文配音很帅。</t>
  </si>
  <si>
    <t>画面美术场景；音乐音效配音；动作打击手感；Boss战斗节奏；地图路线；探索隐藏支线；引导迷路单线；推荐价值判断；中国文化宗教语言审美</t>
  </si>
  <si>
    <t>JP-P-181</t>
  </si>
  <si>
    <t>戦闘の爽快感とテンポ感が良すぎる。敵も強いけどプレイヤーの能力も強いのでそこまで詰まることなく遊べる。西遊記を知らない自分でも楽しめたし、各章のクリア後に西遊記有識者の考察を聞くのも面白い。今年一の神ゲー</t>
  </si>
  <si>
    <t>战斗爽快，节奏极好。敌人很强，但玩家也很强，因此总体推进顺畅。就算不懂《西游记》也能享受，通关后再看解说也很有意思。今年最佳之一。</t>
  </si>
  <si>
    <t>Boss战斗节奏；西游悟空符号；原典知识人物关系专名；外部资料依赖</t>
  </si>
  <si>
    <t>JP-M-182</t>
  </si>
  <si>
    <t>パリィや弾きなどの特定の操作に成功しないとボスが絶対に倒せない、など理不尽なルールが存在しないシンプルなアクションゲームであり、最近の操作性の流行を上手く取り入れている。デスペナルティもそれに合わせているようであり、何度も気兼ねなく挑戦を繰り返すことができる。プレイに集中できるよう作られた良いボスアタックゲーだと思える。</t>
  </si>
  <si>
    <t>没有“必须成功招架/弹反才能打赢”的苛刻规则，是一款简单纯粹的动作游戏。失败成本低，反复挑战非常自在——称得上设计用心的 Boss Rush。</t>
  </si>
  <si>
    <t>动作打击手感；Boss战斗节奏；难度挑战</t>
  </si>
  <si>
    <t>JP-P-183</t>
  </si>
  <si>
    <t>一周目真エンドまでクリアしました。難易度は道中はそうでもないんですがボスは普通に死にます。ソウルライクなゲームをクリアしてきてる自分でも滅茶苦茶苦戦しました・・・。五章辺り？からどんどんボスの隙が無くなっていくので忙しいです。ただ慣れるとガンガン少ない隙にぶち込めるようになって楽しくなるので折れずに頑張ってください！</t>
  </si>
  <si>
    <t>一周目真结局已通。路上不算难，但 Boss 会把你打死。习惯系统前会觉得缝隙很少；熟悉后就能在极短窗口里持续输出，越打越好玩，别放弃。</t>
  </si>
  <si>
    <t>JP-P-184</t>
  </si>
  <si>
    <t>1周のみクリア。
売上や評価がかなり異常なことになっているが、数字に見るほど完璧なゲームではない。
いい面と悪い面がハッキリしていて、総合的にはダクソやSEKIROの類似品としてオススメできるが、
それらの悪い面もそのまま表出しているので決して万人向けの完璧なゲームではないと思われる。
自分はSEKIROにそういった理由でNoGoodを出したので一応こちらも。
ちなみに「東洋版ゴッドオブウォー」という評価がありましたが、
自分が思うにゴッドオブウォーほどの完成度はありません。
神話を舞台にした点とマップ移動の感覚は確かにGoWに近いが、戦闘のそれはまだまだです。
ただし、神話へのリスペクト具合はこちらが勝るかも。
西遊記の世界を超美麗グラフィックで堪能する
ムービーを見ても分かる通り、グラフィックが凄まじいことになっています。
ベンチマークも公開しているので、PCスペックに不安がある人は購入前に確認するとよいでしょう。
自分は西遊記をほとんど知らないままプレイしていたので雰囲気だけを楽しんでましたが、
元ネタへの敬意は日本語翻訳の質まで含めてかなり力が入っています。西遊記好きにはたまらないかも。
爽快感のあるSEと感触でアクションを堪能する
ジャスト回避と限定的なカウンターを織り込んだアクションでスタイリッシュに戦えます。
とにかくボスが多かった。しかも使いまわしは1体もいないように思います。
大ボスを倒すたびに実績解除しますが、その実績が80個以上あると言えば分かりやすいかと。
地味なことですが、戦闘時のいろんな効果音がかなり気分いいです。ジャスト回避時や大技ヒット時などクセになる。
理不尽なボスも多い
それだけ多ければクソボスもたくさんいるもので、こちらに遠距離攻撃手段がほぼないのに
やたら空を飛びまわったり距離を放して突進だけを繰り返すボスが結構います。
また自身は姿を隠しつつ攻撃を行う、こちらのミス待ちのような遅延行為もそれなりに。
終盤にもなると敵の長すぎるコンボに回復チャンスを見出せずジリ貧に追い込まれます。
こっちの攻撃モーションが割とクソ
ぶっちゃけ低評価理由の大部分がコレ。
通常コンボは全5段ですが、最終段まで出さないと結構貧弱なくせに、
4段目は6連撃の長いモーション、5段目はジャンプ攻撃と、とっさの回避やカウンターに繋げられないモーションになります。
スキルツリーを進めると「回避後もコンボの段階を維持する」というのが解放されますが、
これのせいで余計に4段目と5段目が出したくない場面で出てしまったりするので被弾に繋がります。
カウンター攻撃として虚実撃というモーションがありますが、これを出すための条件が地味に難しく決め打ち以外で使いづらい。
頻繁に使うジャスト回避である瞬身が攻撃面にあんまり寄与しないというのもジリ貧の原因になりがち。
リトライマラソンが時々ある
死亡時はSEKIRO等と同様に、直前に触った篝火的なセーブポイントからリトライとなるが、
ここからボスまでやけに長いことが時々ある。
なぜ全ボスの手前にこれを置いておかないのかちょっと理解に苦しむ。
総合80点のゲーム。西遊記好きなら90点か
戦闘アクションが個人的にはストレス感じまくりだったのでそこまで評価できないが、
ストーリーと雰囲気、神話へのリスペクト具合は壮絶なものがある。
またネタバレは避けるが、数多のクソボスを超えた先で出会ったラスボスは本当に素晴らしかった。
全ての不満が清算されるような良ボスだと思うのでこれで80。西遊記ネタが分かるならもっと楽しめるので90は行くと思う。</t>
  </si>
  <si>
    <t>只通一周目的总体印象：优缺点都很鲜明。可以把它当作“像《黑魂/只狼》的作品”来推荐，但它的短板也会如实显现，并非适合所有人。与《战神》相比，完成度还没到那个级别；不过对神话的尊重程度可能更高。希望能同时提供回避与防御；升级对面板提升有限，无法靠“堆防御/血量/攻击”硬怼。</t>
  </si>
  <si>
    <t>动作打击手感；整体完成度；推荐价值判断</t>
  </si>
  <si>
    <t>JP-P-185</t>
  </si>
  <si>
    <t>行動を覚えるまでは倒せなくてもどかしいが倒せた時の達成感が凄いのでおすすめします！</t>
  </si>
  <si>
    <t>在记住敌人动作之前常常打不过，让人着急；但一旦打过，达成感巨大，推荐。</t>
  </si>
  <si>
    <t>JP-P-186</t>
  </si>
  <si>
    <t>西遊記や中華ファンタジーが好きな人には95点、そうじゃない人には70～80点くらいのゲーム。物語に興味がなくソウルライクを求める人は多分買わないほうが良い。あと虫がキツい人も買わないほうが良い。かなりゾワッとするシーンがいくつかある。１周目真ENDまでクリア。掛かった時間はジャスト40時間くらい。探索あんまりやらない人は多分30時間くらいでクリアできると思う。プレイ感はソウルシリーズというより仁王2に近い。難易度は体感的に仁王2よりやや簡単。何も縛らず法術や道具を使いまくって戦えば隠しボスもそんなにハマったりはしないはず。ストーリーを完全に理解するにはある程度西遊記の知識が必要。孫悟空＝孫行者＝斉天大聖＝弼馬温、猪八戒＝猪悟能＝天蓬元帥、三蔵法師＝唐僧＝金蝉子など、特に説明もなしに別名がぽっと出てくるのでそれが理解できないとおいていかれる可能性が高い。理解できればストーリー自体はすごく面白い。オリジナル解釈も入れた独自の西遊記世界観を確立している。天命に関するスタンスはちょっと安能務っぽい。戦闘について打撃コンボ最終段が入れづらく爽快感が無いというレビューが散見されるが、回避しても打撃コンボ段階が保存されるパークを取得すればかなりマシになる。ただ、探索の面倒くささは結構しんどい。没入感を削いででもミニマップが欲しかった。</t>
  </si>
  <si>
    <t>如果喜欢《西游记》或中式奇幻，我给 95 分；不感兴趣则 70–80 分。对“战斗本身”有兴趣的人会更满意；探索比较烦，建议加入小地图。死亡不掉经验的天赋点出来后会好不少。</t>
  </si>
  <si>
    <t>Boss战斗节奏；难度挑战；地图路线；探索隐藏支线；推荐价值判断；西游悟空符号</t>
  </si>
  <si>
    <t>JP-P-187</t>
  </si>
  <si>
    <t>良ゲームだが、特に大きな不満点が一つ。それは地図が存在しないこと。一部を除いて分岐ルートが多くマップも広いが、確認できる地図が存在しません。そのため途中から探索が苦痛です。特に最終章は異常。極めて広大なマップでボスを探す必要があるが、なんのヒントも無く彷徨うはめに。あとは使いわましのボスと中ボスが複数体、残りは何の意味もない風景。行ける場所増やすなら小ネタやイベント用意しろよと。とあるアイテムを生かしたいのは分かるが、だからと言って無意味にマップを広げれば良いというものではない。もしプレイするなら、攻略サイトを見ることを強くお勧めします。</t>
  </si>
  <si>
    <t>好游戏，但不设地图是最大的遗憾。分岔多，地图宽，不给确认就不得不靠记忆；有些阶段的“绕圈找路”实在无谓。不是说地图一定要大——无意义地拉大只会让体验更差。实际游玩时强烈建议对照攻略。</t>
  </si>
  <si>
    <t>地图路线；引导迷路单线；推荐价值判断；外部资料依赖</t>
  </si>
  <si>
    <t>JP-M-188</t>
  </si>
  <si>
    <t>シナリオが意味不明すぎるのは最大の欠点であり、そもそも西遊記本体とはあんまり関係なく、独立とした世界観といっても過言でありません。それなのに破片的な情報しかなく、重要な背景補完である人物・妖怪の図鑑の一部は翻訳されていないため、かなり理解に苦しむ作品となります。ビジュアルはUnreal 5エンジンのおかげで画期的ですが、4090+13700KFの環境でもフル4kで高画質プレイすることは困難です。参考として設定は4K Cinematic／DLSS Quality／レイトレーシング on で50~70 FPSとなり、DLAAになると一気に30まで低下します。最適化で何とかできるでしょうか？以下ネタバレ注意:　ゲームシステムについて多種多様の変身機能がありますが、基本的にBOSS戦では一回しか使えず、実際実用的な変身も数個しかありません。一番気に入らないのは主人公の強靭度であり、軽い攻撃を受けても自分の攻撃が中断されて硬直状態となり、正直個人的に爽快感皆無と感じております。鋼強状態を付与する（どんな攻撃を受けても怯まない状態)防具は二週目の５章後半にしか作れず、その前に小黄龍など無敵時間が長すぎるボスでやる気が削られてしまいます。中国メーカー最初の大作として注目されていますが、西遊記・西遊記の同人作などに馴染みがない海外のプレイヤーからすれば、単純的にアクションゲームとしては及第点以下のゲームであると思います。</t>
  </si>
  <si>
    <t>最大问题是“剧情难懂”。它几乎与原版《西游记》无关，像是一个独立的世界观；对不熟悉“二次创作/同人西游”的海外玩家而言，单就动作性而言也就刚及格线。</t>
  </si>
  <si>
    <t>动作打击手感；西游悟空符号；剧情叙事理解</t>
  </si>
  <si>
    <t>JP-P-189</t>
  </si>
  <si>
    <t>プレイ時間６０ｈくらい。真エンドまで到達。西遊記はあまり覚えておらず、中国の妖怪の知識はほとんどなし。死にげー好きでほぼすべての死にげーをプレイしているがプレイは下手なため１ボスに５時間かかることもあったくらい。感想：　　非常に丁寧に作られた最高のアクションゲームでした。　ストーリーも半分程度しか分かっていないが雰囲気だけでも最高でした。　最後に難易度ですが、ボス戦は普通に死にげーレベルでしたね。追記：　適切な難易度で戦いたい人は、ボスは隠しもふくめてできるだけ１周目で倒すのがおすすめ。現在2週目3章だが、２週目はかなり難易度が下がり1周目で苦戦したボスも適当にプレイして勝てるレベルになっている。２週目はレベルアップを縛っている3章くらいまでのボスであれば時々気行術だけを使うくらいで他の術技は一切使わなくても余裕といった印象。</t>
  </si>
  <si>
    <t>约 60 小时，真结局到达。对中国妖怪几乎不了解。总体属于“喜欢受苦”的口味会更享受。某些章节只靠少量术技就能通关，法术强度确实高。</t>
  </si>
  <si>
    <t>动作打击手感；难度挑战</t>
  </si>
  <si>
    <t>JP-P-190</t>
  </si>
  <si>
    <t>どこまでやったかによって感想が違うだろうな～という印象。1章　次々とボスが出てくる、まるでボスラッシュのようなゲーム。2章　探索しがいのあるマップに、出てくるボスが毎回違ったモーションをしてきてとても作り込まれている。3章　広大な空間に雑に敵がぽつぽつ配置されていて行き止まりに何も置いていない所も多く理不尽なギミックなどがあり探索が苦痛。ボスをリトライするための篝火配置がやたら遠い。ボスは毎回違ったモーションをしてきてとても作り込まれている。4章　分岐の先に分岐がありその先に分岐があるようなマップになっていて発狂する。ボスは毎回違ったモーションをしてきてとても作り込まれている。5・6章　（白い目をしつつ）ボスだけは毎回違ったモーションをしてきてとてもよく作り込まれている。楽しかったと思うけどやったほうが良いよ！とは一概には言えない感じボスだけは毎回違ったモーションをしてきてとてもよく作り込まれている。と思います！</t>
  </si>
  <si>
    <t>感想会因推到哪一章而不同。第 1 章像连环 Boss；第 2 章开始展开探索；第 3 章开始从“把你按在地上揍”转向“会把你当成人打一打”。Boss 每个都有不同动作，打磨得很好。但是否“强烈推荐”，要看个人。</t>
  </si>
  <si>
    <t>动作打击手感；Boss战斗节奏；探索隐藏支线；整体完成度；推荐价值判断</t>
  </si>
  <si>
    <t>JP-P-191</t>
  </si>
  <si>
    <t>『エルデンリング』に比べると少しカジュアルな印象ですが、ゲームバランスはよく調整されており、何度か挑戦すれば倒せそうが続く。ストーリーなどは言っている事が難しくよくわからなかったが、それでも没入感が高く楽しめました。基本ボス戦の連続。約70時間で全実績を達成し、十分に楽しめました！ただもうちょっとド派手アクションが欲しかったのと通れそうで通れない見えない壁が多々あり少し気になった。アクションゲーム好きなら一度プレイしてみる価値ありです。</t>
  </si>
  <si>
    <t>比《艾尔登法环》更休闲一点，但平衡做得好，多试几次就能过。希望有更大的背包，少一些隐形墙。动作爱好者值得一玩。</t>
  </si>
  <si>
    <t>动作打击手感；空气墙可达性；推荐价值判断</t>
  </si>
  <si>
    <t>JP-N-192</t>
  </si>
  <si>
    <t>2024-09-05</t>
  </si>
  <si>
    <t>ノーマルとトゥルーエンドをクリア済み
良い点
UE5による美麗グラフィック
美麗グラフィックによって西遊記の世界に没入できる
武器が棍棒だけなのでモーションがメチャクチャ凝っていてカッコいい
何ラウンドかあるボスはフロムのように最初からではなく途中から再戦できるし、区切りでHPや回復薬も満タンで始まる
2対1のボス戦でも同時に攻撃してくることは少なく交代制で1対1になる
使いまわしのボスがいない
翻訳が丁寧で言い回しに違和感がない
マップが広くボスが多くて思った以上にボリュームがある
繰り返し挑戦してちゃんと見れば倒せる難易度でちょうどいい
ストーリーが進んでも折れないNPCイベントが何個かある
法術と借身と変化がある事で攻略の幅がある
デメリット無しでスキルやステータスの振り直しが出来る（これ大事）
死んでも失うものが何も無い
章をクリアした後のアニメのクオリティが高く見ごたえ抜群
アニメが終わった後の絵図が博物館レベルで凄い
西遊記を読み始めた
悪い点
マップが無い
（ミニマップは情緒が無いのでメニュー画面で絵図風のマップが見られるようにしてほしい）
字幕が背景に同化して見にくい
敵の登場時に出る名前にふり仮名がある場合が少なくて影神図を見ないと読み方が分からない
字幕で中国のことわざにルビが振ってあるが小さ過ぎてかなり見にくい
防具の強化は出来るのに武器の強化が出来ない
敵の毒が強い
取り返しのつかないイベントやアイテムがある
何で天命人が口をきけないのかが最後まで分からなかった
　以上
ラスボスの悟空はこれまでの集大成な正統派で楽しかったが、裏ボスの次郎真君はシステムが強くてストレスフルだったけどその後の大怪獣バトルが楽しかったのでまぁ許す</t>
  </si>
  <si>
    <t>普通与真结局都已通。后半敌人连段很长，招式衔接短，导致普攻难以插入，压迫感强。恰时回避窗口短，让体验更像“运气游戏”；希望能同时提供回避与防御。升级带来的属性提升很有限，无法堆出“高攻/高防/大血量”的无脑打法。</t>
  </si>
  <si>
    <t>JP-P-193</t>
  </si>
  <si>
    <t>おすすめはしますが・・・・良い・普通・悪いでいえば・・・・普通と言うのが正直な感想です。
下記は私の感想になります。（どちらかというとお気持ちですので参考程度で((+_+))
【良かった点】
美麗なグラフィックがムービー＆ゲーム画面で変わらないというのはとてもよかった。
ゲームシステムも意外とシンプルで私は回避メインでクリアしました。
アクションが単調と意見もありますが、逆に悟空の動きが手になじんできて、ボスの動きなどに集中が出来てそこもよかったかなと思います。
各章ごとにムービーが差し込まれ、ストーリーを理解してない(西遊記の本編を理解していない）なりに楽しめた作品です。
とにかく世界観がよいです。
【悪かった点】
とりあえず、後半のボスが強すぎる。。。。硬すぎるしコンボが長すぎる。
ここは少し残念でした。
うまい人は問題ないのかもしれませんが、敵が硬いうえに悟空の通常攻撃が弱すぎる。
通常攻撃でゲージを溜めて、強攻撃を当てダメージを稼ぐゲーム性ですので、通常が当たらないとゲージがたまりません。
途中でゲージを溜めるスキルも開放が可能ですが、ボタン押しっぱなしのため、敵の攻撃を受けたり、ジャスト回避を失敗すると解除されてしまうため、その辺も厳しいと思いました。
また後半の敵のコンボが長いのも通常攻撃を出しにくい原因ですし、結構、技と技つなぎが短いためストレスが半端ないです。
ジャスト回避フレームが短いため、プレイヤースキルというより運ゲーに近いので他の死にげーより絶望感が半端なかったです。ジャスト回避だと連続回避が出しやすいですが、通常回避だと２打目の攻撃に当たったりします。
（2段階変化の敵の場合は序盤でダメージを食らうとすぐにあきらめてました。）
せめて回避と防御両方があればなぁ・・・・・
(法術でモータルシェルのような防御はありますが、連続使用はできないです。）
あとレベルでキャラクターステータスはほとんど強くならないので、火力で殴る・高防御力・大量HPは出来ないのでご注意ください。
愚痴が多くなってきたので、総評としては・・・・・
グラフィック・ゲーム性・世界観がハマればたのしい作品かと思います。
詰まったら、悟空の操作が手に馴染むまで頑張って、敵のコンボを覚えつつ、最後は神に祈るのみ・・・
「デレろ～～～～」と(笑)</t>
  </si>
  <si>
    <t>总体上“推荐”，但更接近“普通”。以下只是我的个人感受，供参考：若能适应它的体系就会很快乐；若期待“防御/招架”为主的手感可能会失望。卡关时练熟操作，记住敌人连段，基本都能过去。</t>
  </si>
  <si>
    <t>JP-P-194</t>
  </si>
  <si>
    <t>2024-09-06</t>
  </si>
  <si>
    <t>ラスボス（not 裏ボス）をやっと倒せた。難しいと思う。歯ごたえがあるというべきか。難易度の選択がないゲームない、ビルドの幅が狭いので、レベルを上げる以外の救済措置がないのはつらい人にはつらい。単純にうまくなれってことだが。グラフィックや中華な雰囲気が最高。そし章の終わりに始まるアニメがよい。猪八戒が猪なところもよい。</t>
  </si>
  <si>
    <t>终于打倒最终 Boss（非隐藏）。难度高，且没有难度选项，只能靠自己变强。画面和“中式”氛围极佳；每章末尾开始播放的动画很棒；“猪八戒真是猪”的设定也很有趣。</t>
  </si>
  <si>
    <t>画面美术场景；演出角色怪物设计；Boss战斗节奏；难度挑战；探索隐藏支线；推荐价值判断；西游悟空符号；本国媒介路径</t>
  </si>
  <si>
    <t>JP-M-195</t>
  </si>
  <si>
    <t>日区好评率最低，说明这游戏是真好玩</t>
  </si>
  <si>
    <t>JP-P-196</t>
  </si>
  <si>
    <t>黒熊怪と白衣の秀士で一旦封印を考えましたが何とか撃破して進行しています。▼やったほうがいいこと・隠しボスは見つけて倒したほうがいい(進行すると戦えないボスあり)・最初はとりあえず技は増やさずに体力系にスキルは振ったほうがいい(消費減らしたりしたほうがいい)・攻撃パターンをみわけよう・NPCには話しかけておこう(拠点開放して防具強化するため)・壁を越えられれば以後は簡単(黒熊怪以降は個人的に苦労していない)(宝具なしで戦っていた)・ボスによっては特定の攻撃当ててしまうと形態移行が早くなるので注意(黒熊怪に赤潮で戦ったらHP半分行っていないのに第二形態になった)・広智はいいぞ▼プレイ中気になること・スペックは足りているはずなのに割とかくつく(狂虎戦、無白戦はかくつきが頻繁に発生した)</t>
  </si>
  <si>
    <t>卡在黑熊怪和白衣秀士时差点封盘，但总算打过去。建议：能找的隐藏 Boss 都去找并击破；尽早拿关键饰品/护甲；有些招式（比如“广智”）非常强。即便配置足够，也会偶尔卡顿，尤其是打狂虎，无白时更明显。</t>
  </si>
  <si>
    <t>动作打击手感；Boss战斗节奏；探索隐藏支线；优化帧率；Bug兼容硬件</t>
  </si>
  <si>
    <t>JP-P-197</t>
  </si>
  <si>
    <t>1週目、91時間プレイ時間、顕聖二郎真君と7時間の激戦を経て、真・エンディングに到達。頭目、妖王を含め、2体ほどの敵を除き、98%の敵を撃破。もちろん戦闘、ボスの数、アクションは一番の売りですが、もうElden RingとSekiroと単純比較しないでください。ストーリー、アニメーション、美術、音楽をもっと総合的な評価してもらいたいです。今後全て高難易度のアクションゲームは、フロムのパクリというのはノンセンス。本作もちろん、改善点も多くあります。（地図なしや見えない壁など）それも含めて、自分は90/100という評価です。デビュー作としては、近年これだけ高い品質、ガチャなし、課金なし、本当の「Final Product」完結しているのが、片手で数えるほどです。最も重要なは、久しぶり作品に込められている愛、情熱、こだわり、仏教の教義、人生の教え、哲学が全て、独自の表現からもたらすゲーム体験は自分にとって、本当に買ってよかったです。製作中の大型DLC、「黒神話・三部作」として次のタイトル「黒神話・姜子牙」、楽しみで仕方ないです。最後に、少しずれますが、Concordの件で「If you go woke, you go broke」。SweetBabyのコンサルを蹴って、素晴らしい、Game Science.</t>
  </si>
  <si>
    <t>一周目 91 小时，与显圣二郎真君鏖战 7 小时后达成真结局。除头目与妖王外只跳过了两只敌人。顺带一提，我很欣赏开发团队的取舍与态度（略）。总体点赞。</t>
  </si>
  <si>
    <t>JP-P-198</t>
  </si>
  <si>
    <t>マップ実装したら満点。</t>
  </si>
  <si>
    <t>如果加上地图，就是满分。</t>
  </si>
  <si>
    <t>JP-P-199</t>
  </si>
  <si>
    <t>SEKIROや仁王みたいなの勝手に期待してた自分が悪いんですけど、個人的に全然合わなかったです。3章まで行きましたが、アクションが単調でムービーも確かに綺麗だなーとは思いましたけど、あくびが出るくらいストーリーも頭に入ってきませんでした。自分の調査不足もあるので一概に全部ゲームのせいってわけじゃないのですが、西遊記なので悟空となって三蔵法師一行で旅をすると勝手に勘違いしてました。まぁ買うなら個人的にはフルプライスは辞めた方がイイかなと、思いました</t>
  </si>
  <si>
    <t>我擅自把它想象成《只狼》或《仁王》，结果完全不对电波。推进到第 3 章；还以为能扮悟空，跟唐僧一行一起旅行。要买的话我不建议原价入手。</t>
  </si>
  <si>
    <t>JP-P-200</t>
  </si>
  <si>
    <t>とりあえずクリアしたのでレビュー。プレイ時間60ですが付けっぱで丸々一日以上外出放置してたので実質30時間程度しかプレイしていません。西遊記(というより孫悟空)を題材にしたアクションRPG。　ストーリーは悟空が没後、復活させようと奮闘するプレイヤーが様々試練を乗り越えやがてその遺志を引き継いで二代目悟空となりその偉業を後世に繋げていくというわりと王道タイプの英雄追悼記。良かった点：1､希少価値の高いAAAクラスの中華ファンタジー。　海外は中華文化に対して疎く、この手の玄幻や武侠を題材にした作品はどこも制作していない。なので中華民族内での自作に期待するしかないのだが、シンガポールはゲーム業界後進国でまだまともな名作が出てないし、台湾や大陸も大手がソシャゲやMMOが主流でこの手の作品の数自体少ない、なので中華ファンタジーの大作をプレイしたいという願望を叶うのは中々難しい。この作品はそんな欲求も満たしてくれ大変貴重一作となっています。2､演出面へのこだわり。　四大名著の西遊記をベースにしただけのことは合って舞台設定は非常にしっかりしている。敵や登場人物の設定に関するバックストーリーが丁寧に描かれており読み物としてのクォリティーが高い。各章クリア時の短編アニメはメッセージ性が高く、作者の思い描く悟空像をうまく表現している。　ちなみに悟空のキャラ設定は原作だけではなく周星馳の映画シリーズなど2次創作から引用してるところもあってそれが一部の原作至上主義者からは悟空に対する冒涜だとして顰蹙を買っているが、作者にとっての悟空はそれを含めてものって考えれば個人的にはこれはこれでありだと思う。気になった点：1､マウス＋キーボード利用前提の操作感。　第一章の途中で金蝉に変身サせられた時、操作に違和感を覚えた人は自分だけではないはず。「なんで斜め移動は方向転換しながら向かうのではなく横スライドしていくんだ？」って。これってW Sで前後、A Dで横移動させながらマウスでカメラワーク調整する前提に設計された操作性なんですよね～まぁこれだけなら特に問題ないのだが、一部の技コマンドが明らかにコントローラーの利用想定していないせいで非常に使いにくくなっています。　例えば蓄力しながらの瞬身する操作、これは右クリックを押しっぱなしにしながらスペースを押す前提で設定されているのだがコントローラーの場合はY押しっぱなしでAかBを押す必要がある、パッドでY押しながらAを押させるのはどんだけの無理難題なのか利用者なら説明しなくてもわかりますよね…普通そんな操作を要求するアクションゲームはりません。同じように撹棍中に寸退するにはX押しながらY押しを要求させていて(右クリック押しながら左クリックの設計)これもやりにくい。　ほかには宝箱や霊雲の近くで戦ってる際R2がアイテム拾い機能によって固定されて押しながら発動する術などが一切使えなくなる現象が起こりますがこれはパッド操作限定です、というのもキーボードの場合術は１～４に個別で振り当てられているのでパレッドキー押しながらの操作を必要としてないから起こりえません、つまり制作者がR2の機能迎合について一切考慮していなかったわけです。　さらに4章の大ボスはロックオン箇所に当たり判定がなく、両側の足をプレイヤーに自力で狙う操作を要求してきます。これもマウスでエイムしながら戦うことが前提とした設計であり、パッドではカメラを動かしながら戦うのはそもそも構造上不可能なのでロックオンしていても攻撃を当てられる位置取りを探すという違う攻略法を模索する必要がある。　これらの事例から分かるようにこの作品の操作性やバランス調整はすべてキーボード＋マウスでプレイすることが前提であり、コントローラーによる操作は形のみの対応で一切最適化行われていないのは丸わかりです。まぁPCユーザーからすればPCゲーをプレイする際にマウス＋キーボードを使うのが当たり前だからちゃんとPCユーザー向けの設計を作ってくれたことには評価していますが、それがパッド向けの最適化を蔑ろにしていい理由にはなりません。PS5などの据え置き機にもサービス提供している以上コントローラー向けの最適化もちゃんと行うべきだと思います。2､行けない場所のカモフラージュが下手。　他のユーザーも言ってますけど、この作品とにかく見えない壁が目立つんですよね。行けそうなのに空気に阻まれて行けない場所が多すぎで没入感を大きく損ねていて非常に勿体ない感じがします。行けない場所をあからさまに分かるようにするだけでもかなり解消できたかと思います。明らかに駄目な点：1､手抜き工事感丸出しの後半ステージ。　第五章や第六章、いくらなんでも駆け足すぎない？第五章マップサイズ自体が第一章と同等程度しか無いのにもかかわらず道中3割ほどがNPCの会話を聞きながら通り過ぎだけなので非常に短い。(２～４はどれも数時間掛けて探索するボリュームがあったのに対して５章は４０分程度で終わってしまったの流石にたまげた)第六章でせっかく筋斗雲で自由探索できるようになるのだが肝心のマップがすかすかすぎで全く探索しがいがないんだよね…(ストーリーも短過ぎでただのエピローグとしか思えん)おそらくは財政が尽きかけて急いで仕上げたせいだと思いますが、もう少しバランスよく配置してほしかった。2､やっちゃいけない間違え方をしてる翻訳。　グローバル展開してる大手の翻訳企業に翻訳を委託してるだけあってクォリティーがやや高めに纏まっていますが、中国語(しかも古文混じりの)の翻訳はやはり難しいようで英語吹き替え版の悟空のボイスやセリフがただのちんぴらとしか思えない状態だったり、ところどころの訳が原文の意味を捻じ曲げていったりとわりと酷い部分もある。　日本語字幕も最終装備一式を獲得したときの「好！好！好！」(いいぞ！いいぞ!!いいぞ!!!)という喜びを表す好声三連を「よ～しよし、よしよし、よしよし」という赤様をあやす定型文に訳すというギャグをかましたり、気力をあえて誤解を招きやすい体力(スタミナを日本語に直訳したら確かに体力なんだけども日本人にとっては原文の気力のほうがわかりやすい)に訳したりと結構ツッコミどころが多い。　その中でも一番許せないのは第二章クリア後の人形劇で最後に霊吉菩薩が「人も、妖も…」という悟空への問いかけの最後の部分で。原文では「衆生各有根器、持優劣為次定、可乱来不得。」で直訳すると「衆生みな根器を持ち、優劣を持って順次を定める行為は乱りに行ってはならぬ。」となる。しかし実際の日本語字幕では「衆生みな根器を持ち、決して乱すことのできぬ優劣がある。」となっている。この字幕の解釈は原文の真意を180°捻じ曲げており、翻訳作業に置いて最もやってはいけないタブーを犯してしまっている。ここが一番酷い箇所だが、他にも原文の意味を捻じ曲げた誤訳は数ヵ所見つかっています。ネイティブ水準の人に監修してもらい早急に修正したほうがいいと思う。3､ストーリー鑑賞向けの機能が不足。　セーブデータが1プレイに付き一個きりです、そのためストーリー分岐に合った際2個のデータ作って別々で進めることができず、分岐のストーリー両方見たかったら2週やらないと行けない仕様です。流石にだるすぎません？別にハードコア仕様の作品じゃないんだからセーブデータ複数作らせてくれてもいいだろうに…　そしてストーリー演出にポーズ機能がない…いぁね～ストーリー閲覧中に来客が来たらどうしろっての？据え置き機はOS自体にポーズ機能付いてるからいいかもしれないけどPCゲームにゃ普通そんな機能ないぞ。実際自分4章ボス倒した時に郵便物の受け取りでイベントを完全に見逃してしまった、章後のアニメは後からでも見れるが直前の会話部分には閲覧機能がないんですよね…「見直したかったら2周目にまた来てね☆」ってか？ふざけんなよｳｫｲｗｗ4､アクションにありがちなボリューム不足。　ストーリー重視で一本道展開な為、この作品は隠し要素含めても40～50時間程度の内容しかありません。周回要素はお気持ち程度しかなくて、クリア後向けのやり込みコンテンツ皆無なのは物足りなさすぎます。ベゼスタ、2k、REDなど作品を見てください、AAA級タイトルの想定最低プレイ時間は120h超が相場です、それらと同クラスの価格設定にしたのなら同クラスのボリュームをユーザーに提供する必要性があります、ストーリーでそこまでの大作に仕上げられなくてもやり込みコンテンツでボリューム確保すべきです。総評：　アクションRPGとしての完成度は高く、ストーリーや演出面は秀悦。後半は力尽きかけでやや駆け足で無理やり完成させた感が歪めないのですが全体的に高いクォリティーを有した良作だと思います。パッドの操作性に難があるもの全体的には許容範囲内なのでプレイに支障をきたすほどでは無い。　しかしボリューム不足は看過できません、7000円超えのフルプライスタイトルなのに想定プレイ時間が100h未満なのは流石に話にならん。(まぁこれ以下のボリュームで万超えの価格設定をする日本のボッタクリ企業どもと比べれば遥かに良心的な価格設定ではあるのだが)敵をひたすら倒し続けるサバイバルステージみたいなクリア後のエンドコンテンツが用意するだけでも解消できる問題なのに残念です。　アップもしくDLCなどでボリューム不足が解消されたらおすすめします。</t>
  </si>
  <si>
    <t>通关后写评。计时 60 小时，但有整天挂机的时间，实玩约 30 小时。内容量偏少，后期目标不明确；操作上像“按住左键+方向”的设计手感不太好；R2 被拾取动作占用导致战斗中会误触。若能通过补丁或 DLC 扩展，会更推荐。</t>
  </si>
  <si>
    <t>JP-P-201</t>
  </si>
  <si>
    <t>圧倒的な世界観、リアルな描写、特筆すべき点はあるが、アクションゲームとしては荒削りな部分も多い。
少なくとも中盤まではある程度楽しめたが、次第にアクションの単調さ、頻発するクラッシュにより
5章以降のプレイを継続するモチベーションは失われてしまった。
ソウルライクとされているものの、ジャンルはGOWに近い。
動きも軽快であり、敵の動きを止める、身代わりや分身を出すといった、かなり強力な術を使える点も新鮮であった。
しかし戦闘は次第に単調になり、スキルツリーにより徐々に戦闘スタイルやスキルが開放されていく一方、
割と簡単にポイントが溜まっていくため、中盤くらいでほぼスタイルが固まってしまうこともあり、
以降はすべて同じことの繰り返しとなってしまった印象は否めない。
また特に気になった点としてはマップの作り込みが浅い点である。
背景の描写は非常にリアルで奥行きがある一方で、奥行きが見えているのに進めない、
いわゆる透明な壁に接する場面は非常に多く、乗り越えられると思ってジャンプしても進めないなど、
軽快なアクションかつリアルな背景ゆえに、透明な壁に阻まれるその姿は滑稽である。
また章によりマップの構造の複雑さにはかなり差があり、移動時間の長さも相まって探索のモチベーションは削がれる。
ここまでの要素は我慢できるレベルであり、プレイ自体の面白さである程度カバーできていた部分ではあるが、
章が進む毎に、特に5章あたりからクラッシュの頻発が目立つようになり、プレイの継続自体が困難となった。
道中でのfpsの不安定さ、またムービーの音ズレなど随所で不安定さが目についた。
5章の鉄球を避けるステージにおいて特にこのクラッシュが原因でまともに進めることができなくなり、
かつ鉄球に触れれば即死という、単に時間稼ぎとしか思えない要素によりプレイのモチベーションは大幅に削がれた。
40時間ほど、隠し要素まで含めて十分楽しめたが、その時点で心が折れたといった印象でプレイはやめてしまった。
過去西遊記をここまで深堀りし、その世界観をそのままにゲーム化した作品はないと思う。
そういった要素が楽しめる人にとっては、充実したローカライズも相まって楽しめるはずである。
アクションゲームとしての完成度の高さを期待する人にとっては、個人的にはおすすめしない。</t>
  </si>
  <si>
    <t>世界观压倒性，描写逼真，但作为动作游戏仍有粗糙之处。到中盘还能乐在其中；第5章以后单调与频繁崩溃让动力下降。更接近《战神》而非魂；术法很强新鲜，但中途就定型，后面容易重复。背景很真实却处处隐形墙，探索感被削弱。</t>
  </si>
  <si>
    <t>动作打击手感；难度挑战；空气墙可达性；探索隐藏支线；崩溃闪退</t>
  </si>
  <si>
    <t>JP-P-202</t>
  </si>
  <si>
    <t>全実績解除したので、レビューします
【ゲーム内容】
西遊記の旅を終え数百年（？）後の梧空の物語
【ジャンル】
アクションゲーム
＊ソウルライクとアクションの中間くらいの難易度だと思います
【感想】
・「西遊記」の知識を持っていれば持っているほど、嬉しいシーンが多いゲーム
（自分はテレビの「西遊記」程度の知識しかなかったけど、楽しかった）
・グラフィックがすごい
（綺麗な上に中国の仏像や古い石造などがたくさんあるので、家に居ながら国宝級のお宝を拝める感じがあって仏像好きには堪らなく幸せになれました）
・SEが自然で違和感がない
・ボスラッシュ
（ここは賛否別れるかもしれない。ボスが終わって少し移動するとまたボスに当たる感じ）
・ボス側のアクション
（個人的にここはもう少しプレイヤーに優しい設計が欲しいなと思いました。連続攻撃がどこまでも続く感じになるので、回復タイミングが非常にシビア。あとどの攻撃を出すのかの出だしのモーションが分かりませんでした。それに付随して、回避のタイミングもわかりづらい）
・初見クリアタイムは、アクションのプロで20時間程度。自分みたいにアクション下手だと1週間くらいかかりました。
細かいところを言い出すと長くなるので、割愛します
「なんでだよ！？」って言葉をこのゲームで言い続けたので、もう今年の「なんでだよ！？」の回数がほぼ0です
そんなゲームなので、アクションが得意な方は是非お試し下さいｗ</t>
  </si>
  <si>
    <t>已全成就。内容：以取经结束数百年后的“梧空”为主角的动作游戏，难度介于魂与普通动作之间。懂《西游记》越多越能会心；画面极佳，寺像石刻精到；音效自然；Boss Rush 味浓。</t>
  </si>
  <si>
    <t>画面美术场景；音乐音效配音；动作打击手感；Boss战斗节奏；难度挑战；西游悟空符号</t>
  </si>
  <si>
    <t>JP-P-203</t>
  </si>
  <si>
    <t>2024-09-14</t>
  </si>
  <si>
    <t>一言でいうと、『黒神話 悟空』 の良い部分も悪い部分もかなり目立ちます。全体的にはいい体験ですが 、すべてのアクションゲームファンにおすすめできるゲームではありません 。グラフィックは確かに美しい。このゲームがかなり重い代わりに、影と光の表現、動物（？）たちの毛並みとキャラクターの顔とかのクオリティが今のゲームの中のトップクラスかもしれません。 ほぼ全キャラのデザインが個性的で新鮮で面白い。 開発者の努力が各所に見られます。例えば、敵の図鑑がすべて伝統的な美しい絵で描かれていて、章が終わるたびに流れるアニメーションがすごく良くて、敵の技のエフェクトもただ光るモヤモヤではなく、周りの環境を活用して表現されています（葉っぱとか紙とか）。日本語ボイスはないけど、英語と中国語のボイスはクオリティ高い。会話できるNPCがフルボイスの上、普通の敵もちゃんとボイスが入ってます。その上、敵のほとんどにはちゃんと物語が書かれています 。この点において 、フロムゲーよりもずっと物語を上手に語っています。しかし、ある部分は信じられないほど上手く出来ていたけど、残念なところも結構あるし、分かりづらい、やるべきこと不明なところもかなりありました。このゲームの良いところは始まるときからすぐ際立っていますが、一方、悪いところは第一章が終わるころから徐々に目立ってきます。たとえば、特定な一技以外に避けられないダメージ、攻撃が派手すぎる上に休憩しないボスと読み難いディレイ攻撃がたくさんある。以上の問題より問題になったのは、複雑なサブクエストをクリアしないと、本来の難易度にならないボス戦。このゲーム、言うとソウルゲーではなく、ちょっと微妙なボスラッシュといった感じ。なぜならこのゲームは、うまく出来ているボス戦もたくさん用意したいし（その辺は確かにうまく出来ていますが）、同時に面白いアップグレードシステムと地図の中に隠された秘密も提供したい 。もしゲームをボスラッシュとして扱い 、ボスを倒し続けてゲームを進行するために必要な道具をゲームが提供することを期待したら、時に非常にムズイボス戦を何度も挑戦することが可能です。 しかし、ソウル系のような緻密にデザインされたレベルを探検することを期待している場合、更にマズイ体験になります。ボスとボスの間は一本道で繋がれてかもしれませんか、巨大なデザインされていない迷路のような場所で隔てられていることかもしれません。同じ章内の場所の区別はあまりなく、特に第二章と第四章の中に多くの場所は同じくに見てしまいます。ここはすでに探索した場所かどうかが分かりづらい。更に、そういった場所には見えない壁が多く存在しています。それもこのゲームのレベルデザインがちゃんとしていない原因だと言えます。ゲームがビジュアルのディテールを高く目指すほど、レベルデザインの難易度とコストも段々上がる。テキスチャーやモデリングが細かいほど、特定の変更を加えることも徐々に困難になります。ゲームから、各角の探索を要求し、あるサブクエストをこなし、あるアイテムを手に入れないと、必要以上に難しいボスと戦うしなきゃいけない状況になる時、ゲームのペースは元からの爽快なアクションゲームから、同じ場所を走り回り、見えない壁にぶつかり、デザインされていない迷宮の中に迷うという体験へと強制的に変わります。二周目は既に行くべき場所を知っているため、もっとスムーズに進むかもしれません。</t>
  </si>
  <si>
    <t>长处与短板都非常醒目。总体体验不错；Boss 可多次重试。但若期待像魂系列那样“精密设计的关卡探索”，可能会失望。</t>
  </si>
  <si>
    <t>Boss战斗节奏；地图路线；探索隐藏支线；推荐价值判断</t>
  </si>
  <si>
    <t>JP-P-204</t>
  </si>
  <si>
    <t>圧倒的好評(95% of 608233)というほどでもないなという感じ。実際に「好評」にしている人の内容を見ても温度感にかなり差があったり、アクションの要素以外の部分で好評にしている人もいたりする。中盤くらいまではそれなりに楽しめていたが、終盤のボスはとにかくウザさとダルさを詰め込んだようなものばかりで難易度の上げ方をミスっているとしか思えなかった。ほぼすべての攻撃にディレイがかかっていたり掴み攻撃を頻繁に使ってきたり、大技も含めてほとんどの攻撃の後隙があまりなくてずっと敵のターンだったりなどなど...戦闘は回避を主軸に丹薬や法術などを駆使してわずかなプレイヤーのターンに攻撃を入れていく単調な感じで、攻撃アクションのパターンもそれほど多くはないので飽きる。</t>
  </si>
  <si>
    <t>谈不上“压倒性好评”。很多好评看起来温度一般。战斗常常是用回避/傀儡/法术在极短窗口插入攻击，动作模式不算多，久了会腻。</t>
  </si>
  <si>
    <t>JP-M-205</t>
  </si>
  <si>
    <t>初心者向けでいい</t>
  </si>
  <si>
    <t>适合新手。</t>
  </si>
  <si>
    <t>JP-P-206</t>
  </si>
  <si>
    <t>個人的な評価としては並～佳作くらいですが、人をかなり選ぶタイプのゲームだと判断したのでおススメしないに入れています
フルプライスで満足できるだけのクオリティはあると思います
総評
西遊記のIF後日談ストーリーを追いながら原作再現された各ステージを観光するのがメインのゲーム
ゲームシステムとしてソウルライクってだけなのでアクションゲームとしては割と不満点も多い
ソウルライク特有のリトライ耐性があって、西遊記の派生作品だよって聞いてワクワクするレベルのファンじゃないとお勧めはできない
特に気になった点
初回読み込み、あるいはワープ時のロードが長い
マップが存在しない
　隅々まで探索して世界観を堪能してほしいという意図なのかもしれないが、やはり昨今の3Dアクションゲーとしては厳しい
　特に中盤似たような風景が続く章や高低差が凄まじい章では不満が強い
　可能ならマップは実装を検討してほしいところ
進行可能/不可能な地形が非常に分かりにくい
　明らかに行けそうなのに見えない壁がある、そんなパターンがかなり多い
　極端なのだと、完全に使いまわしのエリアなのに2回目だけ行動可能な範囲が円形の透明壁で囲まれてるとかある
アクションが割と単調
　プレイヤー側の武装は棍と槍の2パターンくらいしかなく、コンボ中間がほんのり違う程度で根本的に操作感は同じ
　アクションの型も一応3パターンが切り替えできるようになるが、ボスが楽しくフルコンボしてくる合間に差し込めるのは弱コンボ1～2段程度なので型の違いは強溜めを使い分ける程度しか有効活用できない</t>
  </si>
  <si>
    <t>个人评分在“中~佳作”，但很挑人，所以选了“不推荐”。它更像“沿着 IF 后日谈观光原作名场面”的旅程；动作系统里不满点不少。若没有魂式的重试耐性，也不是《西游记》爱好者，不建议入手。</t>
  </si>
  <si>
    <t>动作打击手感；推荐价值判断；西游悟空符号；中国文化宗教语言审美</t>
  </si>
  <si>
    <t>JP-N-207</t>
  </si>
  <si>
    <t>やっていてストレスしかたまらない。何より遠距離攻撃がないのが一番のストレス。雑魚だろうと上空に逃げられたら手も足も出ない。蝙蝠のような雑魚が天井にはりついて待ち伏せしていることがあるが、折角先に発見しても対処しようがなく、落下攻撃を避けてから攻撃するしかない。この手のゲームは多対一は鬼門だが、敵のつり出しもできない。その辺の石か毛針でも投げろよ……。どの敵も大体攻撃モーションにはアーマーがあり、強ため攻撃で中断させることもできないことが多い。道中の強敵はどいつもこいつも怯まない＋モーション分かりにくいでイライラしかしない。ボスはボスでワープなどの無敵で気持ちよく攻撃してくるが、こちらはその間回避に徹するしかない。その攻撃もディレイや予兆が分かりにくく、回避連打のお祈りゲーと化す。パリィーはなく、敵の攻撃を回避しかできない。回避したところで敵の攻撃が中断するはずもなく、攻撃を差し込めたとて一撃二撃程度。爽快感は皆無である。敵の掴み攻撃も予兆がほとんどなく、捕まった後は結構長めのムービーが入って、しっかりとダメージを食らう。ただ回避性能は高めで、適当に回避連打しながら借身と定身してたら、何か勝ってたとかある。総じてクソ。ストーリは特に言うことはない。当方に中国故事や仏教、西遊記の知識があまりなく、前提知識が足りず理解できない部分が多すぎる。わかる人には面白いのかもしれない。当方CPUが13900Kで、起動時に必ずクラッシュしていたが、BIOSからハイパースレッドをOFFにすると問題なく起動するようになった。</t>
  </si>
  <si>
    <t>玩着只有压力。最糟的是没有远程手段，杂兵飞天就毫无办法。我的 CPU 是 13900K，启动必崩；把 BIOS 里的超线程关掉后可以正常启动。</t>
  </si>
  <si>
    <t>JP-N-208</t>
  </si>
  <si>
    <t>プレイされている方もレビューを書かれている方もかなり多いので、おそらく私のレビューは埋もれると思いますが、ある程度の探索・やりこみ含めて約40時間ほどプレイし、ようやくクリアしたので感想をば。非の打ち所のないゲームというわけではありません。ひたすらアクション面、戦闘でのバランス面のみを主眼に置くのであれば、必ずしも胸を張って「おすすめ！」とは言えないです。ですが本作の独特な世界観や、圧倒的なビジュアルに惹かれたのであれば、たとえ西遊記ミリしらであってもこのゲームを手に取って損はないと思います。ただし、本作はソウルライクではない（と少なくとも私は思っています）とはいっても〇にゲー（高難易度アクション）であることには変わらないので、クリアにはそれなりの根気と慣れが必要です。個人的に、このゲームは余計なことをせずに、製作側のやりたいことをひたすら詰め込んだゲームという印象を受けました（実際のところどうなのかはもちろん私にはわかりませんが）。発売前にはポリコレ云々の問題で色々と話題になった本作ですが、そういった政治的なしがらみをゲームの中に持ち込むことなく、自分たちのやりたいように一つの娯楽作品を生み出したことは素晴らしいと思います。ただし同時に、「製作側にとって楽しい」ことって、必ずしも「プレイヤーにとって楽しい」こととイコールではないんですよね。特にボス戦等のゲームバランス面で顕著ですが、所謂「敵だけ楽しそう」なボスが結構いたりして、プレイヤーとしては結構ストレスがたまる場面はあると思います。私が微妙だなと感じてしまった点として、「なんだかよくわからんがゴリ押せちゃう」と感じることがよくありました。「なんだこのボス、強すぎだろ！なんだその攻撃！初見〇しやめろ！敵だけ楽しそうじゃねーか！オイ！…あ、でもなんかゴリ押せたわ。」みたいな。そんな調子が続くので、〇にゲーならではの「強敵を倒した時のすさまじい達成感」が感じられる機会が少なかったのは残念です。一方で、繰り返しになりますがビジュアルや世界観は圧倒的ですね。フィールドは息をのむほど美しいし、エネミーやボスも、どうやったらこんなの思いつくんだといった感じのデザインで、一度見たら夢に出てきそうなほど印象的かつ独創的です。あと個人的にビックリしたのが3章の雪の表現。雪上を主人公が歩いた後に足跡がつくのはもちろん、歩いたりちょっと走ったりした時に、武器が雪の表面を掠めた跡が残るんですよ。「そこまでするか」といい意味で驚きました。また、各章のクリアごとに挿入されるアニメーションについても、どれも美しく、ハイクオリティでひたすら見入ってしまいます。総じて芸術点の高さという面ではすさまじいものがあり、私が今まで遊んできたゲームの中でもトップクラスでした。それだけで私はこのゲームを買って正解だったと思っています。あと、このゲーム、マジでローカライズのレベルが高いです。劇中のセリフはもちろん、メニュー画面から閲覧できる妖怪や登場人物などの解説も気が付いたら夢中で読んでしまうほど面白い。一部の解説はどうやら製作側の都合でまだ編集が間に合ってないようなのですが、そういった解説ページには製作側からの謝罪がユーモラスに書かれていてクスッと笑えます。こういうちょっとした遊び心も素敵ですね！ちなみに、他のレビューをちらっと見た限りだと、クラッシュが頻発する等の批判が散見されますが、少なくとも私はクリアまでに一度もそうした問題には遭遇しませんでした。もっとも、このゲームを快適にプレイするにはそれなりのPCスペックとゲーム側での設定の調整が必須かと思います。その点で個人的に本作のいただけない点を挙げるとすれば、公式で配布しているベンチマークテストがイマイチあてにならないこと。私の環境下では、テスト時点で最高画質、FPS制限なしで全然余裕だったのですが、いざ製品版でそのままの設定で始めたら結構カクつきました。ベンチマークテスト済みでも購入後はプレイしながらパフォーマンスを確認し、都度設定を自分の環境にあった形に調整する必要はあるかと思います。</t>
  </si>
  <si>
    <t>写得人很多了，我的评测会淹没，但仍想说：系统层面中上，演出与世界观压倒性地强。场景美得让人屏息，敌人与 Boss 的造型也惊人。</t>
  </si>
  <si>
    <t>画面美术场景；演出角色怪物设计；Boss战斗节奏</t>
  </si>
  <si>
    <t>JP-P-209</t>
  </si>
  <si>
    <t>2024-09-16</t>
  </si>
  <si>
    <t>シンプルにおもしろい</t>
  </si>
  <si>
    <t>简单地说——好玩。</t>
  </si>
  <si>
    <t>难度挑战；推荐价值判断</t>
  </si>
  <si>
    <t>JP-P-210</t>
  </si>
  <si>
    <t>2024-09-17</t>
  </si>
  <si>
    <t>产品已退款
												ストーリー：私には理解ができませんでした。本場の西遊記を知っている方向けでしょうか。グラフィック：綺麗ですが、フィールドの探索に見えない壁が立ちはだかります。操作性：キビキビと動きます。UI：癖が強いですが、これは慣れればなんとかなるかもです。戦闘：小技をためて、大技をあてる。。うーん、爽快感がないです。技を使って逃げ切るような戦闘でしょうか。成長：武器一種類、その他もろもろ装備。代り映えがないです。総評：おしい。</t>
  </si>
  <si>
    <t>【已退款】剧情我完全跟不上，可能更适合熟悉“正统《西游记》”的人。画面很美，但战斗缺少快感，更像靠技能苟住。成长上也乏味：只有一种武器，装备变化有限。总评：可惜。</t>
  </si>
  <si>
    <t>JP-P-211</t>
  </si>
  <si>
    <t>simply enjoyable and amazing. on top of that gorgeous UE5 graphics</t>
  </si>
  <si>
    <t>简单而惊艳，加之 UE5 的华丽画面。</t>
  </si>
  <si>
    <t>JP-N-212</t>
  </si>
  <si>
    <t>フルプライスで買う作品ではない。セールを待った方がいいです。</t>
  </si>
  <si>
    <t>不值全价，建议等打折。</t>
  </si>
  <si>
    <t>JP-P-213</t>
  </si>
  <si>
    <t>このゲームの良かったところは①映像がとても綺麗で没入感がある②ステータス振り直しが自由に出来る③周回要素がある④経験値を死んでもロストしないのでストレスが少ない⑤ボスの種類が多く、同じような動きがほとんど無い為、飽きずにながく楽しめる⑥術を使った戦闘が独特で、とにかく戦っていて楽しい悪かったところは①マップが複雑すぎる(プレイしていれば頭に入るようになる)②見えない壁で進めないところがわかりづらい③マップの端まで探索しても何もないことが多い④取り返しのつかない要素がある(周回すればない)⑤全実績解除を目指すと、ランダムドロップを狙わなければならず、リポップにも時間がかかり辛いソウルシリーズよりかは難しくないが、難易度は難しめでとても楽しめた。自分的には歴代ゲームTOP3に入る面白さ。神ゲーです。</t>
  </si>
  <si>
    <t>优点：画面极美沉浸；可自由洗点；有周目；经验不会掉光。缺点：地图指引弱。比魂更友好，但整体仍偏难，我非常享受。对我而言能进“生涯前三”的神作。</t>
  </si>
  <si>
    <t>画面美术场景；地图路线；引导迷路单线；推荐价值判断</t>
  </si>
  <si>
    <t>JP-P-214</t>
  </si>
  <si>
    <t>ボスと戦うのがこのゲームのすべてなのですが全般的にボスの理不尽さを感じることが多いです。普通は攻撃を構えた後、動き出したことを確認して回避を行うと思いますがこのゲームでは構えた後、動いたと思ったら一瞬で攻撃判定が出て被弾します。その為、見てかわすというよりは敵の攻撃を覚える必要があります。また敵の攻撃頻度と時間が長く、一方的にボスが攻撃してくるのでこちらが攻撃できる時間は少ないところも理不尽さを感じます。ただし主人公が使える術もかなり理不尽な性能なのでこの術をうまく使って隙を作り出す想定なのだと思います。なので、敵の攻撃をかわしながら攻撃を入れていくというよりは、術を使いこちらが一方的に攻撃して倒せるかが重要になるため、難易度が高いわりに勝てたときはあっけなく終わり、あまり倒した達成感がないです。最初から最後までそんな感じなので戦闘面はずっとストレスしかなくあまり面白くなかったのですが、敵やフィールドのグラフィック、音楽はすごく良かったのでその点はよかったです。あと購入時は孫悟空が主人公と思っていましたが、本物の孫悟空を操作できるのはチュートリアルだけで本編中は悟空の後継者的な無口な猿を操作することになります。チュートリアルの孫悟空が悟空のイメージ通りだったのでそのまま使いたかったです。セールで3000円くらいならよいと思いますが発売日に定価で買ったのはプレイ中何度か後悔しました。(だからクリアまで遊べたとも言えますが。。。)</t>
  </si>
  <si>
    <t>这是一款以 Boss 战为全部的游戏，但整体常有“无理”的感觉。没有起手架势，动作刚起就必中，瞬发判定，镜头不跟随等问题。若 5000 日元左右还行，在发售日原价购入的我几度后悔（也因此逼着自己通关）。</t>
  </si>
  <si>
    <t>动作打击手感；Boss战斗节奏；锁定视角；判定反馈</t>
  </si>
  <si>
    <t>JP-P-215</t>
  </si>
  <si>
    <t>2024-09-19</t>
  </si>
  <si>
    <t>良い点全体通しての孫悟空や周りの登場人物の描写は非常によく、シナリオとしてのゲームとしては最高だと思います。今後、追加されるであろうＤＬＣが楽しみです。悪い点？画像や景色など細かい部分の作りこみは非常に良いですが、マップもないので分かりずらい。ボスを倒しても何の達成感も得られる前に次のボス…只々ボスキャラを倒していくゲームです。回避や回復や攻撃の当たり判定等の理不尽な部分もあります。総合的発売したゲーム会社の第一作目としては、他のソウルライクゲーム？最高傑作だと思います。今後出す作品に期待大です！</t>
  </si>
  <si>
    <t>优点：对悟空与群像的刻画非常好，作为“剧情向的游戏”近乎最佳。虽有需改进之处，但作为公司处女作，乃至在所有魂式里，已是拔尖。期待后续作品！</t>
  </si>
  <si>
    <t>JP-P-216</t>
  </si>
  <si>
    <t>ゲーム性よくて、画面綺麗です操作性も優れていますおすすめです</t>
  </si>
  <si>
    <t>可玩性好，画面漂亮，操作性优秀。推荐。</t>
  </si>
  <si>
    <t>JP-P-217</t>
  </si>
  <si>
    <t>ROG Allyでというか、7インチには字幕サイズが小さすぎるのが八十二の難というね。アクションは楽しめているし、日本語吹き替えDLC出たら買います。</t>
  </si>
  <si>
    <t>在 ROG Ally（7寸）上玩，字幕太小，这是最大难处。动作本身很开心；若出日配 DLC 我会买。</t>
  </si>
  <si>
    <t>JP-N-218</t>
  </si>
  <si>
    <t>ボスの難易度の上げ方が単調で発想が安直。イライラするだけでつまらない</t>
  </si>
  <si>
    <t>提升 Boss 难度的方式过于单调，想法浅，只有恼火没有乐趣。</t>
  </si>
  <si>
    <t>JP-P-219</t>
  </si>
  <si>
    <t>神ゲーですね。買ってよかった</t>
  </si>
  <si>
    <t>神作，买对了。</t>
  </si>
  <si>
    <t>JP-N-220</t>
  </si>
  <si>
    <t>2024-09-21</t>
  </si>
  <si>
    <t>なぜこのゲームがここまで評価されているのか疑問が残る作品。
プレイした感想としては「西遊記（深い内容まで）」を知っている事が前提で進行する内容を知らないと
そもそも何が何だか分からないし物語に入り込めない。
かと言って上記の「原作を調べたいと思わせるような作りになっているのか？？」と言われるとそうじゃない
つまり、「西遊記が大好きじゃないと章が進むにつれて苦痛になってくる作品になっている」と考えられる。
私も前半（１章～３章）は、普通のアクションゲームとして楽しめていましたが
後半（４章～６章）は、何だこのゲームクソゲーだろ　となっていました。
その理由として「西遊記」を知らないから愛着も湧かないし巡る色んな場所も登場人物も西遊記が好きな人なら心が熱くなり攻略するモチベにもなるのでしょう。
しかし、知らない人間は何もモチベーションになりません。
登場する敵・中ボス・ボスも戦いになっていないと思わせるぐらい理不尽が目立っています。
前半は10000歩譲って我慢（受け入れる）出来ますが後半は酷いと言う言葉で表現して良いのか？？と思わせるぐらい戦闘のバランスが悪いと感じます。　
主に下記５点がクソです。
・敵が漫画の〇〇展開を思わせような敵が有利な領域を発動しプレイヤーの行動を制限して来る
→アクションゲームのはずがスピード感のあるアクションをさせない。行動制限を強いる
　ジャスト回避を前提に戦いを構成しているのが透けて見えるのにそれを制限する事自体が陳腐としか思えない。
・少ない予備動作（もはやない）で大技（ほぼこちらの体力を８割以上削る）を使用する
→終わってる
・相手の攻撃ターンが多く、プレイヤーの攻撃ターンが少ない。スキルを使用しても少ない
→プレイヤーのみ、ソウルライクゲーム　ボスのみ、アクション（めちゃくちゃ並に動く）
・裏ボス（かなり強敵）撃破報酬がストーリー（各章）進行のボスの戦闘を有利に進める（必須レベル）アイテムをドロップする
→簡単に倒してストーリーを進行させない遅延行為にしか思えない
　そもそも裏ボスと言う枠にする意味が分からない（笑）
・ボスの難易度の上げ方やヒット判定が雑で陳腐で何も考えてない
→前半のボスはまだ製作者の思考を感じますが後半のボスは、火力を上げる。行動を制限する。暴れる
この３つで構成されるボスが多く撃破しても「あ～ダルかった」の一言です
更に「ジャスト回避があるから滅茶苦茶な攻撃しても許されるだろ？？」って言う安直な考えが透けて見える。
そして、ボスを２体配置して難易度を上げる１回は良い。脳〇で連続で配置するな。そこの達成感なんて存在しないあるのは「ダルい」ただそれだけ。
ここまで散々書きましたがすべてをまとめると
「西遊記が好きな人が買えばいいと思う」以上です。</t>
  </si>
  <si>
    <t>不明白为何评价这么高。推进似乎预设你“深知《西游记》”，不了解就容易迷失。隐藏 Boss 设定意义不明（笑）。</t>
  </si>
  <si>
    <t>Boss战斗节奏；难度挑战；探索隐藏支线；西游悟空符号</t>
  </si>
  <si>
    <t>JP-P-221</t>
  </si>
  <si>
    <t>開発元の処女作であると考えれば、良ゲーアクションの部分だけ見れば、スピード感のある戦闘に、バリエーション豊かな敵、探索と対策がきちんと活きるギミックと不満はない。一方で、2点どうしてもストレスを感じる。１つ、マップ作りの経験値不足章ごとの広さにかなり差があったり、ガイド不足であったり、バランスの悪さをとにかく感じた。２つ、最適化不足このページに記載されているスペックより上のPCを使っているが、度々クラッシュする。そのためにボス戦をやり直しさせられると、せっかくの評価点であるアクションもストレス要因に反転する。最適化待つか、次回作に期待してもいいかも</t>
  </si>
  <si>
    <t>就“首作”而言是好游戏；纯看动作：节奏快，敌人多样，探索也有趣。但崩溃会把优点反向变成压力。可以等优化或下作。</t>
  </si>
  <si>
    <t>动作打击手感；探索隐藏支线；优化帧率；崩溃闪退；推荐价值判断</t>
  </si>
  <si>
    <t>JP-P-222</t>
  </si>
  <si>
    <t>参考までに日本のおっさんです。悟空といえばオレンジ色の道着を着て、つえぇヤツと戦うとワクワクする人が大好き世代です。しかし、こっちの悟空もなかなか魅力的で楽しめました。スピード感がある戦闘は、私個人はニーアの戦闘と少し類似性ある様に感じました。少しアクションが苦手でも、スキル構成などで何とかやれる救済要素が多い様に思います。虫が極度に嫌いな方は少し気になるかもしれませんが、敬遠するほど酷い訳ではないです。結構丁寧に１週目を終えて２周目の真ん中位でコメント書いてます。DLCが出るなら長くやれそうな感じです。</t>
  </si>
  <si>
    <t>作为日本中年粉丝的感想：谈不上糟糕，但也不至于神。认真通完一周目，二周目中段写下这评；要是有 DLC 会挺耐玩的。</t>
  </si>
  <si>
    <t>JP-N-223</t>
  </si>
  <si>
    <t>飽きました、申し訳ない</t>
  </si>
  <si>
    <t>玩腻了，抱歉。</t>
  </si>
  <si>
    <t>JP-P-224</t>
  </si>
  <si>
    <t>裏ボスが強いわけじゃないですが、ずるいですねー。ク〇ゲーとまでは言いませんが、、、</t>
  </si>
  <si>
    <t>隐藏 Boss 不算强，但很“滑”。称不上粪作……但也差不多了。</t>
  </si>
  <si>
    <t>Boss战斗节奏；探索隐藏支线</t>
  </si>
  <si>
    <t>JP-P-225</t>
  </si>
  <si>
    <t>楽しいところと残念なところの差が凄まじいことになっていますが概ね楽しかったです。7:3くらいでGoodな感じ良かったところ・以下のどうしようもなく気になったところ以外すべて特に良かったところ・スキルツリー、永続強化アイテムをデメリットなしで振り直しできること・キャラクターが皆良い（男女問わず個性があって魅力的。女の子たちは特にかわいい）・複数同時ボスでもしっかり連携取ってくれるので、一方的に嬲られる理不尽さがない・翻訳の質の高さ（違和感一切ないです）・データベースの情報量（レビュー時点で翻訳は揃っていないです。応援してます。頑張ってください）・1,2,5章の章ラスボスは特に楽しかった・2連戦になるボスの2戦目で負けてしまっても、最戦時は2戦目からスタートになる親切さ気になってしまったところ一部ボスやダンジョンのお行儀の悪さ特に3,4章…………形態移行ムービー中に結構なダメージを与えてきたりとりえあず視界妨害+行動阻害しておけばいいだろ的な攻撃してきたり（解除法とか対応策が欲しかった。あったんだろうか…）体力削りきったあとに大ダメージの範囲攻撃3連発出してからやっと倒れるとか倒れる前に刀振り回して無駄に削ってくる雑魚とか反対側の崖から高精度の弓を連発してくる雑魚とか理不尽というより面倒くささと高難易度を履き違えてしまったような部分全体から見るとわずかではあるのですがもしやこれは忠実な原作再現だった…？最終章の誘導の弱さ筋斗雲が手に入って、一気にフィールドも広がってそれ自体はとても楽しい部分だったんですがオープンワールド的なアプローチかなと思ったら、別にそんなことはなく順番通りに倒していかないとイベントが進まないようで広い分探索も大変で、特に目立つ地形もないのでちょっと萎えてしまった部分あそこまで広々かつ自由度高い移動法を用意してくれるなら順番も自由にしてほしかったしそうでないなら、何かしらもう少し強めの誘導が欲しかったかなと長々気になったところを書きましたが、最初にも書いたとおり気になったところ以外は全部よかったのでおすすめできるタイトルです処女作でこれとは恐れ入る。次も楽しみです</t>
  </si>
  <si>
    <t>优点与遗憾的落差巨大，不过整体还是开心的，比例大约 7:3。尽管挑了毛病，但除此之外几乎都很棒，处女作能做到这样令人敬服，推荐。</t>
  </si>
  <si>
    <t>JP-P-226</t>
  </si>
  <si>
    <t>エンディングまでクリア済み。スタートしてすぐにボス！　ちょっと歩いてまたボス！　ちょっと歩いてまたボス！　がひたすら繰り返されるボスだらけゲー。色変え、モーションの使いまわしボスがほとんどないのでどいつもこいつも飽きさせる暇がない。西遊記履修前提のストーリーは日本人にはなじむのは難しいがそれでも先が読みたくなる話が描かれる。欠点はマップとサブイベ進行表とかがない事！！！ステ振りなおしとかは無償で出来る位フレンドリーなのになんでここだけ厳しいの！？</t>
  </si>
  <si>
    <t>通关。开场就是 Boss！走几步又是 Boss！循环往复。战斗很有趣；缺点是没有地图/支线进度表！既然洗点都免费了，为什么偏偏在这点上如此不友好？</t>
  </si>
  <si>
    <t>JP-P-227</t>
  </si>
  <si>
    <t>2024-11-28</t>
  </si>
  <si>
    <t>傑作だ</t>
  </si>
  <si>
    <t>杰作。</t>
  </si>
  <si>
    <t>JP-P-228</t>
  </si>
  <si>
    <t>期待以上におもしろかった</t>
  </si>
  <si>
    <t>比预期更有趣。</t>
  </si>
  <si>
    <t>JP-P-229</t>
  </si>
  <si>
    <t>Best game 2024</t>
  </si>
  <si>
    <t>2024 年最佳！</t>
  </si>
  <si>
    <t>JP-P-230</t>
  </si>
  <si>
    <t>2024-09-26</t>
  </si>
  <si>
    <t>2024/09/23パッチのアップデートマジで重すぎる。毎回そうなのですが、今回は異常過ぎる。PCフリーズしたりSteamでこんな事初めてやわゲーム自体は面白いけど、起動時のシェーダコンパイルも長い、ロードも遅めでSSD M.2です。アップデート来る度にインストールに異常に時間がかかり過ぎて、他PCの作業しようとしたらPC自体が止まりそうになる。ゲーム内容はお薦めしますが、ゲーム起動やアップデートの内容でお薦めしません。もう少し待った方が良いと思います。</t>
  </si>
  <si>
    <t>2024/09/23 的补丁过重，更新时异常卡；这次尤甚。PC 会冻结，Steam 停在“下载中”不动。内容推荐，但“启动/更新体验”不推荐，建议等等。</t>
  </si>
  <si>
    <t>JP-P-231</t>
  </si>
  <si>
    <t>2024-09-28</t>
  </si>
  <si>
    <t>クリア前感想。
アンリアルエンジン5体験したくて購入。
元ネタ知らないけど、製作者の愛を感じるゲームはやっぱいいね。
環境Ryzen7 5700X + 4060Ti
・良いとこ
アンチも認めるグラフィック
完璧な翻訳(日本語音声は無し、解説文で間に合ってないとこあり)
流用を感じさせないボスの多彩なモーション
・悪いとこ
フレームレートが一部極端に落ちる（画面が大きく変動してDLSSの効果が出ない？3章湖移動、亀の上クリア後)
敵の解説が中国伝承みたいでゲーム内の状況ではない
隠し要素が多く取り逃しで周回が必要な要素あり(解説動画でのバズを狙った？)
マップ無しで迷う
・アクションゲームとして
ソウルシリーズ経験済み、意図的なレベル上げはしていない前提での感想です。
縛りを入れると難易度はかなり高いと思う。
ボス討伐は、特殊能力フル活用しても、ある程度の動き慣れでのジャスト回避は必要な印象。
ディレイも多様されているため嫌われるのもわかる。
道中の強モブ多数は分身しないときつい。
分身覚える前の2章村エリアが、かなりきつかった。
如意棒での打撃は新鮮で好みだけど、他武器が無いため飽きるというのもわかる。
でも孫悟空ってそういうもんだから、個人的には納得してます。
・総評
順当に良質なアクションゲーム。
他との差異化が、AE5と特濃な古代中国文化であるのはその通り。
ソウル系はアクションだけでなく、RPG要素も強いから求めてはいけない(戒め</t>
  </si>
  <si>
    <t>未通关前印象：想体验 UE5 而买。不了解原著，但能感到制作的热爱。优点：就连黑子也承认的画面；翻译几乎完美（无日配，少量解说未覆盖）。环境：R7 5700X + 4060Ti。</t>
  </si>
  <si>
    <t>画面美术场景；推荐价值判断；中国文化宗教语言审美；外部资料依赖</t>
  </si>
  <si>
    <t>JP-P-232</t>
  </si>
  <si>
    <t>玩法不错，美术不错，音乐还可以，没有多少有印象的，boss设计良莠不齐，一般来说不知道什么招就打过了，不过招式都很华丽，有些小怪实在恶心，雪山是真的阴间，盘丝洞引导实在太差，甚至要搜攻略才知道怎么走，如果说法环是看着也许能走的地方基本就能走，那黑猴就是看着不能走的地方实际可以走，地图设计甚至有点拉胯，赶工导致流程还是太短，实在可惜</t>
  </si>
  <si>
    <t>画面美术场景；音乐音效配音；动作打击手感；Boss战斗节奏；地图路线；空气墙可达性；引导迷路单线；外部资料依赖</t>
  </si>
  <si>
    <t>JP-P-233</t>
  </si>
  <si>
    <t>ポリコレに屈しなかった時点で評価は高いがゲーム自体も素晴らしい出来。</t>
  </si>
  <si>
    <t>因为没有向“政治正确”让步而加分；而且游戏本身也做得很棒。</t>
  </si>
  <si>
    <t>JP-P-234</t>
  </si>
  <si>
    <t>中国発のAAA作品これが初とは思えないほど、とても素晴らしいゲームでした。難易度は簡単ではないですが、アクションゲームが苦手な人でも、時間をかけ試行錯誤していくことで、ちゃんとクリアできます。グラフィックはもちろん、ストーリーもしっかりと作り込まれており、とても魅力的な作品です。西遊記を知らなくても十分に楽しめますし、ゲームをプレイしていく中で、西遊記を知りたいと思う人も多いと思います。素敵なゲームを、ありがとうございます。周回します。</t>
  </si>
  <si>
    <t>很难相信是中国的 AAA 初作，完成度极高。难度不低，但动作熟练后会很顺。也能激发人去了解《西游记》。谢谢这款佳作，我会周回。</t>
  </si>
  <si>
    <t>动作打击手感；难度挑战；整体完成度；西游悟空符号</t>
  </si>
  <si>
    <t>JP-P-235</t>
  </si>
  <si>
    <t>2024-10-03</t>
  </si>
  <si>
    <t>ラスボスとの戦いがかっこいいので良いゲームです。</t>
  </si>
  <si>
    <t>和最终 Boss 的那场战斗太帅了——好游戏。</t>
  </si>
  <si>
    <t>JP-N-236</t>
  </si>
  <si>
    <t>2024-10-06</t>
  </si>
  <si>
    <t>神ゲー。遊ばないとゲーマーとして損するレベル。他のゲームがつまらなくなって出来なくなちゃったんだけど、どうしてくれるん！？</t>
  </si>
  <si>
    <t>神作。不玩亏大。已经让我玩不下别的游戏了，谁来负责？</t>
  </si>
  <si>
    <t>JP-P-237</t>
  </si>
  <si>
    <t>2024-10-07</t>
  </si>
  <si>
    <t>西遊記はもちろん全部知ってるよね。知らないならストーリー、登場人物の理解は難しいぞ 色々と問題点はあるが、面白かったのでおすすめです。  良かった点・アクションが軽快で難易度も程々なのでキャラを動かしていて楽しい。・すべての術がめちゃくちゃ強いので、ボス相手だろうとやりたい放題出来る。(特に分身術と変化が強い)・西遊記の世界観に独自性があり魅力的だった。・キャラ図鑑の説明が面白い。図鑑を読み解くことが出来ればストーリー、登場人物が何となくわかる。 悪かった点 ・舞台が西遊記の後日談となっており、西遊記を知らないと理解できない部分が多すぎる。・キャラ図鑑が難解すぎる。文章量が多すぎる上に言い回しが古文や漢文じみていて理解することが難しい。西遊記の世界観や時代背景を知らないと分からない単語も頻出する。・アクションゲームなのに図鑑の文章を読まないといけないのでテンポが悪い。読まずにプレイするとストーリーを全く理解できない。・隠し要素への導線が弱いので、攻略でも見ないと気が付かない。(図鑑にヒントはあるが上記の問題がある)・マップが無いので、探索した所としていない所が分からなくなる。行けそうで行けない見えない壁が多い。西遊記の世界観は魅力的で面白かったが、図鑑を読まないと(読んだとしても)ストーリーが理解出来ないのは非常に勿体なく感じた。細かいことは良いんだよって楽しめる人、西遊記に自信があるって人には特におすすめします。</t>
  </si>
  <si>
    <t>最好先对《西游记》有一定了解，否则对剧情/人物会吃力。问题不少，但整体很有趣；不能理解这些角色与桥段就太可惜了。能“放下细枝末节去享受”的人，或对《西游记》有自信的人尤为推荐。</t>
  </si>
  <si>
    <t>JP-P-238</t>
  </si>
  <si>
    <t>神ゲー。次回作も期待します</t>
  </si>
  <si>
    <t>神作，期待下作。</t>
  </si>
  <si>
    <t>JP-N-239</t>
  </si>
  <si>
    <t>第肆回途中でギブアップ！ストーリーが不明瞭西遊記を読んでいても、各回目的地も理由も示されない。大きなストーリーとして孫悟空の遺物を探すという理由はあるものの、見知らぬ場所に放り出され、行ける範囲を移動していくうちにボスに出会う感じ。なぜここにいて、どこへ行くべきなのかが示されない。特に敵が憎い気持ちも無いので強敵を倒すための努力をする気にならない。遊びやすい機能がないマップ機能がないため、現在地を見失いやすい。一本道はともかく、円形につながった道などはいつのまにか元の場所に戻ることになる。祠以外は行き先を示すヒントもない。方位を示す手がかりもない。サブクエスト整理画面がないため、サブクエストとして何をすべきかを忘れがち。場所によっては復活ポイントからボスまでの間に雑魚がいる。アクションが単調棍勢を貯めないと派手な攻撃が出来ないので多くの場合軽棍（弱攻撃）で戦うことになるが、型を変えても軽棍は共通。ほとんどの時間、ずっと同じアクションを見ることになる。</t>
  </si>
  <si>
    <t>第肆回中途弃坑。故事不明晰：即使读过《西游记》，各回的目的地与缘由也没交代清楚。作为动作方面：没有防御；强攻后摇太长；多数时候都在用轻攻击；换流派轻攻仍然相同，动作观感重复。</t>
  </si>
  <si>
    <t>JP-N-240</t>
  </si>
  <si>
    <t>初めてAAAゲーム作ったスタジオとは思えない渾身の出来。・戦闘ジャスト回避と攻撃で貯めたゲージを使えばほぼ全てのボスをのけ反らせられる。なのでタイミングを見て術を使ってオールインするみたいな戦法が強いんだけど、これがまあ気持ちいいです。ボスがこれでもかというくらい用意されており、そのどれもが個性的で試行錯誤が面白い。・グラフィックやばい。臭い立つような雰囲気。妖怪らしくめちゃくちゃ気持ち悪いやつもいる。章ごとのボス戦の演出も凝ってるし、最近のゲームでも突出したグラフィック。・ストーリー西遊記のざっくりとした話を知ってるとより楽しめる。各章にテーマがあり、緩急つけて楽しませてくれる。・欠点マップがややわかりづらい。隠し要素が初見じゃわからないものが山ほどある。まあでもそこはあばたもえくぼといった感じで許せるレベル。</t>
  </si>
  <si>
    <t>很难相信是第一次做 AAA 的工作室。战斗：恰时回避＋用积攒的槽打出强招，几乎所有 Boss 都能克。缺点：地图稍难辨识；初见很难看出隐藏要素。不过这些都在可接受范围。</t>
  </si>
  <si>
    <t>动作打击手感；Boss战斗节奏；难度挑战；地图路线；探索隐藏支线</t>
  </si>
  <si>
    <t>JP-P-241</t>
  </si>
  <si>
    <t>2024-10-08</t>
  </si>
  <si>
    <t>1. グラフィックとビジュアルの美しさ『Black Myth: Wukong』は、Unreal Engine 5を使用したリアルなグラフィックで、非常に美しいビジュアルを実現しています。環境の細かい描写やキャラクターデザインは圧倒的で、自然の景観、建築物、モンスターまですべてが細部まで丁寧に描かれています。特に、光と影の表現が素晴らしく、幻想的な世界をリアルに感じさせるクオリティです。2. アクション性の高さと流れるような戦闘戦闘システムは非常にダイナミックで、プレイヤーに素早く反応し、戦略的な立ち回りを要求します。孫悟空の変身能力や多様な武器・技を使いこなすことで、バトルが爽快で多様な展開を楽しめるようになっています。また、敵の動きも多彩で、アクションゲームのファンにとっては大きな魅力となっています。3. 中国神話と文化の魅力的な表現中国の伝統的な神話や文化が、独自の魅力を持ってゲームに反映されています。登場する敵やボスキャラクターは、古代中国の伝説や神話をモチーフにしており、神秘的で異世界感のある雰囲気を生み出しています。また、物語の構成も『西遊記』を忠実に再解釈し、オリジナリティを持ちながらも原作ファンを魅了する要素が多いです。4. 音楽とサウンドデザインの質の高さサウンドトラックは非常に臨場感があり、プレイヤーを物語の世界に引き込む力を持っています。オーケストラを使った壮大な音楽は、戦闘シーンや冒険シーンをより感動的に演出しています。また、環境音や敵の音なども細かく作り込まれており、ゲーム全体の没入感を高めています。5. 豊富なボス戦と挑戦的なゲームプレイ『Black Myth: Wukong』は、各章でプレイヤーに多様で個性的なボス戦を提供しており、これがゲームの大きな見どころの一つです。それぞれのボスが異なる戦闘スタイルや能力を持ち、プレイヤーに新しい戦略を要求します。この挑戦的なゲームデザインは、達成感を伴うゲームプレイを提供し、プレイヤーを飽きさせません。</t>
  </si>
  <si>
    <t>1) 画面与美术：UE5 的表现惊艳，光影与材质出众。2) 战斗：以恰时回避为轴，容错低但公平，要求新策略，带来达成感。</t>
  </si>
  <si>
    <t>JP-P-242</t>
  </si>
  <si>
    <t>世界観、グラフィック、探索、アクションの全てが素晴らしい神ゲーでした。ゲーム会社としても、初めてリリースしたAAAゲームにも関わらず完成度がとても高いというのもあり、今後のGame Scienceがとても楽しみになりました。1つだけ不満点があるとすれば、リリース当初は遊記の日本語翻訳が途中までしかできていなかったことです。書かれている内容がどれも面白いだけに残念に思いました。</t>
  </si>
  <si>
    <t>世界观，画面，探索，动作都很棒。作为公司首款 AAA，这个完成度令人吃惊。唯一遗憾是发售初期图鉴（日文）未完整翻译，内容明明很有趣，略可惜。</t>
  </si>
  <si>
    <t>画面美术场景；动作打击手感；探索隐藏支线；整体完成度；推荐价值判断</t>
  </si>
  <si>
    <t>JP-P-243</t>
  </si>
  <si>
    <t>ダクソ的なフロムゲーを期待しているならやめとけ。雑魚キャラは経験値を稼ぐためだけで配置をされていて狩るのもだるい。ボスキャラも攻撃がワンパターン。操作性はくそでキーの振りあてができず、既存の2パターンから選ぶ。あとストーリが断片でさっきまで砂漠にいたのになんで雪山いるの？てかお前だれ？っていうボスキャラもしっばしば。モーションはかっこいいがそれだけ。</t>
  </si>
  <si>
    <t>如果期待“像《黑魂》那样的 From 式”，那就别买。杂兵像是单纯为了给经验而摆放，清起来烦。Boss 的动作常与故事无关（刚在沙漠又到雪山？你是哪个？），动作好看也仅此而已。</t>
  </si>
  <si>
    <t>JP-P-244</t>
  </si>
  <si>
    <t>今後出るアクションゲームのグラフィックの基準を上げてしまうぐらいの美麗なグラフィックです。</t>
  </si>
  <si>
    <t>它会“抬高未来动作游戏在画面上的门槛”。</t>
  </si>
  <si>
    <t>JP-P-245</t>
  </si>
  <si>
    <t>アクション好きならやって損無し。宣言しよう！2024年ゲームオブザイヤーはこれ。</t>
  </si>
  <si>
    <t>喜欢动作就绝不吃亏。我来宣告：我的 2024 年度游戏就是它。</t>
  </si>
  <si>
    <t>JP-M-246</t>
  </si>
  <si>
    <t>2024-10-19</t>
  </si>
  <si>
    <t>如果以一个中国游戏的来看 美术和代码的完成度很高 但是去掉国产的光环以一个普通的动作游戏来看 我只能给出差评 没有让我玩的很开心首先主角韧性太低 随便被打一下都会被打断 经常出现空大空技能自己还被打的情况 或者是被一套连死其次主角机动性太低 奔跑速度太慢经常以为在走 闪避的手感奇差各种动作比如喝药有明显延迟而且拿着个金箍棒竟然不能格挡只能闪避 实在是想不通是因为技术原因没做格挡还是游戏就是这么设计的再次boss太粪 出招让人恶心的boss太多 很多时候是看boss表演 结合上一条机动性的话经常被boss一套连死 或者就是借用别人的话来说就是“你知道boss想要干什么但就是躲不掉”没有死亡惩罚就是游科最后的仁慈了 猴小将还叫不是魂like 实际上没有难度选项加上游戏本身的难度就是魂like 别叫了评价为只狼和黑魂都想抄最后抄了个四不像出来 手感不好 boss太粪</t>
  </si>
  <si>
    <t>若把“国产光环”拿掉，当作普通动作来评——差评。没有难度选项，本身又是魂类。想学《只狼》《黑魂》，结果四不像，手感不好，Boss 很烂。</t>
  </si>
  <si>
    <t>动作打击手感；Boss战斗节奏；难度挑战；国产3A身份期待</t>
  </si>
  <si>
    <t>JP-M-247</t>
  </si>
  <si>
    <t>神げーみんな山西に行け</t>
  </si>
  <si>
    <t>神作——大家都去山西吧。</t>
  </si>
  <si>
    <t>JP-N-248</t>
  </si>
  <si>
    <t>2024-10-24</t>
  </si>
  <si>
    <t>よくあるソウルライク。でもソウルライクの中でも軽い攻撃を数撃つタイプ。重い攻撃で少ないチャンスを、というタイプでない。なので正直ストレスがすごいたまって爽快感はない。いい加減ソウルライクフォロワーばっかになるのどうにかしたほうがいい</t>
  </si>
  <si>
    <t>常见的魂式，不过它属于“多次轻击”的类型，不是“把握少量重击窗口”的那种。因此老实说压力大，爽感不强。别再都做魂式跟风了。</t>
  </si>
  <si>
    <t>JP-P-249</t>
  </si>
  <si>
    <t>だがしかし ２周１００時間実績コンプ済み非常に面白い作品でしたが死にゲーで圧倒的好評な作品といえば、私の浅い知識ではSEKIROぐらいしか思い付きません。ではこの作品がSEKIROと同等・またはそれ以上かと言われると、否です。この作品をジャンル付けすると、ボスラッシュライト死にゲーかと思われ、中ボス的なヤツが多い分一体一体はそこまで強くなく、ラスボス・エリアボス・一部の隠しボスが歯応えがある程度だと思われます。また、育成面での救済措置が多いため非常に遊びやすくなっています。死にゲーでの不評の主な要因が、理不尽に難しすぎるや、難しいと面白いを履き違えている等で、ココイチで１０辛頼んでおいて辛すぎるから文句言ってるようなもんなんですが、そう言った理由の不評が少なくなり易いため圧倒的なのだと思われます。また、初動で過去最速に迫る勢いの売上であったと聞いたのですが、おそらく自国の神話が題材の大作を自国の方が多く買われたのではないかと思われます。単純に日本の１０倍以上の物量があるので、そのため売上・評価が実力以上に高くなったのではないでしょうか。しかし、非常に面白い作品である事に間違いはなく、DLCが出れば勿論購入します。その前に３週目に突入するかもわかりません。それぐらい素晴らしい作品です。</t>
  </si>
  <si>
    <t>通了两周目 100 小时并全成就。非常有趣。但若说到受苦类里“压倒性好评”的代表，我仍会举另一部作品。尽管如此它仍是精品；出 DLC 必买，甚至可能开三周目，就这么好。</t>
  </si>
  <si>
    <t>JP-P-250</t>
  </si>
  <si>
    <t>普通のゲーム感覚だと難しすぎて辛いので・・・でもカッコいいとは思いますけど。</t>
  </si>
  <si>
    <t>按常规动作的期待来看太难了……但确实很帅。</t>
  </si>
  <si>
    <t>JP-P-251</t>
  </si>
  <si>
    <t>2024-11-03</t>
  </si>
  <si>
    <t>西遊記をモチーフにしたソウルライクアクション非常に美麗なグラフィックと軽快なアクションがウリなのだろうがそれ以外にこれといった特徴はなしゲームバランスとしては道中の雑魚は割と簡単に倒せるがボスはゴリゴリのソウルライクでとにかく火力が高くて一撃が痛い次から次へとボスが出てくるのでボス戦が好きな人にはたまらないが個人的にはかえってだれてしまい飽きがきたまたグラフィックは素晴らしく景色も作りこまれてはいるがいわゆる『見えない壁』が存在しており頻繁に行く手を遮られるソウルライクとしては手堅くまとまっているがグラフィックと世界観以外は凡庸なためその二つが特に好きという人以外は買わない方がいい</t>
  </si>
  <si>
    <t>以《西游记》为母题的魂式。卖点是画面精美与动作轻快，除此之外……作为魂式还算扎实，但除画面与世界观外偏平庸，这两点不是刚需的人不建议买。</t>
  </si>
  <si>
    <t>画面美术场景；动作打击手感；推荐价值判断；西游悟空符号</t>
  </si>
  <si>
    <t>JP-P-252</t>
  </si>
  <si>
    <t>2024-11-05</t>
  </si>
  <si>
    <t>映像、アクション、BGM、ストーリーどれをとっても文句なくここ最近やったアクションTPSの中で一番面白かったです簡単すぎず、難しすぎず、理不尽さは感じませんでしたスキルやポイントの振り方が自由で自分の好みに難易度調整できるのも良かったです個人的にトレーラーを見た時はそこまで期待していなかったので良い意味で期待を裏切られました！！フレーバーテキストを読むのも楽しかったです＾＾非常に面白いゲーム体験をありがとうございましたおすすめです</t>
  </si>
  <si>
    <t>影像，动作，BGM，剧情都无可挑剔，是我近来玩过的第三人称动作里最好的一款。原以为动作不多会单调，实际完全不是。还以为会“卖氛围”，结果大大超出预期；读味文本也很有意思。非常感谢这次的体验！推荐。</t>
  </si>
  <si>
    <t>音乐音效配音；动作打击手感；推荐价值判断；角色期待意义偏移</t>
  </si>
  <si>
    <t>JP-P-253</t>
  </si>
  <si>
    <t>2024-11-15</t>
  </si>
  <si>
    <t>VERY GOOD</t>
  </si>
  <si>
    <t>JP-P-254</t>
  </si>
  <si>
    <t>2024-11-17</t>
  </si>
  <si>
    <t>非常棒强烈推荐——来自小黑盒用户^O^的评价</t>
  </si>
  <si>
    <t>非常棒，强烈推荐。（来自小黑盒用户的评价）</t>
  </si>
  <si>
    <t>JP-P-255</t>
  </si>
  <si>
    <t>アクションゲームとして完成度が凄まじい。始める前はアクションが少なく単調に見えたが、実際に始めるとそんなことはなく、むしろ人によってプレイスタイルががらっと変わるシンプルでありながら奥が深いゲームでした。ボス戦はどれもほどよい緊張感があり、初戦はこれは勝てないなと思わされるも、次戦では勝てるようになっている絶妙なバランスで飽きません。UE5を堪能できるゲームとして買いましたが、これはゲームとして非常に面白い良ゲーです。</t>
  </si>
  <si>
    <t>作为动作游戏完成度惊人。开始前看视频觉得招式少，会单调；实际玩起来完全不然。学习敌人的动作后，系统能很好地鼓励你“找到应对解法”，平衡拿捏到位，不会腻。我本来是为了 UE5 而买，结果游戏性本身就很好。</t>
  </si>
  <si>
    <t>JP-P-256</t>
  </si>
  <si>
    <t>最佳年度：黑猴。相比于其他提名的游戏，黑猴确实更加实至名归最佳动作冒险应该也得有黑猴。说句实在话，有黄金树幽影提名的奖项，黑猴都应该有。黄金树幽影可以说很大程度上沾了本体的光，新的地图，boss，剧情。FS确实下了一定的功夫，但是相对来说，同一个题材，相比于原作确实失去了一定的吸引力。我通关本体后立马买了黄金树幽影，相比于刚开始玩这个游戏的时候，少了不少乐趣，招式伤害更夸张的小怪没办法给我像以往足够的乐趣。我认为年度应该给黑猴一个机会。——来自小黑盒用户图书馆管理员宁宁的评价</t>
  </si>
  <si>
    <t>年度最佳：黑猴。就动作冒险而言它更配得上。对比某些提名作，它更能提供新鲜体验（某些提名作更像前作 DLC）。我认为年度应给黑猴一个机会。（来自小黑盒用户“图书馆管理员宁宁”的评价）</t>
  </si>
  <si>
    <t>JP-P-257</t>
  </si>
  <si>
    <t>難易度は高いがスキルを駆使すればなんとかなる難易度が素晴らしい</t>
  </si>
  <si>
    <t>难度偏高，但善用技能就能过去，这个难度曲线很棒。</t>
  </si>
  <si>
    <t>JP-P-258</t>
  </si>
  <si>
    <t>免费获取的产品
																可以的</t>
  </si>
  <si>
    <t>【免费获取】可以的。</t>
  </si>
  <si>
    <t>JP-P-259</t>
  </si>
  <si>
    <t>良いストーリーつくるじゃねえか！仏教、孫悟空しらなくても妖怪退治と雰囲気が最高です。世界の民族史やってたら更に興奮します。</t>
  </si>
  <si>
    <t>讲故事讲得真不错！即便不了解佛教，孙悟空，也能在“妖怪退治与氛围”中享受。若学过世界民族史，会更兴奋。</t>
  </si>
  <si>
    <t>西游悟空符号；中国文化宗教语言审美；国产3A身份期待</t>
  </si>
  <si>
    <t>JP-P-260</t>
  </si>
  <si>
    <t>このゲームをプレイして人生が変わりました。
まず一つ、このゲームを作成していただきありがとうございます。
そしてこのレビューはすべてただの一般オタクの痛々しい日記です。ご容赦ください。
私は物心つく頃から西遊記が好きで、西遊記をずっと好きでいました。
ただ西遊記は周りに好きな人が少なく、西遊の旅を一緒に語ってくれる人はいませんでした。
ドラマで西遊記がリメイクされたのも長らく、過ぎさったものが話題になることはなく、それは長く長く寂しいオタ活をしていました。
誰も周りが西遊記の話をしなくても、一人西遊記をずっと推し続けてきました。ただ、時がたつと忘れてしまうんですね。人というのは。
供給が少ないものはやはり推し続けるのが難しく、本当に自分は西遊記が好きだったのか？と思うにつれ、風化していきました。
たまたまこのゲームが発売されることを知った時、小学生のように跳ね上がりました。
本場中国が作ってくれるのなら、私が知らない西遊記の旅を味わうこともできるかもしれない。
新たな孫一行の物語が見れるかもしれない。
もうずっと供給がない状態のジャンルに、一筋の蜘蛛の糸が下りてきたような状態だったので居ても立っても居られない状態になり、これは絶対にプレイせねば。と思いました。
とはいえ、色々忙しく実際に購入したのはすでに発売された後。
急いで購入し、いざ尋常に、ゲームを起動。
そこにはすでに出来上がっている斉天大聖の姿が。これに舞い上がらないオタクはいません。手が震えました。
ゲームをスタートするとすぐに戦闘が始まり、本の中でしか見られなかった天庭の皆々様が拝め、なんなら10万の兵すらいて
その先に待ち構えていた最推しの姿はサプライズ以上のもので、プレイが出来なくなるほどでした。
この状況はゲームが始まってたった5分以内のものですが、それだけで黄風領並みに枯渇していたオタクとしては人生で初めて味わった濃密な5分間でした。
日本産の西遊記ではここまでてんこ盛りな状態を味わえなかったと思います。
このゲームで一人の西遊記オタクが救われました。
このゲームは厳密にいうと、原作通りの展開ではありません。孫一行となり西天への旅路を追体験する、というようなゲームでもありません。
でもそれで良いのです。私はすでにゲーム起動5分時点で昇天しているんですから。
もちろん、物語だけでなくゲームシステムも景色も最高でした。
大変失礼な話ではありますが、中国ゲームというと粗雑で、単調なイメージが先行していました。
しかしこのゲームは基本的に一本道ではありますが、美麗グラフィックで本当にその場所にいるような温度や湿度を感じられる工夫がされています。語彙がなく、どう表現すればよく伝わるのか分かりません。
しかし、紛れもなく昨今のゲームの中でも素晴らしいグラフィックであることに変わりはありません。
少し問題点を挙げるとするなら、このゲームが重すぎるということです。PS5レベルのスペックだと重くなるような状態です。
明らかに戦闘中にラグが発生するため、私の環境では最高品質でゲームをした際（他アプリを起動していたこともあり）PCが耐え切れませんでした。
最高品質でプレイをするというのであれば、現行PCの最強スペックで挑むのが安パイだと思います。
また、カメラの距離がいじれないのも戦闘中に少し問題がありましたが、こちらは私個人のプレイスキルも関係するものなので、あまり関係ないかもしれません。
サウンドについてもゲーム起動時のドラが耳を殺しに来ていること以外、何も言うことがありません。
すべて良いのですが、中国で1986年に放送されていたドラマ版西遊記のオマージュがちりばめられているため、これ聞いたことある！！と興奮することもできてすごく楽しいゲームミュージックでした。
ここまで書き込んでおいて、このゲームはオタクであればあるほど最高なゲームであるのは間違いないのですが、
西遊記を知らなくても十分遊べるようになっています。
特に日本人だとなんとなく西遊記を知っているけど基礎的な孫一行の情報しか知らない、という情報量でも十分遊べると思います。
何しろ、このゲームをやって「西遊記っておもしろーーー！！！！！」となってくれる人間が一人でも増えてくれるのが一番オタクとしてうれしいことですし、そんな意味でも最高のゲームであると思います。
この日記はあまり参考にならないと思いますが、多くの方が新しい西遊の旅に足を踏み入れて、最高のゲーム体験をしてくれることを祈ってレビューを認めました。
最後に、本当にこの時代に西遊記を蘇らせてくれてありがとうございました。
このゲームは私の宝物です。</t>
  </si>
  <si>
    <t>这款游戏改变了我的人生。谢谢你们做出它。以下只是一个普通御宅的碎碎念：自懂事起我就喜欢《西游记》，但身边少有人能一起谈论……纵使无人提起，我也一个人一直在喜欢；可随着时间推移，人会遗忘。供给少的作品，很难一直“推”。我甚至会怀疑自己是否真的爱它……（下略）</t>
  </si>
  <si>
    <t>JP-N-261</t>
  </si>
  <si>
    <t>2024-12-01</t>
  </si>
  <si>
    <t>中国の友人に強く勧められてプレイしました。　正直、今更西遊記？ という気持ちが強く、中国産特有のバタ臭さを想像してあんまり乗り気では無かったのですが、全然違いますね。メインの部分も洗練されていますが、隠しや収集要素と言ったユーティリティ部分もきちんと配慮されている。そして何よりユーザーが何を求めているか、例えば原作にあるような中国の原風景をそのまま歩ける。残念ながらオープンワールドで見える範囲すべてを歩けるわけではないですが。　大陸産のゲーム特有の冗長な残心も無く、アクションレスポンス性が非常に高く、戦闘面に期待を寄せる人もかなり納得できるものだと思います。強敵がこれでもかってぐらい出てきますので。　終盤頻繁に流れるテーマ曲《云宮迅音》は、他の人のレビューにもある通り1982/86年に中国で放送されていた西遊記ドラマのOP曲のアレンジです。このドラマは中国の友人曰く、毎年再放送をしているので「物心ついた子供から死の淵に至る人まで知っている」程の知名度を誇っています。原曲はチープな電子音ながら妙な中毒性があるので、1度は聴いてみることをオススメします。　ストーリーもこのドラマを履修していることを前提に語られ（と言うよりも原作に非常に忠実な為）、日本の西遊記ドラマのイメージだとかなりの違和感を感じると思います。勿論フラットにストーリーを受け入れればそんなに違和感はないですが。　シナリオ傾向の注意点として、 黒神話と銘打ってあるだけあって後味の悪い話が多めです。これは原作の悟空が奔放で明るめの展開だったことへの対比かな と思っています。　総じていい作品です。GOTY受賞したあとのレビューにあまり価値など無いですが、定価で買っても損したと感じさせないエネルギーがあります。</t>
  </si>
  <si>
    <t>在中国朋友强烈安利下入坑。原以为“都 2025 了还玩《西游记》？”并担心“油腻感”，结果是惊喜。就算放在 GOTY 之后，这仍是值得原价的作品。</t>
  </si>
  <si>
    <t>JP-M-262</t>
  </si>
  <si>
    <t>2024-12-02</t>
  </si>
  <si>
    <t>best story action graphics</t>
  </si>
  <si>
    <t>JP-P-263</t>
  </si>
  <si>
    <t>2024-12-04</t>
  </si>
  <si>
    <t>神ゲーですよくこのゲームは所謂ソウルライクゲームではないと言われますが死にゲーです。ステージの道中に雑魚敵、探索をすると名前のある中ボス、そして章の終わりを締めくくるボスがいるといった感じです道中で死んでしまった場合チェックポイント(dark soulで言う篝火)から始まりますアクション面に関してはソウルライクではないです悟空には三つの攻撃の型があり、それぞれの型のスキルツリーを育てていくと特殊な攻撃方法が解放されていくといった感じですアクションは相手に攻撃を多く与えると棍勢といった力をためるゲージを溜まりそれを放つと相手にでかいダメージを与えるといったもので新鮮で楽しかったです</t>
  </si>
  <si>
    <t>神作。严格意义上它仍是“受苦类”。道中有杂兵与探索；在极短窗口反打很过瘾；多打出伤害就能攒“棍势”并释放高伤，既新鲜又好玩。</t>
  </si>
  <si>
    <t>难度挑战；探索隐藏支线；推荐价值判断</t>
  </si>
  <si>
    <t>JP-P-264</t>
  </si>
  <si>
    <t>2024-12-05</t>
  </si>
  <si>
    <t>クリアしてから時間が経ちましたが記憶に残るゲームだったので久しぶりにレビュー　中国の美しい風景、世界的認知を誇る西遊記の最高品質のゲーム、難しいが理不尽だったり面倒に感じない適度な難易度のソウルライク、西遊記のお話を遊びながら知れる構成、中国だな～と感じれる音楽。要約すると西遊記を知れて中国に旅行した気分とやり応えがあるソウルライクを味わえる素晴らしいゲームです　西遊記を知らなくても楽しめる様に出来ています</t>
  </si>
  <si>
    <t>隔了一段时间来补评，因为它“让人记得住”。中国的风景极美，《西游记》的文化内核广为人知；玩着像去中国旅行，又有扎实的魂式挑战。即便不懂《西游记》也能享受。</t>
  </si>
  <si>
    <t>画面美术场景；难度挑战；西游悟空符号；原典知识人物关系专名</t>
  </si>
  <si>
    <t>JP-N-265</t>
  </si>
  <si>
    <t>2024-12-06</t>
  </si>
  <si>
    <t>購入してから少ししかやらずに放置していたので再プレイ。続けなかった理由が分かった。こん棒のみのもっさりアクション。オープンワールドっぽいが結局一本道。敵見つけた戦闘→敵見つけた戦闘の繰り返しで１時間ほどで飽きちゃった。こういう世界観が好きな人にはめっちゃはまるんだろうけど、何の思い入れもないとただのくせつよアクション。全然やってないからこれから面白くなるのかもだけどなんか拒絶反応で閉じてしまった。</t>
  </si>
  <si>
    <t>买来稍玩就放下，如今回炉——终于明白当初为何弃坑：只有棍，手感笨重；开放世界名不副实；对《西游记》没有情感时，就只剩“个性很强的动作”，让我产生排斥。</t>
  </si>
  <si>
    <t>动作打击手感；地图路线；推荐价值判断；西游悟空符号</t>
  </si>
  <si>
    <t>JP-M-266</t>
  </si>
  <si>
    <t>My game of the year</t>
  </si>
  <si>
    <t>JP-P-267</t>
  </si>
  <si>
    <t>2024-12-27</t>
  </si>
  <si>
    <t>很好的游戏，使我的金箍棒旋转</t>
  </si>
  <si>
    <t>JP-N-268</t>
  </si>
  <si>
    <t>見た目や音楽などのアートはほんとに美しくて100点。アクション面では予備動作が無い攻撃が多すぎたり、タメ強攻撃を避けられたりでイライラしたりでそこまで楽しめなかった。75点くらい。ストーリーとか登場人物を理解するには事前に西遊記の本とかを読んどく必要がある。</t>
  </si>
  <si>
    <t>美术与音乐漂亮到 100 分。动作方面：没有预备动作的攻击太多，重击经常被打断，镜头追踪不稳，空振判定等问题让我不太尽兴——大概 75 分。想理解剧情与人物，最好事先读点《西游记》。</t>
  </si>
  <si>
    <t>画面美术场景；音乐音效配音；动作打击手感；锁定视角；判定反馈；西游悟空符号</t>
  </si>
  <si>
    <t>JP-P-269</t>
  </si>
  <si>
    <t>パリィのようなものはないけど敵の技をギリギリで回避して技を打ち込む感覚は面白い。ほかに倒したボスの技をコピーして使えたりするところは面白い。不満点としては、エルデンリングのようなかっちょいい武器や種類の多さはない。ほぼ棍棒で数える程度の武器しかない。アクションが割と単調になりがち。行けそうなのに見えない壁に阻まれることが多々ある。猿なことを活かしてアサクリのようなパルクールができたらよかったと思う。フロムゲーのように周回していくと敵が強くなりますが、２、３週目はサクサクですが４週目以降は有用なスキルの開放もできずただ相手が強くなるだけのようです。結論はおすすめはするけど飽きる人はすぐ飽きそうだと思う。フロムゲー好きな人はまぁ楽しめるかも。ゲーム性ばかりで翻訳面に触れていませんでしたが、めちゃくちゃクオリティ高い翻訳です。</t>
  </si>
  <si>
    <t>虽然没有传统“招架”，但在刀口上回避后反打的感觉很棒；还能复制已打倒 Boss 的招式来用，这点挺有趣。对 From 粉来说大概也能玩得开心。顺带一提，翻译质量非常高。</t>
  </si>
  <si>
    <t>动作打击手感；Boss战斗节奏；整体完成度；推荐价值判断</t>
  </si>
  <si>
    <t>JP-N-270</t>
  </si>
  <si>
    <t>2024-12-28</t>
  </si>
  <si>
    <t>おすすめできない。3章途中までプレイ。途中からは我慢しながら進めていた。グラフィックはいいと思う。ストーリーは西遊記周りを知っていれば楽しめたのかも。アクションが楽しくない。楽しくない場面が多すぎる。難易度で言ったら難しめではある。ただそういうところじゃない。エ○デの獣みたいな消えて出てきてを追いかけてぺちぺちするボスが多い。これに尽きる。上以外も、げんなりな点ディレイ混ぜの連撃を覚えてジャスト回避する必要がある。術やらなにやらはリキャストや消費の関係上１回２回打つだけ。そもそも術やスキルはボスには実質機能しないことが多い。こちらの戦法に選択肢はないので、タイミングを合わせやすかったり合わせ辛かったりする差異があるくらい。1部の中ボスは攻撃でひるませたり、スキルや術を有利に働かせたりを組み合わせることもあった。そこだけは面白さの片鱗を感じたが、難しいのは耐えられるが、つまらないのは耐えられなかった。</t>
  </si>
  <si>
    <t>不推荐。打到第 3 章中途；后面几乎是“忍着”推进。画面不错，故事是《西游记》变体；动作这块几乎一味回避，偶尔也能穿插法术与傀儡，只有这时才觉得有意思。难可以忍，但“无聊”我忍不了。</t>
  </si>
  <si>
    <t>JP-M-271</t>
  </si>
  <si>
    <t>魂に響く</t>
  </si>
  <si>
    <t>直击灵魂。</t>
  </si>
  <si>
    <t>JP-N-272</t>
  </si>
  <si>
    <t>2025-01-02</t>
  </si>
  <si>
    <t>真的真的真的牛逼了吧唧的人</t>
  </si>
  <si>
    <t>JP-P-273</t>
  </si>
  <si>
    <t>全体的にはおすすめです。良い点・西遊記のスケールの大きい世界観を綺麗なグラフィックで表現・敵キャラのバリエーションが多い・ボス毎に多種多様なモーションが用意されていて戦闘にやりごたえを感じる悪い点・探索要素が比較的おおいのに対し進行可能場所と進行不可能場所の区別が見た目では非常に分かりにくく探索がしづらい・西遊記の事前知識がないとゲームの各章のストーリーが分かりずらい（キャラクター図鑑の説明の内容だけでは分からなかったので後でネットで各キャラを調べた）・戦闘時以外でダッシュにスタミナ（体力）の消費が必要（スキルでダッシュ時のスタミナ消費量を減少できますが移動距離が長いので不便に感じた）惜しい点・ボス毎に攻撃の予備動作が見にくい(もしくは予備動作がない)ものが結構ある。それに安定して対応するのにスキルの使用が必要でごり押しで倒しているように感じ場面が多くあり、「敵の攻撃はよく分からないがなんか倒せた」と感じるボスが多い。・弾きスキルを通常スキルとして用意してほしかった。似たような法術スキルはありますが、ゲーム冒頭の演出で自キャラと敵キャラが武器で打ち合いをしているのにそれがゲームプレイだとできないのがもどかしく感じる細かな不満点はあるものの西遊記のような世界観のゲームをこれまでしたことがなく新鮮味があり全体としてはアクションアドベンチャーとして十分楽しむことができました。</t>
  </si>
  <si>
    <t>总体推荐。优点：用精美画面呈现《西游记》的宏大世界观；敌人种类丰富；Boss 有趣。缺点：缺地图与导航；容易迷路。总体而言，我以前没玩过这种气质的作品，新鲜且足够好玩。</t>
  </si>
  <si>
    <t>画面美术场景；Boss战斗节奏；难度挑战；地图路线；引导迷路单线；推荐价值判断；西游悟空符号</t>
  </si>
  <si>
    <t>JP-N-274</t>
  </si>
  <si>
    <t>①オープンワールドではない②武器種は１のみが、棍法(型)は３あり③アクション苦手にはオススメしない④1週目は色々揃ってないから、苦労する⑤2週目はかなり気持ちいい⑥3週目からは本番かなぁ⑦ Ver.1.0.13アプデは鬼畜(神)⑧詰んだらおすすめビルド探しましょう不屈の精神あれば、苦ではないはず？</t>
  </si>
  <si>
    <t>①不是开放世界。②只有一种武器，但有三种“棍法（型）”。③不擅长动作的不推荐。④一周目只是把基础配齐，二周目才是真正开始。⑤……⑦ 1.0.13 版本更新极难。⑧卡关时去找推荐 BD，只要有不屈的心，就不算痛苦。</t>
  </si>
  <si>
    <t>动作打击手感；地图路线；推荐价值判断</t>
  </si>
  <si>
    <t>JP-M-275</t>
  </si>
  <si>
    <t>クソげーではないが、よくわからないストーリー、没入感のない操作性、意味不明な判定、どれも面白くないボス戦等、本質的なゲームとしての要素で褒めるところはない。グラフィックは非常に綺麗なので、それを重視する人はいいかもしれない。</t>
  </si>
  <si>
    <t>谈不上粪作，但故事莫名其妙，操控缺少沉浸，判定不明，Boss 战也无趣，在“游戏的本质要素”上无可称道。画面极漂亮，重视画面的可以考虑。</t>
  </si>
  <si>
    <t>画面美术场景；Boss战斗节奏；判定反馈</t>
  </si>
  <si>
    <t>JP-M-276</t>
  </si>
  <si>
    <t>つまんね</t>
  </si>
  <si>
    <t>不好玩。</t>
  </si>
  <si>
    <t>JP-P-277</t>
  </si>
  <si>
    <t>挺好的挺好的，非常好</t>
  </si>
  <si>
    <t>JP-P-278</t>
  </si>
  <si>
    <t>2025-01-18</t>
  </si>
  <si>
    <t>結論として綺麗なグラフィックで孫悟空の物語を知っていて単調な戦闘が好きで見えない壁があっても楽しめるなら良いと思う。【良かったところ】・グラフィック【合わなかったところ】移動速度が遅く感じた・スティックを傾けた時のキャラクターの動きが他作品に比べはるかに遅い。リアルさ？を優先してんのかわかんないけど合わなかった。見えない壁多すぎ問題・見えてるところはほぼすべて行ける脳の自分にはとてもストレスだった。戦闘が単調・1度の入力で3,4回殴る系の勝手にコンボしときましたシステムだったので自分には合わなかった。・ボスは殴れない時間が長いのが多く戦闘を楽しむよりもボスのカッコいい技見ててね感が強かった。あと、当たり判定がおかしいボスがいる。・術とか変化やらもストーリー進めていくと効かないボスもいるし、最終的には禁止術や薬使って、ジャスト回避でズドンを当てるだけの作業となっていた。・ソウルシリーズなどの操作感を期待してはいけない。評価が良かったので買ってみたけど、孫悟空の物語も良く知らないしアクションまわりが自分には合わなかったので、もっとレビュー読んでおけばよかったと思った。他作品でも言われていた一本道だのグラフィックだけなどの事があてはまるゲームと感じたんだけど評価が高いのが謎。</t>
  </si>
  <si>
    <t>结论：若你喜欢“漂亮画面＋熟悉孙悟空＋能接受单调战斗＋看见隐形墙也能玩下去”，那还不错。我本该等打折。它也符合常见“只有画面，实为单线”的评价，却拿到高分，令人不解。</t>
  </si>
  <si>
    <t>画面美术场景；Boss战斗节奏；空气墙可达性；引导迷路单线；西游悟空符号</t>
  </si>
  <si>
    <t>JP-M-279</t>
  </si>
  <si>
    <t>2025-01-19</t>
  </si>
  <si>
    <t>nice game！</t>
  </si>
  <si>
    <t>JP-P-280</t>
  </si>
  <si>
    <t>2025-01-27</t>
  </si>
  <si>
    <t>序盤から中盤までは成長を実感できて戦闘のアクションも変わるので楽しいが、中盤から終盤にかけて成長がものすごく鈍化してワンパターンになるので飽きてくる。ストーリーはアニメなどでかなり凝っているが、抽象的な表現が多いのであまり感情移入せず、続きが気になって進めたくなるほどのモチベーションに繋がらない。私は頑張って5章クリアまではやったが、6章で飽きてしまった。武器が複数あってアクションが変わるとか、Lv80くらいまで新しいスキルがあれば、もっと飽きずにプレイできたと思う。あと一部の敵は強いが基本的にほとんどの敵は初見クリアできるので、アクションゲームが得意なソウルライクゲームをやりたいと思っている人は、かなり簡単で拍子抜けすると思う。</t>
  </si>
  <si>
    <t>从序盘到中盘成长实感很强，战斗节奏也会改变；但到后期成长显著放缓，敌人更硬，我方更脆，导致乐趣下降。动作高手甚至能初见过很多敌人，想找“高强度魂式”的会觉得偏简单。</t>
  </si>
  <si>
    <t>JP-P-281</t>
  </si>
  <si>
    <t>ソウルライクをやるのは初めてだったけどかなり楽しめた。西遊記は小さいころに本で読んだきりだったから詳しいストーリーまでは理解できていないけどそれでも面白かった</t>
  </si>
  <si>
    <t>第一次玩魂式也很开心。小时候只在书里看过《西游记》，剧情细节没完全懂，但仍然有趣。</t>
  </si>
  <si>
    <t>推荐价值判断；西游悟空符号；童年记忆情怀</t>
  </si>
  <si>
    <t>JP-P-282</t>
  </si>
  <si>
    <t>2025-02-11</t>
  </si>
  <si>
    <t>ストーリーからグラフィックと音楽も良く、難易度も高めでしたが、技と術のタイミングがつかめれば何とかクリアできるレベルで最後まで楽しめました</t>
  </si>
  <si>
    <t>剧情，画面，音乐都好；难度偏高，但掌握技能与法术的时机后就能通关，过程一直很好玩。</t>
  </si>
  <si>
    <t>画面美术场景；音乐音效配音；动作打击手感；难度挑战；推荐价值判断</t>
  </si>
  <si>
    <t>JP-P-283</t>
  </si>
  <si>
    <t>2025-02-23</t>
  </si>
  <si>
    <t>まずオープニングがかっこよすぎて期待値がプレイ数分で振り切ってしまった。難易度高めのアクションゲームを期待して買ったのに、グラフィックや世界観が美しすぎてそっちの魅力に初めは惹きつけられました。肝心の戦闘面については、難しさと攻略していく楽しさの調整は SEKIRO レベルを期待すると裏切られるかもしれません。長時間一方的に攻撃してきたり、無敵で逃げ続けるボスは何度も挑戦しなければならないのに暇な時間が多くてつまらなかったです。正直中盤は期待していた戦闘はあんまり楽しまず、きれいなグラフィックを楽しんでいるだけで、ゲームとしては低評価でしたし、他にやりたいゲームがあったら辞めてたかも。くらいの時間もありました。しかし、最終盤をプレイしている頃にはすっかり世界観の虜になっていて、西遊記をきちんと読んでみたいって思えるほどにのめり込んでいました。良かった点：世界観、敵キャラ含むキャラクター達が魅力的、演出がとにかくかっこいい。つまらないレベリングが必要ない程度の難易度調整悪かった点：マップの作りが雑。何かありそうだなーとワクワクしながらそこに向かっても何もないことが多かった。戦闘そのものの楽しさはフロムゲーの勝ち</t>
  </si>
  <si>
    <t>开场帅到离谱，让期待在几分钟内拉满。我是奔着“高难动作”买的；战斗很有魅力，但地图制作粗糙，许多看似有料的地方走过去却什么也没有。纯论战斗乐趣仍是 From 更胜一筹。</t>
  </si>
  <si>
    <t>动作打击手感；Boss战斗节奏；难度挑战；地图路线；推荐价值判断</t>
  </si>
  <si>
    <t>JP-P-284</t>
  </si>
  <si>
    <t>2025-03-10</t>
  </si>
  <si>
    <t>いいところ:1、グラフィックとアートが美しい。2、棍勢をチャージする戦闘システムが爽快で、アクションがかっこいい。3、チャプター終了時のアニメーションが凝っており、演出が魅力的。悪いところ:1、最適化に問題があり、フレームレートの低下やクラッシュが発生することがある。また、ロックや入力バッファの処理が不十分で、コントローラーの操作が時々反映されないことがある。2、マップデザインがリアルすぎるため、行けない場所に明確な障害物がなく、見えない壁が多い。特に後半のチャプターでは、マップが広すぎるわりにアイテムが少なく、探索が単調になりやすい。ただし、現バージョンではマップシステムが更新され、探索に大きな支障はなくなっている。</t>
  </si>
  <si>
    <t>优点：1) 画面/美术漂亮；2) 充能“棍势”的战斗系统爽快，动作很帅；3) 收藏/图鉴很有意思。缺点：地图里可互动/收集物偏少，探索易单调。注：现版本已更新地图系统，探索障碍小很多。</t>
  </si>
  <si>
    <t>画面美术场景；动作打击手感；Boss战斗节奏；地图路线；探索隐藏支线</t>
  </si>
  <si>
    <t>JP-P-285</t>
  </si>
  <si>
    <t>2025-03-22</t>
  </si>
  <si>
    <t>これはゲーム界の”すたみな太郎”である。
「全部」あってすべてが「ない」。
4章クリアしたところで断念。
グラフィックや演出、音響など金さえかければよくできる部分だけ手がかかった、ハリボテのようなゲーム。
つまり、リスク・リターンがよく考えられている駆け引きのある戦闘や、悟空さながらのスピード感のあるアクション、重厚で引き込まれるストーリー、この先に何があるのかわからないという緊張と期待感を伴ったステージ探索、キャラクターが強くなっていく実感。
こういった優れたアクションあるいはRPGが持つゲームの喜びというものは、一切ない。
レベルデザインは信じられないほど酷く、動線という概念がない。
行き止まりばかりで立体感を一切感じられない空疎な構成と言わざるを得ない。
移動速度が遅いくせに篝火や、なんとショトカすらほとんど存在しない。
アクションもパッと見はコエテクゲーのようなスピードとレスポンスの良さを感じるが、自分で動かしてみるとモーション間のぎこちないラグや、入力してから次に操作可能になる時間の長さから、自身が天命人を駆っているという感覚がない。
モブやボスといった敵のデザインも「プレイヤーをどう殺すか」しか考えられておらず、したがって雑魚はスーパーアーマーと遠距離チクチクでストレスフル、ボスは初見殺し超ディレイと極範囲攻撃、攻撃後の隙消し瞬間移動、無限に終わらない連続攻撃、そしてスタミナ半減や回避速度低下などの悪辣でプレイフィールになんの寄与もない”ただ時間をかけさせる”ギミックの数々で倒しても徒労感しか残らない。
『ソウルライクなんてボスがいっぱいいればいいでしょ？ｗ』といった高慢な態度が透けて見える。
主人公の強化システムも20年前を感じさせるような手垢のついたかび臭いシステムで最悪だ。
スキルツリーは有用なものが少なく、新スキルによるアクションも前述の戦闘バランスもあってモーションの長いものなど使っていられず、結局攻撃力や体力などにつぎ込むことになりシステム自体が形骸化している。
また武器は極一部を除いてモーションの変わらない如意棒しかなく、装備にしても際立って有用な効果のものがなく、結局攻撃力防御力優先で固定化されるので、おそらく殆どのプレイヤーがただ最新の武具に変えるだけで、やはり装備システム自体が無意味。
強化システムがこの具合なので、探索も全く捗らない。
どの武器も防具も数字が変わる程度なのでクソマップを探し回るモチベーションにはならないのだ。
そもそも、武器防具が新調できるタイミングは各章の大ボスをタイミングが大半なので、ほんとに探索する意味はあまりない。
探索やNPCイベントもそういった武器防具ならいいほうで、大概は糞の薬にも立たない回復アイテムや金くらいなのでため息しか出ない。
その割に時限イベントや攻略が必須な隠しエリアばかりというのは、制作陣がこのゲームの問題点に全く無自覚だったという証左だ。
ストーリーもお粗末としか言いようがない。
キャラクター同士が旧知の関係性ばかりで「当然最遊記を知っていますよね？」という前提で話が進んでいくので正直意味不明。
言ってしまえば西遊記のDLCストーリーというのが適当ではないだろうか。
そして章ごとの場面転換も激しく、砂漠にいたと思ったら次のシーンには海にいてみたいなのが頻発する。
正直言って「中国が誇るあの西遊記なんて知らないほうが悪いでしょ？」というナショナリズムにも似た傲慢さを感じざるを得ない。
ダクソやブラボのような語らないストーリーで妄想させるうまいストーリーテリングではなく、詰め込めるだけ原典から引っ張ってきた要素がぶち込まれているのに、眼の前のキャラクターが一体誰でどんな関係性があるのかすら理解が困難というお粗末さ。
西遊記見てたほうが億倍面白い。
ちなみにLies of Pはピノキオを知らなくても簡単に理解できるストーリーだった。
いい点としてはスキルの振り直しが無料な点。
グラフィックがAAAの中でも最上級な点。
世界観や音響の良さ。
息を呑む演出。
以上だ。
その演出にしても、真にダイナミックで映画的な迫力のある映像は最初のシーンくらいで、後半にかけては普通のAAA級ゲーム程度に落ち着いてしまった。
総評するとこのゲームは
”すたみな太郎”
だ。
寿司や焼き肉、カレーや綿あめにケーキなど、食の贅を尽くしたようなラインナップだが、まあ行ったことがある人間なら言いたいことはわかると思う。
寿司はスーパーのパック寿司程度だし、肉はほかで見ないような脂身の多さ、カレーは海の家やスキー場を思い出すクオリティだし、そもそも綿あめなんか食べなくてもいい。
こういう店ではしゃげるのはまだいろんな店を知らない小学生や中学生までだ。
翻ってこのゲームにも同じことが言えて、駆け引きのある戦闘なら本家ソウルやP、SEKIRO、Tymesiaのほうが億倍優れている。
ハクスラハイクオリティアクション・アドベンチャーならゴッド・オブ・ウォーやDMCがある。
ストーリーや世界観がいいゲームなんて枚挙にいとまがない。
みっちり広い世界を探索するたびに出たいならRDR2やGhost of Tsushimaをやろう。
ぶっちゃけた話、見た目だけ整えている分、見た目から質の低さがわかるすたみな太郎より悪質かもしれない。
食品偽装のようなものかも。
少し話がそれたがはっきり言って
「威信と大量の金をかけ作られた、様々な名作ゲームの寄せ集めの大幅劣化版」
というのがこのゲームのふさわしい立ち位置だ。
もし上記のゲームを知らないならやってみるのもいいだろう。
あるいは「何が何でもハイクオリティのグラフィックが堪能したい！」という需要もあると思う。
ただひとこと言いたいのは、
GOTYに選ばれた傑作たち。
ゴッド・オブ・ウォー、ゼルダの伝説 ブレス オブ ザ ワイルド、The Last of Us、Skyrim、Portal 2、DARK SOULS III……
ゲーム史に燦然と輝く金字塔に比肩するクオリティだと本当に言えるだろうか？
俺は口が裂けてもそんな世迷い言は言えない。
【クリア後追記】
裏ボスまでクリアしたので追記。
結論としてはこんなものに時間を費やす必要は一ミリもなかった。
ラスボスと裏ボスは簡悔の極みといった感じで何も面白くない。
溜め攻撃をしないとダメージが取れないゲームで溜め攻撃を回避するなんて一体何を考えていたのだろうか？
じゃあ強いか？といえばレベルが上っていたのでそこまでではない。
ラスボスは連戦でも初見撃破だったしその前哨戦のほうが強かった。
ただ、攻撃を無敵時間でスカされて最高にムカついただけ。
やってよかったことといえば、この続編は絶対に買うべきではないということがわかっただけだった。
アクションゲームにフェアネスや操作感の面白さ、ビルドの幅といったものを求める人間はやるべきではない。</t>
  </si>
  <si>
    <t>它像“自助餐”：什么都有，又好像什么都没有。（略）全成就约 100 小时（含挂机）。二周目末尾；连战没做。最后一个杯是补齐道中小怪的稀有掉落。</t>
  </si>
  <si>
    <t>JP-P-286</t>
  </si>
  <si>
    <t>2025-04-17</t>
  </si>
  <si>
    <t>圧倒的に洗練された戦闘システムとバランスだったといえます。ゲームとは、ここまで細かい配慮やデザインの差で変わるのか！？ということを気付かせてくれました。面白いゲームとそうでないゲームの差は本当に詳細に宿っているのですね。これだけ多くの死にげーが巷にあふれている中で完全に異彩を放つ傑作と言えるでしょう。</t>
  </si>
  <si>
    <t>战斗系统与平衡度极其“洗练”。原来游戏的差异竟能在如此细微的考量与设计中显现——在琳琅满目的受苦类里，它自成一派，是足以称道的杰作。</t>
  </si>
  <si>
    <t>JP-P-287</t>
  </si>
  <si>
    <t>2025-05-12</t>
  </si>
  <si>
    <t>よかった。■気に入った点：世界観美麗なグラフィックやアート、東洋すぎない音楽、そして中国古典（岩波文庫や講談社学術文庫で見るタイプ）のような妖怪や人物の紹介文により、「仏教と道教がミックスしているが、儒教臭さがほとんどない中国」の世界を体験できます。他ゲーで見ない世界観なので、西遊記をちょっとしか知らなくても楽しめました（主人公4人とその背格好、インドに経典を取りに行く話である、牛魔王が出てくるときに嫁の芭蕉扇がどうこう、その他は金角・銀角の名前だけ知ってるレベル）禅院も出てきますが、そんなに禅禅禅と言ってくるようなことはありません。仏教についてもどうこう説明してくるものでもありません。かといって禅問答の語源であるガチの唐代の禅語録みたいな意味不明なものはないです。特に良い点としては、よくあるAAA西洋ゲー的な、マインドフルネスとかインテリチックな解釈とか説明とかをされることがない点。ストーリーともそこまで関係ないし。道観も同様。ともかく、中国語で「度一切苦厄！」とか言いながら攻撃してくるですよボス（不空）が。こんなのどんなゲームでも見たことありませんよ。最高。あと一部ボスが戦闘中に大乗仏教・禅ではおかしいと言われてしまう内容（説一切有部）を言ってます。（黄眉）それ以外でも、中国古典の引用が随所にあります。中国語で。論語や荘子にもある「狂接輿」の話で出てくる「鳳よ鳳よ」とか、易の繋辞上伝の内容もセリフになります。中国語で。説明は難しいがすごく良い温度感だった。これは西洋人にはかなり新鮮な気がする（しらんけど）■アクション関連：一部のボス、わかり辛い・難易度ボスの難易度は非常に高く、ソウルシリーズよりはずっと難しいと感じた]/b]。ブラッドボーンでガスコイン初見突破、その他の大半を初見～4回以内で突破してきて、仁王1,2もそんな感じだったのだが、このゲームでは1時間以上かかるボスが3人もいた。相性悪いんかな。考えられる要因としては、プレイヤーの加齢と視力変化を除くと、死んで覚えることにかなり時間がかかったことか。時間がかかった具体的な理由は、動作の速い大ボスの攻撃の終わり方が「次も武器や体を振ってきそうな滑らかさ」で大変いやらしく分かり辛いことと、一部は攻撃エフェクトが見え辛い（設定問題か）といったあたり。加えて音声を中国語にして戦闘中セリフの字幕にかまけて死んだのも何回かあります。これにより回避練習に物凄く時間がかかった。死んだ。で、少なくともソウルのような良くも悪くもモッサリかつ単調で覚えやすいものではなく、かつ覚えるのに効果アリとしか思えないい素晴らしいSE（音）もソウルほど心にグッとくるものではなかったので、上記に拍車がかかったといったあたり。メタルギアライジングの最高難易度S評価よりも難しいかもしれないとはいえ後半はやることが決まってきて、対策の引き出しもすぐ思いつくようになってきたので、ボス戦では回避と回避しながらの攻撃をどうするか、といった具合でなんとかなった。個人的に印象にのこったり苦戦したボスは以下・亡魂（広智無しでいったので、事実上のチュートリアルとして散々痛めつけられた。道中の雑魚敵が非常に弱いこととの落差が激しい）・虎先鋒（血の海で戦うほう。疲れてたんだと思う）・赤尻馬猴ラスト（背景もモーションもエフェクトも本人も赤くて、見分けが難しい）・黄眉2回目（禁字術未習得、法術で痛い目を見た上、どうも後半のエフェクトが見辛くタイミングが合わない。避けられない）・小黄龍（初見4章、八戒と戦う前に挑戦。かかった時間は1.3h程度でトップのはず）・毒敵大王（30分くらいで運良く攻略できたが、3回くらいやった段階での絶望感は1位）・碧背螂（カマキリ。画面と攻撃モーションの赤いのがやたら見辛く、ヒップアタック以外は全然覚えられなかった。薬がぶ飲みしてコウモリで凍らせてなんとかなった）とりあえず西遊記よみます</t>
  </si>
  <si>
    <t>优点：世界观与美术，不过分“东方刻板”的音乐，以及对中国古典的考据都很合我胃口。让我吃力的不是年龄与视力，而是“靠死去记”的成本偏高——尤其是高速大 Boss 的收招判定。</t>
  </si>
  <si>
    <t>画面美术场景；音乐音效配音；Boss战斗节奏；判定反馈；中国文化宗教语言审美；外部资料依赖</t>
  </si>
  <si>
    <t>JP-M-288</t>
  </si>
  <si>
    <t>Very mid game that is carried hard by the marketing and the Chinese player base. If you are from the West, I can assure 99% of you won't even understand the story at all. The gameplay is pretty much just boss rush, the world is filled with hidden wall (they should just called this game Wukong Invisible Wall tbh). I would only recommend to buy this game on discount. DON'T GET FOOL BY THE HYPE. Just buy Elden Ring instead.</t>
  </si>
  <si>
    <t>JP-P-289</t>
  </si>
  <si>
    <t>2025-06-16</t>
  </si>
  <si>
    <t>20時間プレイしました。が、一向に面白さを感じられず放棄していしまいました。私はダークソウルシリーズやエルデンリングの大ファンなので、本作のダークファンタジー感のある世界観と高難易度アクションという要素が非常に魅力的に映り、購入して遊んだのですが一向に面白くならない。もう少し進めば慣れてくるとも思いましたが本作の楽しさをまったく理解できませんでした。フロムゲーのような難解なダンジョンを抜け、強敵を下しても一切の達成感を得られなかったのです。誤解を恐れずに評価するのであれば、空っぽなゲームだなと思いました。確かにアンリアルエンジンで描かれた世界はとても綺麗で、登場するキャラクター達も魅力的なのですが全く惹かれないのです。本作を減点方式で採点するならば100点ですが、加点方式で採点すると10点くらいでしょうか。GOTYを受賞できないのも正直納得ではあります。ただ全世界で評価されている作品ではありますので、たまたま私に合わなかっただけかもしれません。ただ、フロム作品が好きなので本作もやってみようかなという方は注意が必要だと思います。</t>
  </si>
  <si>
    <t>玩了 20 小时仍没感到乐趣，于是弃坑。我喜欢黑魂与《艾尔登法环》，但这部和我不合。也许只是我个人口味问题；不过若因为喜欢 From 而来，需多加注意。</t>
  </si>
  <si>
    <t>JP-N-290</t>
  </si>
  <si>
    <t>2025-07-06</t>
  </si>
  <si>
    <t>中盤時点の感想です。
おすすめするかしないかの2択であれば、どちらかいえばおすすめしない側、という感じです。
グラフィック含めよくできているとは思いますが、主人公の移動速度が遅すぎてテンポが悪いのと、当たり判定/ジャスト回避判定が全体的に直感に反する印象で、やけに高い評判ほどではないような。。。
フィールド探索においては見えない壁が多く、明らかに行けそうなエリアでも進入禁止を見えない壁に頼り切っている印象で、探索が楽しくないです。
また、敵が背景に紛れて見にくく、移動中Rスティックボタンをカチカチし続けていないと敵に気づけず奇襲を受けがちなのも気になりました。
私のプレイスキルの低さと言われればそれまでなのですが。
-----
3話中盤の不可避デバフをかけてくるボスで心が折れ、その後1ヶ月ほど空けてから再開しました。
レベルを上げて法力で殴ることで突破。
もっとうまいやり方がきっとあるんでしょうが、、、
レベルを上げて法力で殴ればしばらくは大概の敵でなんとかなりましたが再び4話のラスボスの不可避デバフフィールドで心が折れかけ………
スキルや仙薬の振り直しとアイテム使用でなんとか押し切りました。
攻撃はディレイがほとんどな上にディレイ後に一瞬で攻撃が発生するのでタイミングを覚えていないと回避も難しく、見てから反応ができません。。。
遠距離の連撃は初動をミスるとその後頑張っても被弾が避けられないなど、正直ゲームとしてのデザインに疑問を抱かざるを得ません…
しっかりテストプレイしてるんでしょうか？
撃破後に復習がてら当該ボスの攻略情報を見たのですが、ゴミデバフの対策をするには隠しボスを倒さないと手に入らないアイテムが必要なのですね………
サブイベントの進行度も確認するすべがほぼないので、次に何をしたら良いかもやっててよくわからなくなることが多いです。
-----
100時間超程度(それなりの時間を起動しながら放置しました)でトロコンしました。
進度としては2周目終盤です。
連戦はやる気が起きず/スキルが足りずやっていません。
最後のトロフィーは道中の雑魚のレアドロップ装備の取りこぼし回収で達成しました。
この時点でのレベルは236で、スキルツリーのコンプにはまだまだ道のりが長そうです。スキルコンプも3周要るので、そこまではやらないと思います。
なんだかんだ文句言いながらトロコンまでやりましたが、やっぱりおすすめするかしないかの二択でいえば、おすすめしないです。人を選ぶと思います。
改めて、西遊記の知識があれば十分楽しめると思いました。
自分も興味が湧いてクリア後にYoutubeで西遊記の物語についての解説動画を色々と見ましたが、悟空達のハチャメチャ具合がおもしろいですね。
(ちなみにタイムリーにGame Science様より新作の黒神話が発表されましたが、西遊記以上に知らない物語がモチーフのようで多分やらないです、、、)
アクションゲームとしてやりたいという方には、他のゲームのほうがいいと思います。
なんというかアクションゲームにある程度慣れていないとクリアが難しいけれども、アクションゲーム好きを満足させられる出来にはなっていないという印象で、物語や世界観を楽しむためにやるゲームだなという印象でした。</t>
  </si>
  <si>
    <t>中盘感想：若只能二选一，我更倾向“不推荐”。虽然做得不错，但主角移动太慢，当/回避判定不直觉，未达网上吹捧的高度。探索有大量隐形墙，敌人伪装在背景里不易发现。第 3 话中途那个“不可避免的减益”把我劝退；查攻略才知对策道具需要先打隐藏 Boss 才拿得到。支线进度也几乎无从确认，常不知下一步该干嘛。</t>
  </si>
  <si>
    <t>动作打击手感；Boss战斗节奏；判定反馈；空气墙可达性；探索隐藏支线；推荐价值判断；外部资料依赖</t>
  </si>
  <si>
    <t>JP-N-291</t>
  </si>
  <si>
    <t>2025-07-07</t>
  </si>
  <si>
    <t>1章クリア時の評価 悪いゲームじゃないんだけれど戦闘が合わなかったので低評価。戦闘面はダークソウルのようなお互いもっさりとした動きの戦闘。相手が動き始めてから実際に攻撃するまでの時間が長く、回避のタイミングはかなりわかりにくい。でもそんなことよりもプレイヤー側が強すぎるのが気になる。回避のタイミングがわかりにくくても回避を連打できるためお願いローリングで何とかなるし、攻撃の最終段がひるませやすかったり定身術などの術が強く一方的に攻撃できたりと、 「よくわからないけど勝ててしまった感 」が強く強敵を倒せた達成感がなかった。ただ世界観の表現の良さでいうと他のゲームとは一線を画す出来。マップの雰囲気良し、雑魚敵1体ずつ図鑑で詳細な説明あり、中国風なセリフ回し良し、クリア後のアニメや絵の解説などなどストーリーを重視するのであれば確実にお勧めできる。 &lt;&lt;トロコン後追記&gt;&gt; 死にゲーを期待していたから期待外れと感じていたが、孫悟空なりきりアクションだと考えると楽しい。戦闘面は変わらず術を使えば一方的に5~8割のダメージを与えられるのでサクサク進み、初見でボスを倒してしまうことも多く、10回以上倒されたボスはいなかった。ストーリーや世界観部分は最後まで失速することなくハイクオリティですごく良かった。マイナス点としては周回を前提としている作りが気になる。1週では素材が足りない装備・取り返しのつかない要素の多さ・明らかに取得確率の低いランダムドロップなど、周回させようとはしているが難易度がそれほど上がるわけでもなかったので正直2週目は退屈だった。また見えない壁にぶつかったり、上り坂で移動速度が下がったり細かなストレスが積み重なるのも不満。</t>
  </si>
  <si>
    <t>通第 1 章时的评价：不算差，但战斗手感与我不合。它不像《黑魂》那样的“你来我往”，更像“让过一轮再进一轮”的节奏，长远看让我疲惫。第二周目也因此有点无聊；此外隐形墙，上坡减速等细枝末节会积累成不快。</t>
  </si>
  <si>
    <t>动作打击手感；Boss战斗节奏；空气墙可达性；推荐价值判断</t>
  </si>
  <si>
    <t>JP-N-292</t>
  </si>
  <si>
    <t>2025-07-27</t>
  </si>
  <si>
    <t>かねかえせゴミくず起動してしまったことが人生の汚点だ</t>
  </si>
  <si>
    <t>把钱还我，这破烂。连启动过一次都是人生污点。</t>
  </si>
  <si>
    <t>JP-M-293</t>
  </si>
  <si>
    <t>2025-08-06</t>
  </si>
  <si>
    <t>葬送のフリーレンの休載を嘆いている12歳の息子にプレゼント。受験前の最後のゲームということにしました。（笑）物語は、孫悟空のいなくなった時代、主人公たちは彼の足跡を辿るように旅をします。「なんでもっと知ろうと思わなかったんだろう」、三蔵法師の声が胸に刺さるようなストーリーでした。息子は、序盤には未収得のスキルが多い故の不自由さに文句を垂れておりましたが、徐々にこのゲーム特有の回避主体の戦闘に気持ちよさを覚えているようでした。私も少し触りましたが、回避が成功した際の演出が良いのでしょうか、中々楽しく遊べました。難易度は高いようですが、難所を越えてクリアした息子は得意げであり、満足したようでした。この経験をもとに、気を抜かずに残りの半年、勉学に勤しんでほしいものです。（笑）</t>
  </si>
  <si>
    <t>送给为《葬送的芙莉莲》停刊而惋惜的 12 岁儿子，作为考前最后的游戏（笑）。剧情沉重，战斗也难，但儿子满怀成就地通关了。希望借这次体验，接下来半年也能不松劲，好好学习（笑）。</t>
  </si>
  <si>
    <t>JP-P-294</t>
  </si>
  <si>
    <t>2025-08-09</t>
  </si>
  <si>
    <t>中国ではものすごい高評価らしいが、言うほどかな、という感じ。最初のほうは探索やボス戦が楽しいのだが、後半につれどちらも間延び感が出てきてしまった。グラフィックは超キレイでキャラデザも結構好きなので高評価。「おすすめ」か「おすすめしない」か。。。うーん難しい。中国のスタジオが本格的なAAAチックなタイトルを生み出したということで、ゲーム業界としては新風ともいえる。これからの期待も込めて、ここは「おすすめしない」にしておく。中国のスタジオに限らず、どんどん新風が起こってゲーム業界がさらに盛り上がると良いなぁ。何かそういう気持ちになった作品。</t>
  </si>
  <si>
    <t>听说在中国评价极高，但我没有那么高的感觉。前期的探索与 Boss 战很有趣；到后期两者都变得重复。尽管如此，我仍支持“来自中国的这股新风”——愿行业因此更热闹。这作品让我产生了这样的期待。</t>
  </si>
  <si>
    <t>Boss战斗节奏；探索隐藏支线；推荐价值判断</t>
  </si>
  <si>
    <t>JP-P-295</t>
  </si>
  <si>
    <t>非常に良いゲーム</t>
  </si>
  <si>
    <t>非常好的游戏。</t>
  </si>
  <si>
    <t>JP-M-296</t>
  </si>
  <si>
    <t>2025-08-11</t>
  </si>
  <si>
    <t>レビューに騙されたとしか思えない。総評から言うと、敵を倒すことそのものではなく、何週もしてどうやって敵倒そうかなっていうのを考えるようになったらこのゲームはようやく面白いんだと思う。・まともに格闘戦を行える敵は総じて強くない・ひたすら鬼ごっこさせられる敵はあまりにも虚無。・操作性もまともなコンボが1つとカウンター数種のみと非常に単調。・そのカウンターもキャンセル可能なタイミングが同じかつ、リターンに違いがなさすぎて複数を使い分ける意味がほとんどない。まともに戦うなら最強の性能を持つものがあるのでそれだけでいい。おそらくグラフィックに凝ってることもあり、それぞれの技や棍法を切り替えることで映えを狙って楽しんでねってことなのかもしれない。しかし一週目でそんなハイリスクローリターンの選択肢は選ばないし、それはソウルライクに求めているものではないと思った。</t>
  </si>
  <si>
    <t>只能说是被评价“骗了”。总体感觉像是鼓励周回，研磨战术而非“当下战斗本身”的作品；但一周目玩家并不会选择高风险低回报的打法，而这也不是我对魂式的期待。</t>
  </si>
  <si>
    <t>JP-M-297</t>
  </si>
  <si>
    <t>2025-08-17</t>
  </si>
  <si>
    <t>ずーっとやりたかったが中々セール価格にならず、2025/7のセールで購入。おすすめするか、しないかで言えば、しない。SEKIROとかフロム系の◯にゲーと違って、どうも爽快感が少ない。全体7割くらいボスキャラ相手・・・探索とかあまりなくて一本道徐々に操作に慣れてからボスキャラ・・・ではなく割といきなりボスキャラ対戦負けるときが何とも嫌らしい。倒した時に「やったー！！」じゃないんだよね。孫悟空は日本だとそれほど馴染みもなく、ストーリーも今ひとつ入り込めない。アクションゲームとしては映像もきれいだし、バグも少ない。操作性も悪くない。装備を固める、キャラのレベルアップを行えば強敵も必ず倒せる。価格相応の面白さはあるが、それでも、どうも評価が高すぎる気もする。</t>
  </si>
  <si>
    <t>一直想买，等到 2025/7 打折入。若问是否推荐——不推荐。它并未成为《艾尔登法环》的替代；后者强化装备，升级角色就能稳扎稳打。本作也值回票价，但评价恐怕虚高。</t>
  </si>
  <si>
    <t>JP-N-298</t>
  </si>
  <si>
    <t>満足。ストーリーはよくわからなかったので、西遊記を調べながらプレイした。</t>
  </si>
  <si>
    <t>满意。剧情没完全看懂，一边查《西游记》一边玩。</t>
  </si>
  <si>
    <t>JP-P-299</t>
  </si>
  <si>
    <t>面白かったですフロムゲーが好きでこのゲームを遊びましたほかのフロムゲーは割と難易度が低いと感じることが多かったり、世界観の作り込みが浅いと感じる作品が多かったのですが、このゲームは普通に難しかったし、世界観の作り込みも凄かったです特に圧倒されたのが、マップとグラフィックですフロムゲーのマップに比べて少し設計思想が異なるのか、フロムゲーの感覚で、多分裏道だろうと思って入っていくと本ルートだったりすることは結構ありましたしかし、建物やマップ上に設置されたオブジェクトの装飾の作りこみはとても繊細で美しく、眺めているだけでも引き込まれましたその美しさを実現するグラフィックも素晴らしかったです普通にフロムソフトウェア以外のフロムゲー作品として初めて感動しました是非プレイしてみてください</t>
  </si>
  <si>
    <t>很好玩。我是 From 粉，很多 From 作让我觉得难度偏低；这作给了我久违的挑战。画面也很棒。第一次被“非 From 的 From 味作品”打动。值得一试。</t>
  </si>
  <si>
    <t>JP-P-300</t>
  </si>
  <si>
    <t>神ゲーです ボス多めなのが好き</t>
  </si>
  <si>
    <t>神作，喜欢“Boss 多”的玩家有福了。</t>
  </si>
  <si>
    <t>KR-P-001</t>
  </si>
  <si>
    <t>韩文</t>
  </si>
  <si>
    <t>2024-08-19</t>
  </si>
  <si>
    <t>여자 가슴과 팬티를 팔지 않고 원숭이로 이런 매력을 느낄 수 있도록 열심히 개발한 개발자들에 큰 경의를 표합니다.</t>
  </si>
  <si>
    <t>不靠卖女性胸和内裤，也能用一只猴子做出这种吸引力——向努力开发的开发者致以崇高敬意。</t>
  </si>
  <si>
    <t>KR-P-002</t>
  </si>
  <si>
    <t>보스전 끝나고 개피인 상태로 새로운 사당찾으러 가는데 사당 앞에 쫄병들 세워둔건 플레이어 엿먹일라고 그런거지??</t>
  </si>
  <si>
    <t>Boss战结束后残血去找新的神龛，结果神龛前还站着小怪，这不是故意整玩家吗？？</t>
  </si>
  <si>
    <t>KR-P-003</t>
  </si>
  <si>
    <t>그래픽: GOAT액션: GOAT난이도: GOAT........?연출: GOAT길찾기: 길찾기는 살짝 어려움.. 길치들은 고생할듯 근데 차피 세키로식 느낌이라 결국은 목적지에 도착하게 되있음.최적화는 좀더 봐야겠지만 게임에 불편한 지장은 없었음게이밍노트북 rtx 4060, i7 13700Hdlss 균형, 레이트레이싱(낮음), 화질(전부 매우높음), 2560x1660(qhd)프레임 평균 86나옴, (낮으면 70이하까지 높으면 90이상)그래픽 높음이랑 매우높음이랑 차이 안느껴지니깐 욕심부리지 말고사양 타협하면 100프레임이상은 가볍게 나올듯...게임출시전에 억까 존나 많았는데 일단 게임해보니깐솔직히 이런게임은 초반에 다 결정되는데 그냥 재밌다.. 맛이 있음일단 계속 할듯 보스들 디자인이랑 연출이 지린다팁 주자면 보스잡기말고 돌아다니면서 잡몹들 잡으면서 성장하고스킬배우면서 진행하는게 존나 재밌다. 무지성보스잡이 말고 게임을 맛보셈막기. 패링(?) 이 있긴한데 스킬로 배워야함일단 더하고 추가리뷰정리해서 남김.</t>
  </si>
  <si>
    <t>画面：GOAT；动作：GOAT；难度：GOAT……？演出：GOAT；找路：稍微难。别无脑打Boss，细细品游戏。防御/招架要通过技能学习。再玩一些后会补充评论。</t>
  </si>
  <si>
    <t>画面美术场景；演出角色怪物设计；动作打击手感；Boss战斗节奏；难度挑战；引导迷路单线</t>
  </si>
  <si>
    <t>KR-P-004</t>
  </si>
  <si>
    <t>퀄은 걍 혁명적 수준이고 재미는 고티 수준이다 컷신 하나만으로도 돈값을 하는 게임이니 억까들 신경쓰지 말고 사라</t>
  </si>
  <si>
    <t>品质达到革命级、乐趣是GOTY级。光一个过场就值回票价，别理无脑黑，买就对了。</t>
  </si>
  <si>
    <t>演出角色怪物设计；整体完成度；推荐价值判断</t>
  </si>
  <si>
    <t>KR-P-005</t>
  </si>
  <si>
    <t>싸움은 생각보다 감촉이 좋다.장면도 보기 좋고, 더빙과 음악도 특히 좋고, 심지어 작은 애니메이션과 절묘한 CG도 있다!</t>
  </si>
  <si>
    <t>战斗手感比想象好；画面悦目，配音和音乐尤其出色；连小动画和精妙的CG也很棒！</t>
  </si>
  <si>
    <t>画面美术场景；音乐音效配音；演出角色怪物设计；动作打击手感；Boss战斗节奏；本国媒介路径</t>
  </si>
  <si>
    <t>KR-N-006</t>
  </si>
  <si>
    <t>날아라 근두운 오공의 모험장점1. 음성은 중국어로 하세요. 처음에 중국어에 좀 거부감이 있어서 영어로 플레이 했었는데 중국어로 바꿔 플레이 해보니 성우들의 연기와 몰입감이 중국어가 훨씬 좋습니다.2. 최적화가 훌륭합니다.요즘 신작 게임들은 늘 겪는 최적화 문제가 또 나타날까 걱정했는데 이번 게임은 크게 프레임이 떨어지거나 그래픽이 뭉게지지도 않으면서 프레임이 잘 유지 됩니다. 3. 훌륭한 연출.아직 초반 부분 밖에 플레이 해보지 않았지만 보스전과 시네마틱의 연출에 굉장히 눈이 즐겁습니다.4. 수려한 그래픽.어디서 많이 본듯한 흔한 콘솔 그래픽입니다. 다크소울과 고스트 오브 쓰시마에 원숭이 한 스푼정도 섞은 느낌? 그래도 스킬이나 이펙트가 수려합니다.단점1. 없다시피 한 평타 타격감.전 패드로 플레이 했는데도 불구하고 스킬을 제외하고 기본 여의봉 평타는 그냥 아무런 타격감이 없습니다. 봉으로 줄 수 있는 타격감의 한계일까요.. 2. 길 찾기가 어렵다.맵이 없고 길이 중구난방으로 갈라져 있어 본인이 길치다! 라고 하는 사람은 길을 찾기가 어려울 수 있습니다. 하지만 결국 모든 길은 보스전으로 통하게 되어 있기는 하니 크게 걱정할 필요는 없을 것 같습니다.검은 신화: 오공, 이 게임이 나오기 전까지 수많은 말이 오갔지만 이 정도면 수작입니다. 올해 발매를 기대했던 게임중에는 가장 재밌게 즐기고 있습니다. 개발사에서 갓 오브 워에서 많은 영감을 가져왔다고 했듯이 소울류에 비해서 난이도가 낮으니 본인의 게임 실력 때문에 이 게임을 못하겠다 하시는 분들은 한번쯤 해봐도 좋을 것 같습니다.</t>
  </si>
  <si>
    <t>飞吧，筋斗云——悟空的冒险。建议语音用中文。一开始我对中文配音有点排斥所以用英文玩……整体难度不高，担心手残的人也可以试试。</t>
  </si>
  <si>
    <t>音乐音效配音；难度挑战；西游悟空符号；中国文化宗教语言审美</t>
  </si>
  <si>
    <t>KR-N-007</t>
  </si>
  <si>
    <t>몇몇 부정적인 리뷰어들은 무시해도 될거 같다.올해 고티라고 해도 될 만큼 잘만들었다.환상적인 그래픽와 연출이 돋보인다.</t>
  </si>
  <si>
    <t>一些负面评论可以无视。做得足以称作年度游戏。奇幻的画面与演出尤其亮眼。</t>
  </si>
  <si>
    <t>画面美术场景；演出角色怪物设计；推荐价值判断</t>
  </si>
  <si>
    <t>KR-P-008</t>
  </si>
  <si>
    <t>어떻게든 단점을 찾아보려고 파보았지만인정할 건 인정 해야겠다개재밌다 제길;;;</t>
  </si>
  <si>
    <t>再怎么想挑毛病，但该承认的还是要承认——真他*好玩；；</t>
  </si>
  <si>
    <t>KR-P-009</t>
  </si>
  <si>
    <t>진엔딩까지 본 후 이 게임은 상상이상으로 좋은 게임이라는 생각이 든다.중국 게임을 플레이하고 이런 감복을 하게 될 줄이야. 작년 스팀에서 올해의 게임상을 수상했던데 중국 인기빨을 무시해도 충분히 자격이 된다고 생각하는 게임이다. 이 게임을 구성하는 많은 요소들이 있는데 뭐 하나만 특출난 것이 아니라 모든 게 특출나고 그 모든 것들이 조화롭게 구성된 게임이란 평가를 내리고 싶다. 개인적으로 소울류처럼 어려운 게임 싫어하고 이 게임도 너무 어려워서 힘들었지만 그 이상의 가치를 전해주는 게임이다. 그리고 이 게임은 스토리 상으로도 이렇게 어려운 게 맞다고도 생각한다. 쉬웠다면 이 게임이 전달하고자 하는 바가 100%까지는 전달이 안되었을지도 모르겠단 생각이다. 게임의 의도대로 합리적인 어려움이랄까?그리고 그래픽에 가려져 많이 언급이 안되는 부분인데 난 이 게임에 사운드에 엄청난 감명을 받았다. 중국어 더빙, 환경음, 타격음, 그리고 간만에 정말 OST가 좋다고 느껴진 게임이기도 했다. OST속 중국어가 그렇게 감미롭게 들릴 정도이니 말 다하지 않았는가?내가 중국인이라도 정말 국뽕 차오를 것 같고 우리가 흔하게 접할 수 없는 동양 판타지 물을 롤플레잉 게임으로 만든  것 그리고 그것도 수준높게 만들었다는 것만으로도 이 게임은 칭송 받을 가치가 충분하다.</t>
  </si>
  <si>
    <t>通到真结局后觉得这是超出想象的好游戏。能把《西游记》这样伟大的经典做成RPG，而且还做到高水准，单凭这一点就值得称赞。</t>
  </si>
  <si>
    <t>KR-P-010</t>
  </si>
  <si>
    <t>진엔딩까지 클리어 완료하고 수정하는 리뷰. 천천히 여기저기 맵 뒤지면서 하니깐 43시간 정도 걸림RTX3080, 10700K, QHD 모니터, 32GB램으로 패드를 이용해 플레이 했고, 최적화는 특정 구간에서 렉이 걸리는데 해당 부분에서는 잠깐 옵션을 내리고 플레이하면 할만 함스토리를 제대로 즐기기 위하여 '서유기' 를 읽거나 적어도 인터넷 요약본이라도 보고나서 플레이하는 것을 추천함. 후반부에 차오르는 뽕이 다름단점으로는지도 없음과 여기저기 막힌 투명벽, 모든 보스에 도전하기 위한 길을 찾기 힘듬(메인 스토리만 밀거면 길찾기는 쉬움) 근데 지도는 모드로 나왔고 길찾기도 슬슬 공략들 많이 떴을테니 짜치는 투명벽을 제외하면 충분히 보완되는 단점이라 생각함장점으로는전투가 재밌음 (보스전 고봉밥이라 좋음)아름다운 그래픽 (언리얼5)아트가 엄청 좋음 (컷씬 애니 맛깔남)게임하면서 몇몇 필드구간에서 열받은거 제외하면 오랜만에 정말 재밌게 즐긴 게임. 개인적으로는 정가주고 사도 괜찮다고 추천하고 싶음. 중국 게임이라 솔직히 많이 기대하지는 않았는데 상상이상으로 굉장히 즐겁게 즐기고 감. 꼭 해봐라 난 책장에 박힌 서유기 다시 꺼내읽으러 간다잇</t>
  </si>
  <si>
    <t>打到真结局后修订。慢慢探索各处花了约43小时。原本没期待，结果出乎意料地非常享受。一定要玩。我要把书架里的《西游记》再翻出来读了。</t>
  </si>
  <si>
    <t>探索隐藏支线；西游悟空符号</t>
  </si>
  <si>
    <t>KR-N-011</t>
  </si>
  <si>
    <t>내 인생 살면서 리뷰 처음남긴다. 진짜 존나 재밌다 정가주고해도 안아까움 걍 하셈 솔직히 이게임 까는사람들 다 억까하는거임ㅋㅋㅋㅋㅋㅋㅋ</t>
  </si>
  <si>
    <t>人生第一次写评论。真的非常好玩，原价买也不亏，直接开玩。老实说，黑这游戏的人都是强行抬杠，哈哈哈。</t>
  </si>
  <si>
    <t>KR-N-012</t>
  </si>
  <si>
    <t>몇년을 기대했는데 길 수준 진짜...++진엔딩보고씀보스 억까 수준 진짜 ㅋㅋㅋㅋ 난이도 내릴때까지 2회차 죽어도안함수명 하루정도 깎인기분임</t>
  </si>
  <si>
    <t>等了好几年，但找路真的糟……看完真结局再来写。Boss的恶意程度很离谱。就算要降难度，在那之前我也不会开二周目。感觉寿命少了一天（笑）。</t>
  </si>
  <si>
    <t>Boss战斗节奏；难度挑战；引导迷路单线</t>
  </si>
  <si>
    <t>KR-P-013</t>
  </si>
  <si>
    <t>갓겜이구요 그래픽 이정도면 비슷하거나 더 좋은 걸 찾는게 어려울 정도로 그래픽 뒤집니다.보스 전 개쩔구요 패링있어요 나중에 스킬로 나옵니다몬스터 잡으면 삽화 설화 나오는게 존나 꿀잼이구요 저 중국 싫어하는데 이건 좀 칭찬해줄수 밖에없네요 개지리네요</t>
  </si>
  <si>
    <t>神作。画质好到很难找到相近或更好的。Boss战很炸，也能招架。打怪后出现的插画/传说桥段特别上头。我本来不喜欢中国，但这次不得不夸，真的牛。</t>
  </si>
  <si>
    <t>KR-P-014</t>
  </si>
  <si>
    <t>걍 존나 재밌음 ㅋㅋ 그래픽 좋고 근데 겜 못하는 개똥손들은 걍 유툽 에디션보셈 ㅋㅋ</t>
  </si>
  <si>
    <t>就是特别好玩，哈哈。画质好。不过手残的话就看“油管版”吧，哈哈。</t>
  </si>
  <si>
    <t>KR-N-015</t>
  </si>
  <si>
    <t>42시간 가량해서 진엔딩 봤는데 재밌게 했음. 장르는 소울라이크라고 하는 사람 많던데 소울라이크는 딱히 아니고 갓오브워 + 다크소울+  인왕 + 스텔라 블레이드 이런식으로 여러 게임 섞인 액션 RPG임.가장 좋았던 점은 대부분의 몹들이 팔레트 스왑 없이 새로운 몹들이라서 같은 걸 상대한다는 느낌이 없다는게 좋았음. 갓오브워 생각나게 하는 연출들도 감탄했고가장 큰 단점은 레벨디자인 투명벽이였음. 맵에 투명벽으로 막혀있는 곳이 많은데 어디가 갈 수 있고 없는지 일관적이지 않으니까 짜증나더라. 특히 3장이 너무 심한게 맵은 넓은데 어딜 가도 딱히 랜드마크가 없고 비슷해보이니 길찾기 지옥이였음.</t>
  </si>
  <si>
    <t>达成真结局，玩了约42小时。很多人说是魂like，我并不这样看……但找路真的很烦。尤其第3章过分：地图很大却没有地标，看起来都差不多，找路简直是地狱。</t>
  </si>
  <si>
    <t>地图路线；引导迷路单线</t>
  </si>
  <si>
    <t>KR-N-016</t>
  </si>
  <si>
    <t>초창기 P의 거짓이 선녀로 보일정도로 예상보다 훨씬 아쉬운 게임 스토리와 그래픽을 제외하면 모든 부분이 수준이하임 이걸 65000원 주고 해야된다고?아직까지도 이 게임을 구매하기 전 시점으로 돌아가고 싶을정도로 환불마려움딱 거두절미하고 단점 3가지로 요약함1. 병12신같은 레벨디자인2. 비빔밥만들려다 개밥만든 전투시스템3. 속빈강정 그자체인 콘텐츠진짜 딴건모르겠는데 레벨디자인 담당자는 부모없음??뭔 죄다 투명벽으로 처리해놓을거면 월드 왜만드노3장 부처상 절하는거에선 갑자기 투명벽 사라지니 얼탱이가 없었다 ㅋㅋㅋㅋㅋㅋ</t>
  </si>
  <si>
    <t>比起初期的《P的谎言》还更让人失望。除了剧情和画面，其他部分都不及格。既然用隐形墙封住，何必做那样的世界？第3章拜佛像那段隐形墙突然消失，我都无语了，哈哈。</t>
  </si>
  <si>
    <t>画面美术场景；空气墙可达性；推荐价值判断</t>
  </si>
  <si>
    <t>KR-P-017</t>
  </si>
  <si>
    <t>2025-09-24</t>
  </si>
  <si>
    <t>서유기를 잘 몰라서 유튜브로 공부하고 플레이하니 스토리에 더 몰입할 수 있었다. 전투는 수행, 근기, 법보, 단약, 호리병, 장신구 등 다양한 요소들을 활용하면 크게 어렵지 않고, 보스마다 다른 전략과 자신만의 세팅을 찾는 재미가 있다. 단순히 전투로 끝나는 게 아니라 교훈을 주는 듯한 메시지가 있어 깊은 여운을 남긴다.</t>
  </si>
  <si>
    <t>我不太了解《西游记》，于是边看 YouTube 补背景边玩，反而更能沉浸剧情。战斗上只要运用修行、根器、法宝、丹药、葫芦、饰品等多种要素，难度并不算太高；针对不同 Boss 寻找不同策略和自己的配装也很有趣。它并不只是打完战斗就结束，还像是在传递某种寓意，留下很深的余韵。</t>
  </si>
  <si>
    <t>Boss战斗节奏；难度挑战；推荐价值判断；西游悟空符号</t>
  </si>
  <si>
    <t>KR-P-018</t>
  </si>
  <si>
    <t>2회차 플레이하고 쓰는 리뷰
중혐 가득가득 어거지로 색안경 쓰고 봐도 잘만들었다
그리고 중국 리뷰 많다고 지랄하는 애들은 뭐임?
중국리뷰 많다고 하면 이게임이 망한 게임이 되나? 그냥 ㅈㄴ 잘팔렸다는 증거인데
아득바득 ^대다수중국어리뷰^ 이러고 있네 ㅋㅋㅋ
또 이렇게 말하면 조선족이라고 몰아갈테니 단점도 말하자면
레벨디자인이 진짜 안 좋음
보스들 배치가 좀 들쑥날쑥해서 좀 힘듬, 맵도 갈 수 있는 곳 없는곳 구별하기가 어렵고
이거 제외하면 나머진 참을 수 있는 정도 ㅇㅇ
제일 말 많은 타격감도 솔직히 잘 모르겠음
초반에나 그렇지 후반가서 기술 얻고 3단 차징 배우면 그정도인가 싶음
올해 가장 재미있는 게임 중 하나임
내가 중국은 찢어 죽여도 못 인정하겠다 그런 사람들을 제외하고는 한번쯤 해보는걸 추천</t>
  </si>
  <si>
    <t>二周目后评价：就算戴着满满偏见，也不得不承认做得好。动不动拿“中文评论多”来喷是啥逻辑？中文多就等于烂？那只说明卖得好吧。免得被扣“朝鲜族”帽子，说说缺点：关卡设计确实不行……剧情演出整体让我满意。但不少Boss像是故意塞了无敌/断节奏，让人疲劳。现在在二周目前去补法宝，想试试新防具搭配再开二周目。总之做得很棒。这大概是我第一次玩中国游戏，真的感叹。</t>
  </si>
  <si>
    <t>演出角色怪物设计；Boss战斗节奏；地图路线；推荐价值判断；国产3A身份期待</t>
  </si>
  <si>
    <t>KR-P-019</t>
  </si>
  <si>
    <t>일단 죽음의 패널티가 제로인점이 부담없이 보스전 시도할수있어서 좋았네요.솔직히 퇴근하고 온몸이 피곤한데도 3시간가까이 술술 게임한것보니갓겜은 맞는것같습니다.타격감이 부족한것같지만,막상 노캔헤드셋끼고 볼륨높이면 BGM이 어느정도 카바를 쳐주네요.앵간함 추천잘안하는데.검은신화 오공추천합니다.</t>
  </si>
  <si>
    <t>首先死亡没有惩罚，可以毫无负担地反复挑战Boss，这点很好。老实说，下班后浑身疲惫……但戴上降噪耳机把音量开大，BGM还能顶一顶。我平时不太随便推荐游戏，《黑神话：悟空》值得推荐。</t>
  </si>
  <si>
    <t>音乐音效配音；Boss战斗节奏；难度挑战；推荐价值判断；西游悟空符号</t>
  </si>
  <si>
    <t>KR-N-020</t>
  </si>
  <si>
    <t>그래픽 연출 다좋은데 조작감은 별로네 그리고 소울류 아니라며 거지같은 소울 냄새가 난다 여러번 죽어가면서 게임하는거 극혐이고 시원시원하게 밀고 나가는게 좋아서 기대하고 산건데 개발사가 구라를 치네</t>
  </si>
  <si>
    <t>画面和演出都好，但操作手感一般。不是说不是魂类吗？结果一股破烂的魂味。让我一遍遍死着玩的那种最讨厌。我是冲着爽快推进才买的，结果开发商骗人。</t>
  </si>
  <si>
    <t>画面美术场景；演出角色怪物设计；动作打击手感；推荐价值判断</t>
  </si>
  <si>
    <t>KR-P-021</t>
  </si>
  <si>
    <t>근 몇년 중국게임들이 서양게임 뒤지지않을만큼 압도적인 비쥬얼로 출시하고있음 ..  최근 게임중 죨라 재밌넵...  중국어과 나와서 뿌듯 하당.어느정도 알아들으면서 하니까 두배로 재밌음3090 기준 dlss 수직동기화 켜니까 최적화 괜찮음.단점은 타격감이 덜 한데 그걸 잊을 만큼 그래픽 수준등 게임이 졸라 재미짐.. 돈이 안아까움 굿!</t>
  </si>
  <si>
    <t>近几年中国游戏的视觉一点不输西方，这作也是。最近的游戏里这款真是好玩……优化还行。缺点是打击感稍弱，但图形水准和整体乐趣足以让人忽略。钱花得不冤，赞！</t>
  </si>
  <si>
    <t>画面美术场景；动作打击手感；优化帧率；整体完成度；推荐价值判断；国产3A身份期待</t>
  </si>
  <si>
    <t>KR-P-022</t>
  </si>
  <si>
    <t>최적화는 망했구나 게임은 재미있지만 실행이 안되면 의미 없지 새삼 완벽환 최적화를 보여준 p의 거짓이 대단하다 생각합니다. 빠른 시일내로 적절한 최적화 보여주길 바랍니다엔딩 본 후 재평가아트팀이 정말 최선을 다했다 생각합니다. 아트로 보여줄 수 있는 최선을 보여주었지만 그 외 여러 부분에서 아쉬운 점이 많았습니다. 만약 이게임을 살 생각이 있다면 먼저 본인의 컴퓨터를 먼저 바꾸고 사실것을 권장드립니다. + 맵이 너무너무 가독성이 떨어지며 뜬끔없는 투명벽이 많아 길찾기에 매우큰 혼란이 일어나므로 이러한 부분에 어려움을 느끼는 사람이 계시다면 미니맵 모드가 있다하니 한번 깔아보시길 권장합니다.+ 진짜 아트팀은 노력 했는데 여러부분이 아쉽다...근데 중국이 가장 중국다운 것을 했을때 빛을 발하는것 같습니다. 중국다운것을 훌륭히 만들었다는 것 만으로도 이게임은 좋은게임이라 평가합니다</t>
  </si>
  <si>
    <t>优化是崩的；游戏本身有趣，可运行不了就没意义。反倒显出《P的谎言》那种完美优化有多强……这作在把“很中国”的东西做好时最发光。单凭这一点，我也愿意给它好评。</t>
  </si>
  <si>
    <t>KR-P-023</t>
  </si>
  <si>
    <t>- 그래픽, 연출 미침- 갓 오브 워 + 인왕 스타일 액션(극호)- 맛있게 매운 난도- 짧은 잡몹 구간, 다양한 중보스- 드라마 같은 다양한 스토리텔링- 퍼즐 없음- 싹 긁어먹는다고 하면 좋은 가성비- 패드 기준 조작 버튼 익숙해지는 데 시간 걸림- 나만 그런지 모르겠는데 로딩이 너무 김- 역대급 야발적인 투명 벽- 끔찍한 자막 가시성- 엔딩만 본다고 하면 좋지 못한 가성비- 타격감 얘기 많이 나오는데, 안 좋은 건 사실이나, 템포가 너무 빨라서 별로 신경 안 쓰임총점: 88진라면 매운맛인 줄 알았는데, 짜파게티가 왔다. 꽤 맛있었다. 일기 끗.</t>
  </si>
  <si>
    <t>— 画面、演出疯了；— 动作像《战神》+《仁王》（超级对胃口）；— 辣得恰到好处的难度；— 小怪段落短，……节奏很快所以也不太在意。总分：88。以为是“真拉面辣味”，结果上桌的是“炸酱面”——意外地好吃。日记完。</t>
  </si>
  <si>
    <t>画面美术场景；演出角色怪物设计；动作打击手感；难度挑战</t>
  </si>
  <si>
    <t>KR-P-024</t>
  </si>
  <si>
    <t>일단 결론적으로 검은 신화 오공은 올해의 대작이며 고티도 노려볼만합니다.일단 국내 일부분 유저들은 플레이도 안해보고 일단 까는데 깔려면 직접 플레이 부터 하고 평가 했으면 합니다.다들 단점으로 뽑는 타격감은 제 기준에서는 아무 문제 없어 보였고 대신 많이들 말하는 길 찾기는 확실히 힘들었습니다.다들 걱정하는 최적화는 전 4090으로 플레이해서 큰 문제가 없었고 고사양 PC가 없으면 PS5로 플레이하면 그만입니다.제발 게임에 특정 나라에 대한 감점부터 앞세우지말고 잘 하면 잘했다고 말하는 배포도 필요합니다.이후에도 리니지만 할건가요?이런 게임들이 많이 나와줘야 아시아 시장도 커지죠.</t>
  </si>
  <si>
    <t>结论先说：《黑神话：悟空》是今年的大作，有资格角逐GOTY。国内有些人不玩就骂，该夸的时候也要学会说“做得好”。以后只玩《天堂》那一挂吗？要让亚洲市场变大，就需要多出这种游戏。</t>
  </si>
  <si>
    <t>KR-N-025</t>
  </si>
  <si>
    <t>튜토만 딱 끝내고 느낀점사양 7600 , 6000cl32 64gb , 4090 풀옵+레이트레이싱+DLSS 기준그래픽 엄청 좋음 그래픽 좋다고하는겜들인 아바타나 사펑 뭐 이런거랑 비교해도 안밀리는듯 스터터링 심하다는 사전리뷰보고 걱정좀했는데 튜토까지는 없었음 프레임저하도없었고근데 타격감 피격감이 너무 약하고 이펙트가 좀 과한거같음내가 팼는데 적이 맞은건지 막은건지 적 공격에 내가 맞은건지 회피로 피해진건지 긴가민가함그래도 똥겜들은 튜토만 딱 해봐도 느낌 바로오는데이건 실망스러운겜은 아닌거같음</t>
  </si>
  <si>
    <t>只打完新手教程的初感：配置 7600 / 6000CL32 64GB / 4090，开满光追+DLSS。被打中了还是回避成功了有时分不清。垃圾游戏一般教程就能看出味道，这款至少不让人失望。</t>
  </si>
  <si>
    <t>动作打击手感；判定反馈；Bug兼容硬件；推荐价值判断</t>
  </si>
  <si>
    <t>KR-P-026</t>
  </si>
  <si>
    <t>장점
1. 완성도가 좋다
진행에 방해가 되는 치명적인 버그가 없고 상당히 좋은 그래픽과 함께 최적화가 상당히 잘 되어있으며
전투든 이동이든 뭐든 트레일러랑 다르지 않아 기대감을 충족시켜주어 좋았고
주인공은 원숭이스럽고 적 도감도 나름 흥미롭게 표현했고 아이템도 다 모델링이 되어있는 등 사소한 것들을 놓치지 않았다는 점도 좋았고
능력치 강화는 단순 수치딸깍이 아니라 나름의 스킬트리가 있으며 모든 스킬에는 예시 영상이 함께 있고
딱히 불쾌하거나 불합리하다고 느끼는 패턴이나 판정도 거의 없고
번역도 이해하기 쉬우며 어색하지 않아서
뭐 대충 등등
말 그대로 전체적인 완성도가 높습니다.
미완성을 얼엑으로 그럴듯하게 포장해서 내거나 트레일러로 사기를 치거나 최적화를 박는다던가 다양성을 존중한다면서 몰입도를 깨고 어색한 무언가를 추가하는 등 비정상적인 게임들이 요새 정말 많이 보여서 더욱 부각되는 것도 맞지만
그걸 차치하고도 완성도가 정말 높은 잘 다듬어진 게임입니다
걍 다 만족함ㅇㅇ 모난곳이없음 심지어 하면 할수록 매력적임
(하다보니까 미번역이 있긴 하지만 큰 영향도 없고 센스로 잘 넘어가서 뭔가 웃음이 지어짐ㅋㅋㅋㅋ)
2. 부드러운 움직임
컷신과 전투, 또는 이동 간의 전환이 정말 자연스럽게 이어지고
인물들의 동작같은게 정말 부드럽습니다
몇몇 부분에서는 진짜 놀랐음 상당함
보스가 패턴 시전 도중에 맞아서 경직을 당하거나 해도 모션이 자연스럽게 이어지는 듯이 보이는 것도 좋았고
전투 중간에 누가 난입해도 끊김없이 장면이 이어지는게 특히 놀라웠음
3. 전투와 탐험이 재밌음
약공 타격감은 확실히 아쉽지만
그리고 후술할 길찾기 문제는 있지만
일단 그냥 적들의 패턴이 단순하면서도 특징은 확실하지만 불쾌한 부분이 없어서 좋고
저스트 회피에 잔상이 남으면서 나름의 효과가 있는게 진짜 짜릿함 별거 아닌데도 손맛이 있음 진짜 제천대성이 된 기분임
나름 크기 있는 적들도 차지 강공에는 경직이 걸리거나 특정 기술에는 걸리는 등 능동적으로 풀어나가는 맛도 있고
약공 말고는 적이든 플레이어든 타격감이 좋고 선딜 있는 묵직한 기술들은 확실히 묵직함과 리턴이 느껴져서 좋은 것 같음
탐험도 마찬가지로 단순 실족에 의한 낙사를 자연스럽게 막아놓아서 불쾌함이 없어지니 자유롭게 맵을 돌아다닐 수 있다는게 정말 편했고
정말 다양한 보상이나 즐길거리가 있어서 좋았습니다
선형적 진행인 게임은 맞지만 숨겨진 보스, 아이템이나 이야기 등이 정말 많아요
평소에는 잘 보이지 않지만 작정하고 찾아다니면 웬만해서는 무조건 찾을 수 있게 되어있어서
들이는 노력에 비해 얻는 성취감과 보람이 큽니다
특히나, 게임의 마지막 장에서의 탐험은 정말 이 게임에서만 경험할 수 있는 독특한 경험이었다고 느꼈습니다.
복합적인 부분
1. 타격감
좌클릭 약공격 타격감이 아예 없습니다.
소리도 약하고 이펙트나 진동도 없는데 또 잡몹들이 맞으면 소경직은 걸리니까 뭔가 어색한 것 같아요
근데 약공격은 봉을 가볍게 돌리면서 휘리리릭 치는거니까 개인적으로는 오히려 이게 맞지 않나 싶음..
나름 익살스럽고 가벼운 면이 있는 손오공인데 타수 많은 가벼운 평타마다 쾅쾅쾅쾅쾅 이건 또 나름대로 이상할 것 같기도 하고
차지강공이나 약공격 마지막 타나 초반 컷신, 아니면 큰 보물 상자 뚜껑만 봐도 타격감을 못 만들겠어서 안 만든건 아닐 것 같다고 생각했기도 함
단점
1. 길
지도도 미니맵도 없어서 그런 것도 있지만
갈 수 있는 길과 없는 길의 경계가 너무 모호해서 더욱 길 찾기를 어렵게 만드는 것 같습니다
탁 트인 자연이나 풍경이 주는 매력이 있긴 하지만
그리고 선형적으로 진행하는 게임이니까 길 말고 다른 곳이 막혀있는건 당연한거지만
당연히 지나갈 수 있을 것 같은 평지인데 투명 벽으로 막혀있거나
당연히 지나가지지 않을 것 같은데 점프 등의 방법으로 지나가지는 곳들이 주는 혼란이 있어요
길에 대한 시야가 좁아지는 느낌입니다
이런 점이 길 찾기를 더욱 어렵게 만드는 것 같다고 생각해요
(+ 컷신 스킵 안된다고 적었었는데 E키로 되네요! 댓글로 알려주신분 감사합니다)
총평
기다림이 전혀 아쉽지 않았습니다.
구매를 고민하고 있는 사람이 있다면 한분이라도 더 이 게임을 즐겨보면 좋겠습니다.
게임계의 판도를 바꾸거나 한 획을 긋는 정말 엄청나게 특출난 점은 없을 수 있지만
모든 부분이 마음에 드는 육각형 수작임은 분명합니다.
평가 15만개 압긍 살면서 처음보는데 진짜 다 이유가 있다니까요
아진짜깔게없음걍재밌음일단해보셈</t>
  </si>
  <si>
    <t>优点：1）完成度高。没有影响推进的致命Bug，画面优秀、优化也很好；战斗和移动都与预告一致，满足了期待；主角很“猴”，敌人图鉴有意思，物品都有独立建模等细节没丢；数值强化不是纯加点，有自己的技能树，而且每个技能都有示范视频；几乎没有让人觉得不合理的判定与套路；文本翻译易懂也不别扭……总之整体完成度很高。如今把半成品拿EA包装、靠预告骗、把优化做烂，或者打着“多样性”破坏沉浸的奇怪游戏太多了，所以这作更显难得。玩着玩着还想写长评。可能这是我玩的第一款中国游戏，真的感叹。</t>
  </si>
  <si>
    <t>画面美术场景；Boss战斗节奏；判定反馈；优化帧率；Bug兼容硬件；整体完成度；国产3A身份期待</t>
  </si>
  <si>
    <t>KR-P-027</t>
  </si>
  <si>
    <t>이건  손오공도 아 이건좀 하면서 피곤해할 게임  투전승불! 서유기 그것도 손오공을 주인공으로 다루는 게임 입니다게임방식은 소울라이크+갓오브워 두개를 섞어놨습니다.장점1.그래픽(그래픽 정말 좋습니다  눈이 즐거울정도로요)2.연출(모션 봉술 선술등 정말 잘표현했습니다)3.부담없음(뭐 죽어도 잃는것도없고 부담없이 즐길수있습니다)단점1. 피곤한 몹배치(그냥 보스&gt;&gt;보스 &gt;보스 &gt;보스 형식으로 보스가 존나많아서 존나피곤합니다 )2.ㅈ같은 가시성(상자 디자인한 새끼는 오행산에서 평생깔리고 긴고아로 계속해서 조여줘야됨 ㅅㅂ.)3.볼수없는 맵 (여긴어디요 왔다갔다 서브퀘하랴 어디가랴 그러다 길잃고 헤메고 보스로 피곤한대 피곤함이 배가됨.)4.타격감(타격감은..  좋지못하네요 너무 가벼워요 기 모으고 때리는대도 스읍... 정말안좋습니다)최적화저 같은 경우 레이트레이싱만 끄고 전부 최고옵으로 했는대 딱히 문제안되고 잘돌아갔습니다 (4080s) 다만 누구는 4090인대도 불구하고 옵션 타협해야되고 최적화 면에서 좋지않은 소리가 들려서.. 테스트툴 있으니 해보시고 생각하시길..결론정말 눈호강하는 게임입니다 그래픽 모션 면에서  다만  길도 해매고..  보스는 뒤지게 많고.. 보스잡느라 피곤해죽겠네요  상자 찾느라 눈도아프고 상자가 카멜레온도아니고 ..하아;; 전투나 이동방식은 소울류입니다 다만 뭔가 상자를 먹는다거나..  스킬을올린다거나 갓오브워 말곤 생각이안나네요.. 엘든링 같은 소울류는 달성감이라도 있지이건뭐 보스가 계속나오니...  존나 지치고 피곤한 겜입니다. 그래도 정말 좋은 그래픽과 배경에맞은 연출 모션들이 다 십어먹어서 플레이하게 되는 겜이네요..</t>
  </si>
  <si>
    <t>连孙悟空都会“这就有点过分了”地叹气的那种疲惫感。作为以悟空为主角的游戏，确实容易累。但优秀的画面、贴合场景的演出与动作又把我牢牢拉回去继续玩。</t>
  </si>
  <si>
    <t>画面美术场景；演出角色怪物设计；动作打击手感；难度挑战；西游悟空符号</t>
  </si>
  <si>
    <t>KR-P-028</t>
  </si>
  <si>
    <t>백의수사까지 깼는데요 확실히 평타 타격감이 좀 부족하기는 합니다만 보스들이 개성이 뛰어나고 너무 어렵다 싶으면 도망갈수도 있긴 하더라구요? 약간 구르기위주의 인왕2 느낌으로 보시면 될거 같아요. 제플레이스타일이 그래서 그런가 니턴내턴이 어느정도 확실한 느낌을 받았습니다. 소울류 좋아하시면 좋아하실거같아요.그리고 죽는다고 디스어드벤티지가 있는거도 아니라서 초보분들도 쉽게 할수 있을거 같습니다.-정정합니다 2회 오시면 지옥입니다 초보는 도망치세요 돌대가리새끼들 호선봉 황풍 뒤져걍 아ㅏㅏ앙ㅏ아아가아아악</t>
  </si>
  <si>
    <t>打到“白衣修士”那里了。确实普攻的手感差点意思，但Boss个性鲜明，感觉“太难”时只要抓模式就还好。——【更正】二周目就是地狱，新手快跑；某些Boss过分变态，啊啊啊！</t>
  </si>
  <si>
    <t>KR-P-029</t>
  </si>
  <si>
    <t>평소 무협지를 너무 좋아하는 한국 아재입니다.간략하게 소감한줄 적어보자면 그냥.. 영화관가서 영화한편 봣다고 생각할게요..장점 : 그래픽단점 : 타격감 1도 없음 벽에대고 때리는 느낌나며, 연계스킬은 보스한테 맞투는건 거의 신기에 가까운 컨트롤 해야함.보스 → 보스 → 보스 순서로 미친듯이 보스만 잡아야하는 게임인가봄.  지도가 없어 내가 가는길이 맞는지 아닌지 토통 모르겠음.솔직히 님들 잼나요? 잼난다는 글이 많던데......</t>
  </si>
  <si>
    <t>我是个特别爱看武侠的韩国大叔。简单说，像进影院看了一部电影，出来时很满足。美术好、配音和BGM也到位。但没有地图，我老分不清自己是不是走对了……说实话你们觉得好玩吗？我看好评挺多的……</t>
  </si>
  <si>
    <t>画面美术场景；音乐音效配音；难度挑战；地图路线；推荐价值判断</t>
  </si>
  <si>
    <t>KR-P-030</t>
  </si>
  <si>
    <t>9시간 제2회 (2장) 까지 후 리뷰.
783d, 4080s, 38wqhd 조합. 풀옵션 rt 까지 키고해도 무난하나
아직 최적화는 좋지 않은 느낌이라 그냥 rt 끄고 dlss 100주고함.
특유의 화면 뿌옇게 가리는 색조가 있음. 이거는 모드질로 해결될거라봄.
액션이 뭐있겠어? 하고 했는데 스킬 트리, 법술, 변신 등 굉장히 다양함
그에 따라 렙업후 스킬테크 찍는 재미가 꽤 많이 쏠쏠함. 놀랬음.
1막에서 첨엔 숲길이라 여기가 어디여 왔던덴가 햇갈림 유도가 심했는데
의외로 길이 단순했음. 결국 돌고돌아 이어져 있고 진행방향은 결국 거기~
이런식.
2막은 또 의외로 뭐이리 넓어? 돌고 돌아보니 결국 다 이어져 있음.
오히려 프롬겜들 처럼 던전안에 복층 구조에 햇갈리게 와리가리가
없는편이라 적응되니 더 편했음.
3막이상가면 복층,복잡한 미로길 있는지는 몰?루...
무튼 의외로 싸돌아다니면서 넴드몹들 수집,파밍 하는재미가 쏠쏠했음.
죽는거에 부담은 없는편이나, 부활 로딩이 좀 에바..
그리고 각 장 끝나면 프롤로그식 애니 한편이 나오는데
이게 응근 잼있음.... 2막은 목각인형식 만화인데
노출도있으면서 끝날때 빵터졌음 ㅡㅡㅋㅋㅋ
튕김현상은 없었으며 단점하나 꼽자면
미니맵, 월드맵이 없는데 투명벽,안떨어지는 낭떠러지
이런게 구별이 전혀 안되서 좀 큰 단점.
이거외엔 올해 출시작중엔 베스트라 할 수준 강추.
-------------------------------------------------------------------------
35시간 1회차 엔딩 후 추가.
3막,4막 위에 언급한 복층 구조 길찾기가 추가됨.
그로인해 구석구석 뒤져보는 입장에선 미니맵이 없는
투명 길막, 의도된 점프 구간인지 추락구간인지 구별이
안되서 혼선이 매우 큼. 이거 매우큰 단점임..
야랄맞게 큰 맵 구조이고 다 뒤져봐야 속편한 사람들에겐
매우 큰 스트레스로 다가올수 있음. 근데 이게 응근 잼있는건
아이러니함...
그나마 5막은 거의 1막수준 길찾기라 편한편이고
6막은 또 다른 재미를 줌.
스토리 연출은 전반적으로 매우 맘에듬.
근데 보스전들 다 좋은데 꼭 일부러 무적 타임?
흐름끊기 타임? 같은걸 추가해서 난이도 해딩은 둘째치고
이게 사람을 좀 지치게 함.
2회차 넘어가기전 못먹은 법보 먹기 작업하고있음.
스킬도 다 못찍어서 업글한 방어구 조합으로
새롭게 2회차 해보고싶은 욕구도 생김.
1회차에 놓쳤던거 라던지 다시 새롭게 길찾아봐야지
하는 욕구도 생김. 암튼 매우 잘 만듬.
아마도 듕궈국 게임은 이게 처음이지만
정말 감탄했음.</t>
  </si>
  <si>
    <t>游玩9小时，写到第2章。配置 783D/4080S/38WQHD，全高开光追也能跑，但优化一般，我关了RT、把DLSS开满。偏爱那层朦胧的色调（估计以后能用Mod改）。原以为动作系统单薄，结果技能树、法术、变身都很丰富，升级加点也有意思，超出预期。第1幕的林间小路引导很差，总在“这是哪儿、来过没”的困惑里……很多岔路尽头只有隐形墙、空间很窄；偏偏小路里还塞着精英怪，让人不得不去，像在强行拉长时长，十分不快。主角没有台词也影响代入。能爬的地方爬不上，不该爬的地方反而能上；看着是广阔天地，体感却像被关在狭小空间里。钱不算白花，但要我打分，这游戏是 5/10。</t>
  </si>
  <si>
    <t>动作打击手感；地图路线；空气墙可达性；引导迷路单线；优化帧率；Bug兼容硬件</t>
  </si>
  <si>
    <t>KR-P-031</t>
  </si>
  <si>
    <t>우화 명작이네요 중국에서 이정도면 다시 봐야겠네요 왜 사펑이기는지 알겠네요 교훈도 있고 눈도 즐겁고 얼마나 고생해서 만든지 알겠습니다. 감사합니다 좋은 게임하게 해주셨어요</t>
  </si>
  <si>
    <t>寓言式的佳作。以中国出到这程度，值得重新审视。为什么能和《赛博朋克》掰手腕，我大概明白了：有教训，有美景，看得出付出了多少心血。感谢让我玩到这么好的游戏。</t>
  </si>
  <si>
    <t>KR-P-032</t>
  </si>
  <si>
    <t>연출이랑 그래픽만 화려하고 게임적 불쾌한요소 너무 적나라하고 보스 기믹이랑 난이도도 기하급수적으로 올라가서 소울류보다 훨씬 어렵다고 느껴짐.</t>
  </si>
  <si>
    <t>只有演出和画面华丽，游戏里那些让人不适的设计太赤裸；Boss机制和难度指数级上升，体感比常见魂类还难。</t>
  </si>
  <si>
    <t>画面美术场景；演出角色怪物设计；Boss战斗节奏；难度挑战</t>
  </si>
  <si>
    <t>KR-N-033</t>
  </si>
  <si>
    <t>완전 쓰레기 게임 그래픽만 좀 괜찮을뿐 회피만 하다가 몹잡고 아무 의미 없음</t>
  </si>
  <si>
    <t>纯垃圾游戏，除了画面还行；就是一直翻滚然后砍小怪，毫无意义。</t>
  </si>
  <si>
    <t>KR-P-034</t>
  </si>
  <si>
    <t>진짜 시발 ㅋㅋㅋ 짱깨겜이라고 무시하고 1시간 진행했는데 존나 재밌다 ㅋㅋㅋㅋ</t>
  </si>
  <si>
    <t>说句实话，我一开始带着偏见当“中式垃圾”看，结果玩了1小时——卧槽，真TM好玩，哈哈。</t>
  </si>
  <si>
    <t>KR-P-035</t>
  </si>
  <si>
    <t>일단 갓오브워 느낌은 아님..난이도가 갓오브워같은 액션게임보다 많이 힘듬소울 느낌 나는 액션게임이랄까?난이도가 나누어져 있었으면 갓겜이었음이것만 빼고 보면 정말 재밌는 게임임---&gt; 다 깨고 보니 난이도 괜찮은 듯 ㅋㅋ      다만 길 찾기 뒤지게 힘듬</t>
  </si>
  <si>
    <t>首先，它不是《战神》的那种手感；比《战神》这类动作游戏难多了，更像带魂味的动作。除此之外真的很好玩。——→ 全破之后觉得难度其实还行哈哈；就是找路难得要命。</t>
  </si>
  <si>
    <t>动作打击手感；难度挑战；引导迷路单线；推荐价值判断</t>
  </si>
  <si>
    <t>KR-N-036</t>
  </si>
  <si>
    <t>장점. 전체적인 비쥬얼이 최근 게임중 압도적으로 좋다. 서유기라는 세계를 웅장하고 아름답게 표현했다.챕터가 끝날때 마다 에니메이션으로 스토리텔링을 하는데 그부분도 높은 점수를 주고싶다.단점. 이게임은 소울라이크게임이다. 개발자가 인터뷰한 부분에서 갓오브워를 표방한다고하는데 죽빵을 날려주고싶음. 악의적인 맵구조와 선형적인것처럼보이지만 미로를 표방하고 있고 낙사구간도 꾸준히나옴. 취향에 맞다면 백점이지만 스트레스받는 요소가 너무 많음</t>
  </si>
  <si>
    <t>你们把《战神》当成节奏乱七八糟的游戏吗？为什么每个Boss都故意错拍乱来？被Boss打到一下，后面那串连招全得吃，这也太不合理了吧？你们脑子里都装了什么？</t>
  </si>
  <si>
    <t>KR-P-037</t>
  </si>
  <si>
    <t>나중에 패치해줄꺼 기대하고 일단 추천함게임은 재밌거든근데 cpu가 AMD라 그런지뭔지 개같이 튕김사양은 충분히 차고 넘치는 사양인데ㅜㅜㅜ하...초반보스 욘두대가리 거의 다 잡았더니 튕기고 컷신보다 튕기고..나중에 패치되면 돌아오겠음</t>
  </si>
  <si>
    <t>先推荐，等后续补丁。我是觉得好玩。但也许是我用AMD CPU的缘故，老是崩。配置明明绰绰有余……前期那个大头Boss快打死了就崩、过场也崩。等修好了再回来。</t>
  </si>
  <si>
    <t>演出角色怪物设计；Boss战斗节奏；难度挑战；Bug兼容硬件；推荐价值判断</t>
  </si>
  <si>
    <t>KR-P-038</t>
  </si>
  <si>
    <t>속았다 ㅅㅂ개 ㅈ같은 게임.. 소울라이크 좋아하시는분들은 사도 후회는 안할듯함.분명 제작진이 소울라이크가 아니라 갓오브워를 벤치마킹 했다고 해서 샀더니 처음부분은 그럴듯하게 만들어놓고가면갈수록 다크소울 엘든링 생각나게 하는 시스템.  갓오브워를 모티브로 만들었다면서 ㅈ같은 스태미너는 왜 있고 난이도 조절은 왜 없냐큰 근본은 다크소울 모티브.. 짜잘한것만 갓오브워 가져와놓고 소울라이크 ㄴㄴ &lt;-- 이지랄적 공격은 막기도 없고 회피만 되는데 회피도 공격중엔 안되고 회피해도 공격타이밍도 없이 괴랄한 적의 강직도(슈퍼아머) 초반부터 스트레스 오지게 만듬. 나는 갓오브워 같은걸 생각하고 샀는데 게임은 까보고나면 엘든링 다크소울류의 고난도 게임임.환불하려고 보니까 2.3시간 지나서 환불도 안되고 시부레.. 제작진 인터뷰에 속음.. 데모도 없이 겜 만든 이유가 있네.(추가) 몇시간 더 해보고 평가.. 게임은 잘만듬.. 돼지보고 귀여워서라도 평가 수정함.근데 아무리 생각해도 소울라이크라고 입턴 제작진때문에 괘씸한 생각을 지울수가없음(추가2)엔딩 진엔딩 다보고 할만큼 한후 다시 씀.. 화풀렸다 ㅆㅂ... 소울라이크아니다 맞다찡얼거리기엔 게임이 너무 잘만들고 재밌다.. 2회차 하는데 아무런 거부감이 없음.용서해준다. 추천으로 바꿀께... dlc내줘 얼른..</t>
  </si>
  <si>
    <t>太好玩了，真的！哈哈哈。</t>
  </si>
  <si>
    <t>KR-P-039</t>
  </si>
  <si>
    <t>이렇게 멋진고 화려한 그래픽을 가진 게임은 처음 해보네요. 너무나도 멋있는 연출들... 거기에다 매력적인 주인공인 오공 각각 사연이 있고 특색이 있는 일반몹과 보스몹... 이곳 저곳 돌아다니면서 느끼는 멋진 배경들...변신 시스템등 지루할틈이 없네요... 소울라이크와 액션이 적절하게 잘섞인 전투시스템이 상당히 매력적입니다. 적극 추천합니다. 개인적으로 이번년도 GOTY게임이네요.</t>
  </si>
  <si>
    <t>在动作战斗游戏里也能排得上号，是今年众多期待作里最不错的一个。</t>
  </si>
  <si>
    <t>KR-N-040</t>
  </si>
  <si>
    <t>서유기를 예전해 접해봐서 그런지 그래픽 보며 뽕이 차오름사양이 권장보다 높다는건 인정하는데 최적화가 안 좋다는건 공감x오히려 최적화는 준수하다고 느껴짐길찾기도 딱히 어렵지않고 샛길로 빠져도 뭔가가 있고 결국 자연스레 진행이 되게 되어있음아쉬운 부분은 밋밋한 타격감과 거슬리는 투명벽, 가독성 떨어지는 자막너무 과하게 올려칠것도 내려칠것도 없이 명작은 아니어도 잘 만든 수작은 충분히 됨</t>
  </si>
  <si>
    <t>优化是真烂。3080开中高画质还卡顿——这让玩家怎么玩？只是狂堆美术，玩法打磨几乎没有。还有那段像《战神》“挤岩壁”的过场动作，除了这个镜头之外，对战斗系统几乎没考虑。</t>
  </si>
  <si>
    <t>画面美术场景；演出角色怪物设计；动作打击手感；Boss战斗节奏；锁定视角；优化帧率；整体完成度</t>
  </si>
  <si>
    <t>KR-M-041</t>
  </si>
  <si>
    <t>产品已退款
												내 컴으로 못 해서 비추줌 씨발.컴 바꿔서 개추</t>
  </si>
  <si>
    <t>产品已退款。因为我的电脑跑不了，所以先给了差评，真是气死了。后来换了电脑之后又改成好评。</t>
  </si>
  <si>
    <t>KR-P-042</t>
  </si>
  <si>
    <t>그래픽이 정말 놀라울 만큼 사실적입니다. 소나무와 대나무의 잎들과 이끼 낀 바위 빛이 반사된 아름다운 투명한 물 표현 등등 그냥 지나칠 오브젝트들도 굉장히 디테일하게 신경 써서 만든게 느껴지네요 나오는 등장인물들도 설정과 모션 등등을 들여다 보면 매력적인 인물들이 많은데 너무 많은 것을 보여줄려다 보니 굉장히 빠르게 소모되는 것이 아쉽습니다. 그리고 중국의 콘솔 게임 개발 능력이 정말로 많이 발전 했다는 것이 체감 되네요 다만 타격감과 패링 앞잡 뒤잡 점공 은신 등등 게임이 루즈하지 않게 만들어줄 요소들 부족한 것은 조금 아쉽습니다.</t>
  </si>
  <si>
    <t>画面真实得惊人：松竹的叶片、长满青苔的岩石、反光的水面……都美得不可思议。只是像打击感、招架、背刺、空中攻击、潜行等能让玩法不枯燥的要素略显不足，稍可惜。</t>
  </si>
  <si>
    <t>KR-N-043</t>
  </si>
  <si>
    <t>소울라이크 입니다.세키로, 엘든링도 했었지만,,,고수는 아닌지라 여전히 어렵습니다.</t>
  </si>
  <si>
    <t>这是魂like。我也玩过《只狼》《艾尔登法环》，但不是高手，所以还是很难。</t>
  </si>
  <si>
    <t>KR-P-044</t>
  </si>
  <si>
    <t>생각보다 게임이 괜찮게 나왔다.소울류 좋아하는 사람이라면 무조건 추천함.중간중간 갈래길이 나오지만 결국 도달하게 되는 방향은 최종보스쪽이라지도가 없어도 길 찾는건 굉장히 쉽다.이동의 자유는 거의 없다고 봐도 무방할 정도로 단순히 배경은 그냥 벽지라고 봐야한다.개인적으로 중국게임에 갖고 있던 편견이 살짝 깨지는 느낌을 받았을 정도..</t>
  </si>
  <si>
    <t>比想的做得好。如果喜欢魂类，无脑推荐。途中有分叉路，但多数场景只是背景墙。坦白说，我对中国游戏的偏见被稍稍打破了。</t>
  </si>
  <si>
    <t>KR-M-045</t>
  </si>
  <si>
    <t>초반에 떠도는 영혼이라는 필드보스는 정말 정말 어려웠음.이런 액션겜을 잘하는 것도 아니라서 대략 20번정도 죽고 겨우 죽인듯함.웃기는건 얘 이후론 쉬워서 현재 호랑이 요괴까지 클리어함(얘는 좀 어려운 편이었음).많이들 언급하는 단점들도 있는데 그냥 액션죠지는 겜으로 따지면 수작이라고 봄.스토리는 나는 이말년 서유기 정도나 봤는데 그것도 이해하는데 꽤 도움됨. 역시 갓착맨.</t>
  </si>
  <si>
    <t>前期那个叫“游魂”的野外Boss真的太难了。我也不擅长这类动作，打得七零八落……以同类来说算上乘。我只看过一点点改编版《西游记》，理解剧情也有帮助。</t>
  </si>
  <si>
    <t>动作打击手感；Boss战斗节奏；难度挑战；西游悟空符号</t>
  </si>
  <si>
    <t>KR-N-046</t>
  </si>
  <si>
    <t>조작감 익숙해질때까지 스트레스 받음. 적 보다 주인공 선딜 후딜이 극심하게 큼. Y공격쓰려면 목숨을 걸어야 함. 설명글들이 매우 불친철함. 음성언어는 영어보다 중국어로 변경하면 더 집중 잘됨. 세키로, 엘든링, 닥소, 와룡, P구라 안 한 사람은 저것들 먼저 해보고 이 게임 ㄱㄱ. 같은 가격 대비 재미가 가장 덜함.이제 더 이상 할거 없는 실크송 대기 유저들의 땅콩안주거리 게임으로 적함함.</t>
  </si>
  <si>
    <t>在熟悉操作之前压力很大。主角的前摇后摇比敌人夸张得多，想用Y键重击得拿命去换。总体偏“加点堆数值”的设计。同价位里乐趣最少的一个。成了一群“等《丝之歌》的人”的花生下酒菜。</t>
  </si>
  <si>
    <t>KR-P-047</t>
  </si>
  <si>
    <t>생각보다 재미있고 분위기도 좋음 딱 80점대 킬링타임용 게임 정도는 됨 ㅋ 스타필드 보다 낫다는건 확실히 보증함</t>
  </si>
  <si>
    <t>比想象更有趣，氛围也好。大概是80分档的消遣向游戏，确定比《星空》强。</t>
  </si>
  <si>
    <t>KR-P-048</t>
  </si>
  <si>
    <t>고스트 오브 쓰시마 좋아하는 사람 사! 세키로 좋아하는 사람 사! 인왕1,인왕2,와룡 싫어하는 사람 사! 중국 서유기 좋아하면 사! 정말 중국게임치고 이렇게 신경써서 잘만든거보고 아니 이렇게 잘만들수있는데 이놈의 짱개새끼들은 왜 전세계사람들 등쳐먹었는지 양심적으로 검은신화:오공처럼 정성을 다해 만들어봐라.앞으로도 계속 플레이 예정이지만 내 나름대로 굉장히 즐겁다.와룡,인왕1.인왕2 만든 쪽빠리새끼들아 좀 보고배워라.그리고 도르마2의 개적화야....좀 보고배워라.</t>
  </si>
  <si>
    <t>喜欢《对马岛之魂》的买！喜欢《只狼》的也买！讨厌《仁王1/2》《卧龙》的更要买！画面夸张、节奏明快、战斗爽快，玩得非常开心。做《卧龙》《仁王》的那些家伙也该来学学；还有某些作品的屎一样优化，也该学学。</t>
  </si>
  <si>
    <t>画面美术场景；Boss战斗节奏；优化帧率；推荐价值判断</t>
  </si>
  <si>
    <t>KR-P-049</t>
  </si>
  <si>
    <t>손오공이 천상에서 버림받아 화과산 큰 돌에 갇힌지 500년 후, 원숭이 후손들에게 전해오는 天命子가 나타나 흩어진 오공의 신물 6개를 찾으면 손오공이 부활한다는 전설이 있었고 이에 하늘의 명을 받은 진짜 오공이 나타났다.거의 완벽에 가까운 게임!! 추천합니다. 3회차까지 해야 모든 걸 얻을 수 있습니다.</t>
  </si>
  <si>
    <t>悟空被天界遗弃、被压在花果山巨石之下的500年后，猴族口耳相传的“天命之子”降世……真正的悟空出现了。几近完美的游戏！推荐。要拿全内容需要至少三周目。</t>
  </si>
  <si>
    <t>KR-N-050</t>
  </si>
  <si>
    <t>사실 이 평가글 적으며 짱개 정부들 짓거리나 제작자의
쩌뚱이 훡유나 여러가지로 할 말도 많고 따질것도 많았지만
그런건 제끼고 순수 게임 내용으로만 평가하겠다.
일단 그래픽은 인력을 갈아 넣은건지 정말 좋긴 한데
JRPG 특유의 투명벽? 그런 부분은 약간 동양겜들의
플레이어를 제한하는 느낌이 조금 아쉬운 점이다.
많은 평가글에서 보이는 부분인 타격감에 대한 부분은
개인적으론 크게 공감 못하겠는것이 이 정도 느낌도 못주는
게임들이 허다한데 그 부분을 단점으로 삼기엔 좀 그렇다싶고
문화적 관점으로도 짱개 문화가 어필 된다기보단
불교, 도교같은 동양권이라면 모두 겪은 공통적인 문화관의
분위기가 훨씬 강하게 어필 되어서 보기에 거부감이 없다.
약간 우스운건 제작자는 이 게임을 갓오워를 벤치마킹 했다고
말은 하는데 이거 뭘로 봐도 소울라이ㅋ... ㅋㅋㅋㅋㅋㅋ
길찾기 경우는 이런 길은 구태어 뭐하러 만들었나 싶기도 하고
오픈월드 느낌을 살리고 싶어서 그런걸까 싶은 느낌은 이해하나
맵을 장황하게 표식 조차 없는 허허벌판만 늘려놓고 넓고 넓은
짱개땅의 위상을 보렴 이런건 좀 토악질 나올 지경...
특히 이 스트레스가 3챕에 가면 화딱지가 날 수준인데
이 부분이 진심 최악의 단점이다.
첨부터 오픈월드식 구성이면 모를까 이건 그냥 유저의 피곤도만
올릴뿐이기 때문이다.
저 부분의 극단적인 단점 하나 빼면 나머지는 미묘한 느낌의
문제들이라 전체적 평가가 비추냐 추천이냐의 선택이
비추까지 갈 정도의 문제가 크게 없다보니 긍정평가가
압도긍까지 쌓인 느낌이라 그 부분은 좀 고려한다면 그 외엔
이 정도면 수작은 된다고 생각한다.
마무리 여담이긴 한데 짱개어 자체가 굉장히 거슬리는 분이
많지만 역으로 이 겜은 짱개음성이 홍콩영화 느낌을 준다고
해야 할지 더 와닿는거 같다.
-------------------------------------
그전 추천 평가를 비추로 전환한다.
짱개인민의 힘을 모아줘도 아니고 모든 수상에 대한
불신을 무시하는건 아니지만 자기네가 고티 못받았다고
투덜거리며 단체 어필하는건 좀 어이 없다 생각하기 때문.
개인적으로도 올해의 게임에 뽑힐 정도의 명작으로 보기엔
부족한 점이 많거늘 하물며 그걸 CEO가 칭얼대는건
역시나 짱개구나 하는 생각만 든다.</t>
  </si>
  <si>
    <t>撇开对某些政治/舆论的抱怨不谈，只就“游戏本身”来评。画面好得像是把人力都榨干了。遗憾的是，带有JRPG味的“隐形墙”太多，限制玩家行动。至于很多人说的“没打击感”，我个人不太认同——以这水准还说没有手感，那就有点苛刻了。（长文略）</t>
  </si>
  <si>
    <t>画面美术场景；动作打击手感；空气墙可达性；整体完成度</t>
  </si>
  <si>
    <t>KR-N-051</t>
  </si>
  <si>
    <t>최적화는 최악이네 3080인데도 중상옵 돌리면 버벅거리는걸 유저들 하라고 만든건가 아트만 걍 때려박고 게임성은 없음 소울류 좋아하는사람만 사세요개빻음 일단 지들이 만든거 확인도 안한건 진배 없고  진짜 히트 판정이나 적은 연속으로 기술 사용하는데 나는 피하다가 1~2대 때리면 끝남 도술쓰라고 하는데 도술도 자동 회복도 없음 단약은 뭐 바로 먹는것도 아니고 진짜 게임 다만들고 플레이 해보고 나온게 아니라 걍 하다가 마감 급급해서 데모도 못내고 걍 나온게 맞는거 같음 밝기도 중간이 없어서 너무 어두운곳은 게임의 비쥬얼이나 분위기와 상관없이 그냥 어두움 아무리 처음 만드는 게임이라고 해도 이건 걍 내수 빨아주기에 올려치기 당한 게임이 분명함 개인적으로 이게임은 아트를 빼면 나머진 다 기본 테스트 조차 안한 수준임 현재 4막 거의 마지막인데 좀있으면 끝인거 같은데 정말 소울류 좋아하는 사람 아니면 절때 하지 말기를 바람 소울류 아니라고 하는데 어디서 짜집기한 소울류 맞음 갓오브워에서 영감을 받았다는데..갓오브워 절벽들어가는걸 영감을 받으셨나 해당모션 제외 하고 전투 시스템이나 그런것에 대한 고려는 1도 없음</t>
  </si>
  <si>
    <t>优化太差。3080开中高画质还会卡顿——这是让玩家怎么玩？一股“只顾堆美术”的味道；还照搬了《战神》那种“挤岩壁”的动作。除了那段演出，对战斗系统几乎没有更多考虑。</t>
  </si>
  <si>
    <t>画面美术场景；演出角色怪物设计；动作打击手感；Boss战斗节奏；优化帧率</t>
  </si>
  <si>
    <t>KR-P-052</t>
  </si>
  <si>
    <t>왜 유달리 이 게임에 바이럴 및 억빠가 많아 보이는 걸까? 동종장르 게임들 깎아 내리면서 올려치기 하는 거 보면중국몽 수호하는 화교 친구들이 참 많다고 느낌.80 턱걸이란 메타 점수는 정확히 받았다고 봄. 괜찮게 만든 건 팩트인데 압긍까지 갈 정도는 절대 아님.무미건조한 스토리 및 세계관, 투명벽, 레벨 디자인, 깊이 없는 전투 등 까일 점도 수두룩하며고평가 받는 게임들 마냥 그 게임하면 생각나는 독보적인 무언가가 얘한테는 찾기 어렵다 봄.</t>
  </si>
  <si>
    <t>为什么这作似乎有格外多的“带节奏/强行吹”？一边踩同类，一边把它捧上天。撇开政治因素不论，它也依然有一堆可挑的毛病；和那些高口碑作品不同，我很难在它身上找到一个“想起这作就会想到的独特卖点”。</t>
  </si>
  <si>
    <t>KR-N-053</t>
  </si>
  <si>
    <t>진핑이가 게임 억까하는데 어케만들었노 ㅋㅋㅋ투명벽무새, 타격감무새는 '그게임'하러가시면 될듯~ㅋ팩트는 그회사는 이런연출 이런퀄리티 2050년에도 못만듬 ㅋ</t>
  </si>
  <si>
    <t>在某些政策都打压游戏的大环境下，竟然还能做出这玩意儿，哈哈。成天念叨“隐形墙”“打击感”的，还是去玩“那款游戏”吧。事实是，某些公司到2050年也做不出这种级别的演出与品质，呵。</t>
  </si>
  <si>
    <t>画面美术场景；演出角色怪物设计；动作打击手感；空气墙可达性；整体完成度</t>
  </si>
  <si>
    <t>KR-M-054</t>
  </si>
  <si>
    <t>씨발 니들은 갓오브워가 엇박으로 지랄하는 겜으로 보이냐무슨 보스마다 엇박으로 존나 지랄하고 바위육신 특성은 찍을 수록 패링이 쉬워지는것도 아닌데다가패링도 지랄이라서 무슨 패링이 될때도 있고 안될 때도 있으면 그걸 어떡해 구분하라고 병신들아게다가 무슨 보스 난이도는 또 병신 같아서 어떤 보스는 존나 싶고 어떤 보스는 존나 병신 같이 어렵게 난이도 조절마저병신처럼 해놓으면 뭔 재미를 느끼라고 씨발 거기다가 약공 데미지는 병신이라 보스한데 딜도 거의 안 박혀서 강공 위주로 운용해야 되는데 강공은 한대 처 맞기만 해도 끊겨버리면 대체 어떤식으로 겜 진행을 하라는거냐 씨발 새끼들아 거기다가 보스한테 한대만 맞아도 뒤에 따라오는 연속기들 다 쳐맞아야 되면 존나 불합리 하잖아 병신들아씨발 대가리에 든게 없냐</t>
  </si>
  <si>
    <t>你们把《战神》当成节奏乱到爆的游戏吗？怎么每个Boss都故意错拍、打断节奏？像“石躯”这种特性……被Boss撞到一下，后面那串连招就得全吃，太不讲理了。你们脑子里都在想什么？</t>
  </si>
  <si>
    <t>KR-N-055</t>
  </si>
  <si>
    <t>쉽다고 해서 했는데 저는 아직 속세에 찌들어있나봐요.. 아직도 깨닫지 못하였습니다.. 저는 무자본 뉴비인데 상대는 캐시탬 둘둘인데 이거너무 부조리한 것 같아요.. 정말요... 그래도 게임 대박 재밌게 잘 만듦..</t>
  </si>
  <si>
    <t>说是简单，但我大概还俗气太重……还是没参透。我是无氪新手，对面却一身氪金，这也太不公平了。不过话说回来，游戏本身真的做得好玩。</t>
  </si>
  <si>
    <t>难度挑战；判定反馈；推荐价值判断</t>
  </si>
  <si>
    <t>KR-N-056</t>
  </si>
  <si>
    <t>게임 불합리한 것만 다 뭉쳐서 만든 게임  원거리 공격 없는 주인공이 절대로 잡을 수 없는 높이에 위치한 원거리 적들 다수 존재  ( 무조건 도망가야하는데 이런 거 있으면 방패든 적도 있어서 빨리 도망도 못 감 )  보스전 시점 최고의 장비, 최고의 도핑물약 사용에도 불구하고 맷집이 강한 보스전  ( 적 때릴 때 마다 데미지가 진짜 찔끔찔끔임 )  절대로 공격할 틈 or 회복할 틈을 안주고 연속으로 최대 6연속 패턴을 사용하는 보스  ( 이 게임은 심지어 보스가 진짜 많아서 더 피로함 )  보스들 패턴이 그냥 개초딩 패턴인 경우가 대다수  ( 예시 : 맵 범위 전체 타격 공격은 약과고, 장풍 날리는 공격이 1타 맞을 시 풀타 확정에 끝나면 순간이동해서 접근해옴 )  약공격 마지막 타격 넣으려면 2초 정도 걸리는 선동작을 다 봐야함  ( 이거 안쓰면 보스한테 경직 못 넣음, 그리고 마지막 타격에 슈퍼아머 없음 쓰다가 맞으면 뒤지게 아프고 멀리 날아감 )  길찾기도 가면 갈수록 어려워지고 갈 수 있을 줄 알았는데 투명벽 있고 그럼  ( 지도를 무슨 왜 안만든건 지 모르겠음 )  스킬 쓰는데 마나 딸려서 3번 정도 쓰면 더 이상 못 씀 회복 하려면 특정 장비 끼고 저스트회피 3번 해야지 아주조금 회복함  돌로 변신해서 패링 할 수 있는 스킬이 생기는 구간이 있는데 그 구간에서 이 스킬 고르면 게임이 더 어려워짐 심지어 해당 스킬 강화 해주는 아이템 까지 주는데도  ( 원거리 공격 하면서 근거리 슈퍼아머 공격 4연속 달린 적이 3마리나 나오는데 패링으로는 절대 깰 수 없음. 기존 스킬 써야지 깰 수 있음 )  이거 좀 열받는데 보통 어떤 스킬을 주면 이 구간은 해당 스킬을 잘 써서 헤쳐나가라는 거 아님 ?  왜 오히려 그 스킬을 해당 구간에서 쓸모없게 만든건 지 잘 모르겠음. 그렇다고 이 게임이 스킬을 자주 쓸수 있을 정도로 법력 ( 마나 ) 가 널널한 것도 아님. 회복 수단도 한정적이고. 그냥 게임 하다보면 기분이 너무 나빠짐.난이도가 어렵거나 그런 문제가 아님.</t>
  </si>
  <si>
    <t>把各种“不合理”都揉在一起的游戏。主角没有远程，却把敌人放在根本打不到的高处；到处隐形墙；听得到NPC说话却靠不过去；回血手段也有限。问题不在“难”，而是在玩的时候心情会很差。</t>
  </si>
  <si>
    <t>空气墙可达性</t>
  </si>
  <si>
    <t>KR-P-057</t>
  </si>
  <si>
    <t>1회차 노멀 엔딩 후 다시 작성해봅니다.그래픽은 이전에도 말했듯이 동양적인 미, 특히 풍경이 아름답게 표현이 되었습니다. 개인으로 서양보다 동양을 선호하기에 각 챕터의 배경을 보면서 눈이 즐거웠습니다.전투는 회피 후 찔끔 공격하면서 판을 짜고 합을 맞추는 형식이 아닌 순간적인 판단력과 반응으로 연속기를 대응해야하는 전투로, 해당 방식이 익숙한 저에게는 전투가 좋은 경험으로 기억됩니다.모션이 자연스러워서 선모션을 보는 것에 힘들었으나, 적응 이후에는 무난하게 처치를 하면 진행을 했습니다. 탐험은 호불호가 있는 것 같으나 애초에 탐험이 아닌 보스와의 전투를 기대하고 시작하였기에 투명벽은 크게 신경쓰지않고 진행했던 것 같습니다.그리고 각 챕터 마지막에 다르게 연출되는 애니메이션을 통해 간결하게 이야기를 보여주는 것도 인상적이었습니다.종합적으로 단점으로 지적되는 타격감, 투명벽은 저 개인은 게임 플레이에 크게 지장이 있지는 않았습니다.</t>
  </si>
  <si>
    <t>一周目普通结局后再写。画面里的东方美感很足，尤其风景表现很美；音乐、演出、配音都不错；Boss形象鲜明，有趣的机关。引导不足、一些跳跃/平台段落易挫败、找路容易迷失。但对我个人而言，被不少人当作缺点的“打击感”与“隐形墙”，对游玩影响并不大。</t>
  </si>
  <si>
    <t>画面美术场景；音乐音效配音；演出角色怪物设计；动作打击手感；Boss战斗节奏；难度挑战；空气墙可达性；引导迷路单线；推荐价值判断</t>
  </si>
  <si>
    <t>KR-P-058</t>
  </si>
  <si>
    <t>근본없는 중국게임 그래픽만 조금 나을뿐 그냥 짜집기 한 게임..타 사이트에서 고티를 운운하는 사람 보면..다 중국인..내수시장..</t>
  </si>
  <si>
    <t>没什么底子的中国游戏；除了画面稍好，就是拼拼凑凑。别的网站一说GOTY，一看清一色中国人，纯内需市场那味儿。</t>
  </si>
  <si>
    <t>KR-N-059</t>
  </si>
  <si>
    <t>발매 전 영상에서 소울의 냄새가 오지게 나는데도 아무튼 소울라이크는 아니라고 하고발매 후 리뷰 영상 보는데 하나같이 소울과는 다르다 소울과는! 그거에 비하면 쉽다! 고 하길래 믿고 샀다가 속았다.떠도는 영혼? 이라는 보스한테 10트 가까이 해서 겨우 깼더니 불덩이 같은 게 나오던데상호작용 키는 떴지만 메시지가 뜨면서 상호작용이 안 돼서 저장하고 다시 돌아오니 사라져 있는 거 보고 멘붕와서 환불 신청함.내가 소울알못이라 그런 거겠지만 아무리 해봐도 보스 전투에 있어서 차이점이 안 느껴짐.</t>
  </si>
  <si>
    <t>发售前的视频就有强烈“魂味”，却一直说不是魂类；发售后评测也说不是。但我真正上手、拼命练招架和回避之后，发现Boss战的手感区别并不明显，最后心态崩了申请退款。也许是我不懂魂，但体验上真的难以分辨差别。</t>
  </si>
  <si>
    <t>KR-P-060</t>
  </si>
  <si>
    <t>액션 컴뱃 게임중에 손에 꼽을 정도의 수작올해의 기대작 중에 제일 괜찮다</t>
  </si>
  <si>
    <t>在动作战斗游戏里都能排得上号，是今年众多期待作里最不错的一个。</t>
  </si>
  <si>
    <t>KR-N-061</t>
  </si>
  <si>
    <t>*단점*1. 보스가 매우 많다. 그래서 피곤함이 누적될 수 있다2. 길 찾기가 매우매우매우매우매우매우매우 귀찮다. 샛길 안에 샛길이 있고 샛길 안에 보스가 있고 그 뒤에 샛길이 있다. 필자처럼 모든 곳을 구석구석 보려고 하는 것은 미친 짓인 것 같다. 초회차만 하고 게임을 더이상 안할 유저들은 안타깝지만 필자처럼 다회차를 할 유저들은 초회차에서는 어느정도 설렁설렁 볼 필요가 있는 것 같다.3. 밝은 곳은 너무 밝아서 눈이 좀 아프다4. 타격감이 아주 없는 것은 아니지만 아쉽다. 여의봉이 아닌 롯데월드에서 비싼 가격에 파는 중국산 플라스틱 막대기로 스타일뤼시하게 패는 느낌5. 패링이 없다*장점*1. 그래픽이 매우매우매우매우매우매우매우매우매우 좋다. 이게 언리얼엔진 5?2. 그럼에도 불구하고 발열이 없다. 발적화 이슈가 있던 것으로 알고 있는데 아주 훌륭하게 고친듯3. 타격감이 없을 뿐이지 전투가 속도감이 넘치고 매우 맛깔나다4. 단돈 8만원에 (굳이 비싼 버젼 안사도 될듯) 다회차 유저 기준 70시간 이상은 할 것으로 예상된다5. 보스들이 많아서 금방 피로해질 순 있지만, 엘든링만큼 복붙 보스가 많은 편이 아니고, 보스마다 매우 개성있는 패턴을 쓴다.6. 중국 성우가 맛깔난다. 이거 영어로 들으면 진짜 바보임7. 죽어도 돈을 떨구지 않는다. 매우 개꿀. 근데 아직 많이 해본 것은 아니지만 돈으로 레벨업 하는 것이 아니어서 돈은 떨궈도 됐을 것 같다*총평*소울류가 아니라고 하는 제작사가 이해가 안되는 것은 아니지만 그냥 보스러쉬가 강한 소울류 느낌. 소울 65 갓옵워 35 썪은 느낌이다. 지도와 패링이 없는 것이 너무 아쉽다. 이렇게 속도감 있는 전투에서 왜 패링을 빼고 구르기 회피만 집어넣었는지 이해할 수 없다. 그럼에도 불구하고 난이도도 적당하고, 단돈 6만원 돈으로 장시간 할 수 있는 게임으로 예상된다.</t>
  </si>
  <si>
    <t>【缺点】1）Boss极多，疲劳会累积；2）找路非常非常非常非常难；3）……尽管如此，难度总体适中。只花6万韩元就能玩很久，物有所值。</t>
  </si>
  <si>
    <t>KR-N-062</t>
  </si>
  <si>
    <t>맵 없다고 길 헤멘다고 하는 사람들은 그냥 평범한 사람이 아닌 병@신 길치인거임 맵 쉬운편이고 이런 좁은 맵에서 길 헤메는건 걍 방향감각이 없는 사람이라고 생각함 존나 넓은 곳에서 길을 헤메는거면 이해 하는데 난 사기전에 길 찾기 힘들다고 해서 걱정 했는데 개뿔 존@나 쉬움그리고 타격감 문제도 있다고 하는데 난 괜찮은 편이였음 오히려 이런 느낌의 타격감이 오래들어도 안질리고 귀가 편함 끊김 현상은 좋은 컴도 아닌데 가끔 변신해서 화려한 이펙트가 난무 할때 빼면 프레임 드랍은 별로 없음 끊기지도 않음</t>
  </si>
  <si>
    <t>说什么没有地图就迷路的，那大概是“极度路痴”——这图其实不难，而且是窄廊式的。优化方面：我这破电脑也就偶尔在变身、特效爆炸时卡一下，平时帧降不多、也不卡。</t>
  </si>
  <si>
    <t>演出角色怪物设计；地图路线；引导迷路单线；优化帧率</t>
  </si>
  <si>
    <t>KR-P-063</t>
  </si>
  <si>
    <t>전체적으로 무난하게 잘뽑혔는데 눈에 띄는 단점을 꼽아보자면입력 타이밍이 빡빡한건지 키가 씹히는건지 약공 회피나 약공 강공 콤보, 회피 직후 호리병 마시기 등 다른키 연속 입력시 제대로 반응을 안하는 경우가 꽤 있는데 이게 몇몇 보스의 패턴과 합쳐지면 꽤나 짜증유발 요소가 됨전체지도도 미니맵도 없는데 선형도 아니고 잘짜여진 미로도 아닌 말그대로 중구난방으로 뻗어있는 지형이라 뭔가를 찾는게 쉽지 않다. 소울이 아니라고 우길거면 전투에 편의성을 좀 더 주던가 했어야지 물약에도 딜레이가 크고 평타 캔슬도 없고 선입력 개념도 없어서 어지간한 소울류보다 동작에 제한이 더 많은 느낌다른 스킬들은 취향이지만 분신술은 무조건 투자하기 바람 분신술 쓰고 안쓰고 체감 난이도 차이가 엄청 큼</t>
  </si>
  <si>
    <t>整体做得很稳。但明显短板：要么输入判定很苛刻，要么键位吃指令，轻攻击衔接回避经常出不来；招架窗口偏紧。中后期略单调，机关型Boss偏多。强烈建议必点“分身术”，有无分身术的体感难度差距巨大。</t>
  </si>
  <si>
    <t>动作打击手感；Boss战斗节奏；难度挑战；判定反馈</t>
  </si>
  <si>
    <t>KR-P-064</t>
  </si>
  <si>
    <t>제작사에서 갓오브워같은 액션rpg라고 하니까 우기는놈들 많은거같은데 이건 소울라이크가 맞다. 전투주도권도 없고 보스패턴에 이끌려다니면서 싸우는데 소울라이크아니라고 하는놈들은 소울류겜을 안해봤던지 갓오브워를 안해봤던지 걍 모자라던지 이 중에 하나임법력때문에 기술도 마음대로 못쓰고 시전중에 맞으면 발동도 안됐는데 쿨돌고있고 타격감도 1도없는데 어디서 전투의 재미를 느껴야함? 보스를 거의 10분에 한놈씩 배치해놓은 레벨디자인도 ㅄ같고 걍 전체적으로 10년전 게임보다도 수준이하임.</t>
  </si>
  <si>
    <t>别再争“像不像《战神》式动作RPG”了，这就是魂like。你很难把节奏掌握在自己手里，必须读Boss、拼卡点。几乎每隔十分钟就塞一个Boss的关卡编排像十年前的设计，总体低于时代水准。</t>
  </si>
  <si>
    <t>动作打击手感；Boss战斗节奏；难度挑战；地图路线；整体完成度</t>
  </si>
  <si>
    <t>KR-N-065</t>
  </si>
  <si>
    <t>그냥 실행이안돼는걸? 79003d4070ti 슈퍼인데 안켜진다  오류 뭐이딴거도안뜬다 실행눌으면 x정지 활성화돼고 안무것도 안뜸아직도안됨 해결할생각이없나역시 중국겜</t>
  </si>
  <si>
    <t>就是启动不了？我这边 7900X / 4070 Ti Super 都不行。没有任何报错，点运行就显示一个“停止”图标，然后什么都不出现。到现在还不行，难道不打算修？真是……中国游戏。</t>
  </si>
  <si>
    <t>崩溃闪退；国产3A身份期待</t>
  </si>
  <si>
    <t>KR-P-066</t>
  </si>
  <si>
    <t>은근 재미 있어요 강추 합니다 ^^ 우리나라도 이런 게임들 많이 만들었으면 합니다 ^^</t>
  </si>
  <si>
    <t>意外地有趣，强烈推荐 ^^ 也希望我们国家能多做出这种游戏 ^^</t>
  </si>
  <si>
    <t>KR-P-067</t>
  </si>
  <si>
    <t>갓겜 인정!!피의 거짓보다 조금 부족하지만 스텔라블레이드 갓오브워보다는 재밌네...</t>
  </si>
  <si>
    <t>承认是神作！！虽然比《P的谎言》稍逊一点，但比《星刃》和《战神》更好玩……</t>
  </si>
  <si>
    <t>KR-M-068</t>
  </si>
  <si>
    <t>제 컴퓨터를 거의 슈퍼컴으로 맟췄는데도 게임이 중간중간 자꾸 멈추네요 ㅆ팔;; 겜은 재밌는거 같은데 아쉽습니다</t>
  </si>
  <si>
    <t>把电脑几乎堆到“超算”级别了，游戏还是三不五时卡死，*！看起来是好玩的，可惜了。</t>
  </si>
  <si>
    <t>崩溃闪退；推荐价值判断</t>
  </si>
  <si>
    <t>KR-M-069</t>
  </si>
  <si>
    <t>그래픽 하나보고 엘든링이랑 피구라도 무서워서 못했던 사람이 하게된 게임.  충분히 돈값은 하는듯</t>
  </si>
  <si>
    <t>我是那种只看画面、被《艾尔登法环》《只狼》吓到不敢玩的类型，但这款能玩下去。对得起票价。</t>
  </si>
  <si>
    <t>KR-P-070</t>
  </si>
  <si>
    <t>스텔라 블레이드, P의 거짓을 상당히 재밌게 한 유저라면이 게임을 하고 나서 실망할 가능성이 큼.일단 전투가 조금 지루함. 무기도 여의봉 원툴.bgm, ost? 걍 중화풍 게임에서 나올 법한 정도이고 딱히 인상적인 것 없음스토리?? 아예 없음. 아예 없어서 구리다는 평조차 할 수 없을 정도로 전무함.그냥 1~2회차 돌리기에 적당한 게임이고 언리얼5의 눈뽕을 체감할 수 있었다, 는 정도가 내 소감.그래도 그냥저냥 시간 때우기엔 좋아서 개인크리틱 80점 정도는 주고 싶음.그러나그럼에도이렇게 비추천을 하는 것은무지성으로 압긍 찍어대고 있는 저질 차이나 선생님들 때문에평가의공평성의 균형을 맞추기 위해서비추를 박겠음.</t>
  </si>
  <si>
    <t>如果你非常喜欢《星刃》《P的谎言》，玩完这作有很大可能会失望……再加上某些质量不佳的用户在那儿无脑点“好评”，为了平衡一下评分的公允，我这边点个“差评”。</t>
  </si>
  <si>
    <t>KR-P-071</t>
  </si>
  <si>
    <t>免费获取的产品
																3장을 했으면 절대 압긍이 나올수가 없다 거품이 너무 심하게 낀 게임 진심</t>
  </si>
  <si>
    <t>【免费获取的产品】玩到第3章的人就不可能给好评。严重虚高的口碑，真心话。</t>
  </si>
  <si>
    <t>KR-P-072</t>
  </si>
  <si>
    <t>엘든링도 하고 기타 여러 소울겜을 해봣는데 개인적으로  엘든링과 버금간다고 생각한다 퀄리티면에서 전혀 밀리지 않는 느낌.... 오히려 엘든링 보다 맵 피로도가 없는편이라 훨씬 재밋어할수도 있을거같다 숨겨진 요소도 많고 찾는재미가 많다  안해본사람은 꼭 해보길  바란다사람마다 호불호가 있는데  프롬소프트말고도 이런게임이 나온다는거에 놀라웠다 개인적으론 나에게 있어서는 올한해 최고의 겜이라 찬사하고 싶다.ps 엘든링dlc 보단 쉬운부분이 있으나 방심하지마라  그렇다고 아에 쉽지는 않다</t>
  </si>
  <si>
    <t>《艾尔登法环》等一众魂作我都玩过——就品质而言，这作不输《艾尔登法环》，想夸它是今年最佳之一。PS：比《艾尔登法环》DLC某些段落容易一点，但别掉以轻心，整体并不简单。</t>
  </si>
  <si>
    <t>难度挑战；整体完成度</t>
  </si>
  <si>
    <t>KR-P-073</t>
  </si>
  <si>
    <t>1. 맵: 맵은 더럽게 큰데 미니맵이나 맵을 볼 수 있게 하는 지도 존재 자체가 없다. 이게 엄청 크게 다가오는게 우선 맵이 너무 크고 거기에다 갈림길 2~3개를 준다보니 어디가 메인 동선이고 서브 동선인지 알 겨를이 없다. 모든걸 다 찾아야만 성이 풀리는 사람도 이 게임 좀 하다보면 다 스킵하고 싶을 만큼 지랄맞은 맵 디자인을 보여준다. 특히 그 좆같음이 3막에서 부터 시작되는데 맵은 드럽게 넓은데 가봐야할 곳은 드럽게 많고, 한 곳 한 곳 거리차가 너무 커서 가뜩이나 느려터진 주인공 달리기로 뽈뽈뽈 다녀야하는게 너무 스트레스다. 플레이 시간의 절반은 이동에 소모했다고 자부할 수 있을 정도로 이동이 너무 많고 불상(체크포인트) 간격이 엄마가 없다.2. 전투: 타격감이 시발이다. 타격감이 강공격 말곤 없다고 봐야할 정도로 타격감이 없다. 그리고 적들과의 전반적인 전투는 초반엔 괜찮았지만, 중후반에 도달하면서 지랄 맞은 슈퍼아머, 점점 많아지는 일대다 전투, 한대만 맞아도 곤봉술 최종타 캔슬되는 유리몸 주인공이 콜라보를 일으켜 매 전투가 거지같은 느낌을 준다. 그리고 후반에 갈 수록 강한 요괴들이 많이 나와 전투에 대한 피로도 또한 크다. 3. 보스: 보스 디자인들은 좋다. 몇몇 보스는 특별한 아이템으로 기믹 파회도 된다는 점에서 서유기의 요소를 잘 들고왔다는걸 보여준다. 다만 어떤 미친새끼가 디자인 했는지 모르겠지만, 컷신에서 얻는 대미지를 실제 대미지 입은 걸로 처리하는 미친새끼는 대체 누구인지 알고 싶다. 가뜩이나 보스의 대미지는 상상을 초월하고 좆같은 호리병은 업그레이드 잔뜩해도 최대 6~7회만 사용 가능한데 컷신에서 무려 2번! 2번을 시발 컷신에서 대미지를 입혀서 실직적으로 4~5회분의 약과 여러가지 법술로 버텨야하는 지랄 맞은 상황을 경험했는데. 진짜 그 새끼 디자인한 놈은 저주 받았으면 좋겠다.4. 그래픽: 좋다 정말 멋들어지게 좋다. 40 시리즈 소유자가 부러울 정도로 그래픽이 좋다.5. 스킬: 언제든 다시 재분배할 수 있어서 여러가지면에서 시도해볼 기회가 많아 좋다.6. 무기/장비: 재료 수급은 만약 온 맵을 핥고 다니는 사람이라면 나중에 넘쳐나겠지만, 그냥 듬성듬성하면 간당간당하게 부족할 수 있다.7. 스토리: 서유기 모르면 그냥 이해하길 포기하는게 편하고 연출이랑 액션에 취하다가 나중에 해석본 나오면 그걸 보는게 낫다.</t>
  </si>
  <si>
    <t>【地图】地图巨大，却没有小地图或总地图可看；【指引】引导很弱，容易迷路；【剧情】不懂《西游记》的话理解会很辛苦。建议：就沉浸在演出与动作里，等以后出剧情解析再看也不迟。</t>
  </si>
  <si>
    <t>演出角色怪物设计；动作打击手感；难度挑战；地图路线；引导迷路单线；西游悟空符号；原典知识人物关系专名</t>
  </si>
  <si>
    <t>KR-P-074</t>
  </si>
  <si>
    <t>이 게임은 정말 너무 재밌습니다.최근에 엘든링 dlc를 아주 재밌게 했었는데그것보다 더 재밌게 플레이한 것 같네요볼륨이 엄청 큰데 후반 갈 수록 퀄리티가 높아지는게 가장 너무 놀라운 점 입니다.난이도는 아주 어렵게 느껴지지만, 모든 법술, 장비, 아이템을 사용하면 무리없이 클리어 가능한 수준입니다.초 강력 추천</t>
  </si>
  <si>
    <t>这游戏真的太好玩了。最近我很喜欢《艾尔登法环》DLC，但这一作玩得更爽。虽然体感难度很高，但只要把法术、装备、道具都用起来，完全可以顺利通关。强烈推荐！</t>
  </si>
  <si>
    <t>KR-P-075</t>
  </si>
  <si>
    <t>챕터 끝날 때 나오는 애니메이션 보려고 깨는 게임재밌는 중국 영화보는 기분</t>
  </si>
  <si>
    <t>为了看每章结尾那段动画而去通关的游戏——就像在看一部好看的中国电影。</t>
  </si>
  <si>
    <t>演出角色怪物设计；本国媒介路径</t>
  </si>
  <si>
    <t>KR-N-076</t>
  </si>
  <si>
    <t>3장까지만해도 엄청난 갓겜이였다.. 4장부터 엄청난 뇌절의 시작으로 하기싫어져서 그냥 유기함.왜 오공 미리해본 리뷰어들이 오공을 해보고나면 엘든링 DLC를 욕할수없다고했는지, 왜 레벨디자인이 잘못된거같다는 리뷰가 많았는지 이제야 이해했다.4장부터 20타는 혼자 쳐때리는 보스들만 즐비하고... 패턴 다피하고 겨우 한대때릴려고하면 때릴수있을줄알았지? 하고 한대맞고 도망가는새끼들이 즐비하다.. 사실 이때까지만해도 그럴수있지라고 생각했는데 이랑진군은 혼자 20타때리고 내가 때릴려고하면 후딜을 삭제하고 공격을 회피해버리는등.. 불쾌함의 끝이였다..바위육신 간파등 패링이 존재하나 몇몇 보스들의 경우 패링스킬들을 뚫고 때리거나, 패링을 성공해도 무시하고 패턴난사로 인해 아무런 이득이 존재하지않는 경우도 존나게많음.게임진행 불가 버그만 3번을 걸렸고... 유심히 관찰해본결과 몇몇 법술이 통하지않는 보스들은 버그를 방지하기위해 막아놓은 느낌이 강했음.그리고 특정보스들은 법술이 통하지않는다고 툴팁에 아예 박아놨던데.. 그게 정말 가끔이라면, 그리고 스토리상으로 근거가 있다면 이해가 가는데, 그냥 후반보스들은 대부분 법술이 통하지않는수준임... 덕분에 기껏 만들어놓은 장비세트효과 다 갖다버리고 특성 다시찍은것만 10번은 넘을것같다..잘만든게임이고 재밌는게임은 맞지만 최고의게임 반열에 오르기엔 많이 부족함. 피의거짓처럼 난이도 자체를 개선하는 패치를 하지않는이상 선뜻 추천하긴 힘든게임인것같음.</t>
  </si>
  <si>
    <t>到第3章还是神作……从第4章开始就一路“脑抽”，不想玩了直接弃。要说“年度最佳”还差不少。除非像《P的谎言》那样把难度做整体优化，否则实在难以推荐。</t>
  </si>
  <si>
    <t>难度挑战；优化帧率；推荐价值判断</t>
  </si>
  <si>
    <t>KR-P-077</t>
  </si>
  <si>
    <t>중국게임에 대한 선입견이 한방에 싹다 날라가고 앞으로 중국게임이 세상을 집어삼킬거 같다는 생각도 들게함</t>
  </si>
  <si>
    <t>消除了我对中国游戏的成见，甚至觉得中国游戏要吞没世界了。</t>
  </si>
  <si>
    <t>KR-P-078</t>
  </si>
  <si>
    <t>한동안 뭔 게임을 해도 손이 안 갔는데, 오랜만에 시간가는줄 모르고 집중해서 너무 재밌게 잘 즐겼습니다~스토리며 연출, 각양각색의 보스들, 불교사상과 서유기 세계관이 정말 잘 버무려진 명작이였습니다.엔딩 보고 나니 여운이 가시질 않네요.제작진들이 정말 이를 갈며 어떤 심정으로 만들었는지 게임내내 느껴졌고, dlc도 정말 기대됩니다.우리나라도 나중에 전우치를 모티브로 한 게임 하나 만들어 줬으면 좋겠다는 생각도 들었습니다~즐겜들 하세요~ ㅎㅎ</t>
  </si>
  <si>
    <t>有段时间玩什么都提不起劲，这是久违地让我忘记时间、全神贯注地玩的作品。真希望我们也能做一款以“田禹治”为原型的游戏。各位，玩得开心~</t>
  </si>
  <si>
    <t>KR-M-079</t>
  </si>
  <si>
    <t>제발 미니맵 제발 미니맵 제발 미니맵 제발 미니맵 제발 미니맵 제발 미니맵 제발 미니맵 제발 미니맵 제발 미니맵 제발 미니맵 제발 미니맵 제발 미니맵 제발 미니맵 제발 미니맵 제발 미니맵 제발 미니맵 제발 미니맵 제발 미니맵</t>
  </si>
  <si>
    <t>求小地图×N（真的求你们加小地图）。</t>
  </si>
  <si>
    <t>KR-N-080</t>
  </si>
  <si>
    <t>4070ti 무엇이 문제인지는모르겠지만 1시간 사이에 멈추거나 튕김현상 10번 파란소만 잡고 걍 환불함</t>
  </si>
  <si>
    <t>4070Ti，不知道问题出在哪儿，1小时里卡死或闪退了10次。就打死了个“青牛”就直接退款了。</t>
  </si>
  <si>
    <t>难度挑战；崩溃闪退；推荐价值判断</t>
  </si>
  <si>
    <t>KR-N-081</t>
  </si>
  <si>
    <t>产品已退款
												내로라 하는 게임 다 해봤지만 이정도로 렉걸리고 버벅이는 게임은 최초다....언리얼5임을 각오했지만 좀 심한듯...라오어 PC판 풀렸을때 개적화로 난리났을때도 무리없이 돌렸던 컴이고 노 레스트 포 더 위키드도 진심 이정도까지 못할정도로 버벅이진않았는데예전 내장 그래픽으로 던파 돌리던 가난했던 시절 생각나서 눈물 훔치며 환불때렸음</t>
  </si>
  <si>
    <t>【已退款】自诩都玩过大作了，但从没见过这么卡的……虽说是UE5我有心理准备，可也不至于卡成这样。让我想起用核显玩《DNF》的贫穷岁月，抹着泪把它退了。</t>
  </si>
  <si>
    <t>KR-P-082</t>
  </si>
  <si>
    <t>상당히 잘 만든 게임이라 놀랐다.
기대한만큼 잘 뽑혀 나왔고.
나같은 소울류 잼병인 사람도 생각만큼 힘들지 않게 공략 가능한 난이도로 적을 잡을 수 있어 그 점이 매력적이다.
컨트롤이 자신없다 하더라도, 변신, 혼백, 법보 등을 이용하여 상황을 매우 유리하게 타개할 수 있기 때문에
다양한 방식으로 적을 상대할 수 있어 무작정 어렵지 않으면서도 도전하는 재미를 딱 적정선에서 잘 만들었다.
난 이제 한물 간 그래픽카드인 2070SUPER를 쓰는데도
옵션 타협만 즐기면 좋은 그래픽으로 충분히 즐길 수 있고
특별히 프레임 튀는 구간이 있긴 하지만, 프레임은 50~70을 항상 유지할 정도로
그래픽에 비해 최적화도 나쁘지 않다.
무엇보다 마음에 드는 것은
이 간만에 느껴보는 동양풍의 향기이다.
게임의 배경이 되는 풍경들, 그리고 적으로 등장하는 요괴들
사실 생각해보면 영화나 웹툰 같은 장르에서는 매우 흔하게 볼 수 있는 것인데.
게임에서는 흔치 않았기에 굉장히 반갑고 신선하게 다가온다.
게임은 대개 서양 중세 판타지나 어반 판타지 장르가 넘쳐나는 것에 비해
이런 장르의 게임은 아무래도 세계적인 인지도가 낮다보니 많이 없었다는 것이 아쉬웠다.
그나마 있다고 하더라도, 대부분 일본 문화 중심이었다. (게임의 선두주자가 일본이니 당연한 이야기다.)
그런데 간만에 일본 문화가 아닌 동양풍 게임
(예를 들어 같은 퇴마물이라 하더라도 일본의 퇴마와 한국의 퇴마, 중국의 퇴마는 모두 다 다른 형태를 띠고 있다.)
특히 우리에게도 친숙한 서유기를 이런 그래픽에 액션이 담긴 AAA급 게임으로 만나보니 매우 반갑게 느껴진다.
개인적으로는 '무협'이란 장르를 좋아하는데
서유기는 물론 동양 신화 바탕의 게임이라 '무협'과는 거리가 좀 있지만.
이런 분위기의 게임이 인기를 얻어 자주 AAA급 게임으로 만들어진다면.
강호를 누비며 천하제일인이 되는 동양식 판타지의 진가인 '무협' 장르를 AAA급 콘솔 장르로 만나볼 수 있지 않을까 기대한다.
(물론, 하락군협전, 활협전, 일검풍운결 등 무협게임이 없는 것은 아니지만 AAA급 콘솔 게임의 무협 장르는 사실상 없다시피했다.)
그리고 이런 동양풍 장르의 인지도가 높아지면.
우리나라도 조선시대와 같이 한국의 문화를 바탕으로 한 역사물이나 판타지물을 이용하여 AAA급 시장에 뛰어들 수 있지 않을까 기대한다.
나아가 한국형 무협 게임(구파일방, 오대세가, 무림맹, 사파, 세외오궁, 마교 등으로 대표되는) 세계관의 게임도 만나볼 수 있지 않을까?</t>
  </si>
  <si>
    <t>做得出乎意料地好。成品达到了期待。像我这种魂类菜鸡，也能用变身、魂魄、法宝等系统把战局扳回去，难度拿捏在“有挑战但不过分”的恰当位置。我的老卡2070 SUPER调一调选项也能漂亮运行，帧率多在50–70，优化并不差。个人很喜欢“武侠”题材，虽说《西游记》更偏东方神话，不是传统武侠。但如果这种东方风格受欢迎、常有AAA去做——也许有天能见到真正的“武侠”AAA主机游戏。进一步说，若东方风格认知提升，我们也可能把朝鲜时代等韩国文化做成AAA；甚至把“九派、五大世家、武林盟、魔教”等武侠世界观做成大作。</t>
  </si>
  <si>
    <t>难度挑战；优化帧率；西游悟空符号；中国文化宗教语言审美</t>
  </si>
  <si>
    <t>KR-P-083</t>
  </si>
  <si>
    <t>너무 예쁘게만 만들려다가깨져버린 몰입감이 게임하면서 가장 많이 느껴지는 부분중 하나가 레벨 진짜 ㅈ같이 배치해뒀다인데원거리 쫄로 귀찮게 만들은건그렇다쳐도 얘네 잡으러 가고싶으면 길을 베베꼬아서 등산하게만들어둠보통 게임하면서 게임적허용으로 가능한점이나 기술적으로 과하게 시간을 투자해야되서 불가능한점인거 다 아는데도 굳이 트집잡고싶어지는 때가 몰입이 깨지는 순간이 와서인데원숭이가 고작 2미터 높이 지붕도 못넘어간다는 생각이 들정도로 개억지 배치에 감탄함어디는 점프도 안하고 잘만 미끄러져올라가면서 얼마나 예쁘게만들고 싶었는지진행 가능한 길인지 아닌지 구분안되게 만들어놓고는 온갖 곳에 투명벽으로 덕지덕지 막아놓은 레벨 디자인이 이 게임의 모든 부정적 평가를 영원히 책임져줄거임</t>
  </si>
  <si>
    <t>过于追求“漂亮”，反而打破了沉浸。最大的败笔是关卡：造了很大的地图，却到处用隐形墙封死。我敢说这份关卡会承受它所有负面评价，直到永远。</t>
  </si>
  <si>
    <t>KR-P-084</t>
  </si>
  <si>
    <t>좋은 리뷰들이 많아 설렘 가득 시작하였는데......흠... 제 개인은 지극히 딱 중간정도?? ㅎㅎ 뭔가 모르게 ... 뭔지 모르게... 할만 합니다..;;;</t>
  </si>
  <si>
    <t>看了那么多好评满心期待地开玩……嗯……我个人感受就是“中规中矩”？说不上哪里不好，也说不上特别好……能玩；就那样。</t>
  </si>
  <si>
    <t>KR-P-085</t>
  </si>
  <si>
    <t>1. 선형적인 구조의 게임임에도 투명벽을 너무나 많이 만들어 놔서 점프로 진행이 되는지 안되는지 애매함. 갈 수 있을것 같으면 투명벽이고 갈 수 없을것 같으면 투명벽이 없고 진행이 되는 경험이 너무 많았음.2. 안그래도 투명벽이 많은데 길이 기본 5갈래에서 10갈래 정도 되는듯. 맵도 미니맵도 없고 엘든링의 반짝이는 돌처럼 내가 어디를 지나왔는지 표시할 아이템도 없어서 길치가 아닌 일반인도 길을 잃을정도로 너무 넓음.3. 고유명사가 너무 많음. 스킬설명을 아무리 읽어봐도 이해가 안될정도로 헷갈림. 스킬 동영상을 보고 겨우 유추하는 편. 개발사가 이런 게임을 처음 만들어보는거라 이런면이 개발 숙련도가 부족했음을 보여주는듯.4. 최적화가 너무나 안좋음. 5점만점에 1점.5. 캐릭터 개성, 보스패턴, 인게임 그래픽 모두 훌륭함 만점을 주고 싶음. 6. 스토리는 좀 아쉬움. 서유기를 읽어본 사람이 아니면 몰입감이 많이 떨어짐. 서양게이머들이 이 부분에서 점수를 많이 깎은듯.7. 자막이 너무나 작고 흰색 고정인게 많이 답답함. 정글 사막 설산 등이 나오는데 가시성이 너무나 안좋음.8. 영어, 중국어 성우연기 모두 훌륭했음.9. 중간중간 보스 난이도가 기하급수적으로 올라간적이 있음. 보스 난이도 조절이 좀 아쉬움. 너무 어려운 보스를 만난 경우 대게 전용기믹 법보가 필요하니 참고하시길.10. 맵도 없고 퀘스트목록도 없으니 주먹구구식으로 NPC들 찾아다니고 해야하는데 너무나 괴로움. 몇몇 히든보스는 공략을 안보면 찾는게 거의 불가능한편.- 중국 대만인들이 중뽕 국뽕에 빠져 무지성 압도적 긍정적 박아서 비추주는 것도 없지 않아 있음.  이 게임이 엘든링, 사이버펑크2077, 발더스게이트3급 대작이다? ㄴㄴ 절대 아니라고 생각함. 수작정도 게임임  그리고 제작자가 갓오브워류라고 말하니까 그거 믿고 소울류가 아니라고 하는 등신들 있는데 이건 누가봐도 소울류 게임으로 분류하는게 맞음. 반박시 니가 틀린거임.-(스포주의)진엔딩을 보고 왜 갓오브류라 했는지 조금은 이해가기 시작했음. 이랑진군 괴수전은 정말 스트레스가 풀릴정도로 재밌었음. 2회차부터는 필드도 매우 쉬워졌음. 그리고 챕터끝날때마다 애니한편씩 정성이 보여서 감동했음. 진엔딩 애니메이션은 게임 역사에 남을 명작이었음. 비추천을 했었는데 추천으로 바꾸려고 함. 중국의 첫 AAA 게임의 성공을 축하합니다. 인정할건 인정해야겠죠. 검은신화 오공의 진엔딩의 주제는 "자유"였습니다. 시진핑핑이에게 법규를 날린 개발자 중 한명에게도 응원을 보냅니다.GOTY 못받았다고 난리치는 꼴이라니 ㅉㅉ 중국인들은 역시 비추가 맞다. 니들 게임 그렇게 명작 수준아니야~</t>
  </si>
  <si>
    <t>1）虽然是线性结构，但透明墙太多，很多地方看起来能跳过去却过不去，也常出现看似不能走的地方反而能走的情况。2）岔路经常有五到十条，却没有地图、小地图或像《艾尔登法环》发光石那样可标记路径的道具，普通玩家也很容易迷路。3）专有名词太多，技能说明读了也难理解，往往只能看技能演示猜效果，能感觉到开发团队第一次做这类作品时的经验不足。4）优化很差，我给 1/5。5）角色个性、Boss 模式和游戏内画面都非常优秀，甚至想给满分。6）故事稍显遗憾，不熟悉《西游记》的玩家很难沉浸。7）字幕太小且固定白色，在丛林、沙漠、雪山等场景里可读性很差。8）英文和中文配音都很优秀。9）部分 Boss 难度会突然暴涨，很多时候需要特定法宝机制来应对。10）没有地图和任务列表，只能自己到处找 NPC，一些隐藏 Boss 不看攻略几乎找不到。总体上，我不认为它达到《艾尔登法环》《赛博朋克2077》《博德之门3》那种级别，但仍是一部不错的作品；看过真结局后，也稍微理解了制作组为何把它类比为《战神》式作品。</t>
  </si>
  <si>
    <t>画面美术场景；音乐音效配音；Boss战斗节奏；难度挑战；地图路线；空气墙可达性；探索隐藏支线；引导迷路单线；优化帧率；推荐价值判断；西游悟空符号；中国文化宗教语言审美；原典知识人物关系专名；外部资料依赖</t>
  </si>
  <si>
    <t>KR-P-086</t>
  </si>
  <si>
    <t>게임은 추천은 합니다.소나무 그래픽 개쩔고요. 손오공 소재도 ㄱㅊ고요.분위기는 약간 다른 삼국지 게임처럼 엄청 화려하고금속끼리 부딫히는데 일본 사무라이 맛은 아닌 중국맛이 강함.하지만 게임으로 나오니까 꽤 맛있는 게임임.문제는 매 장마다 하나의 스토리가 끝나다 보니까 한 장이 끝나면 다시 키고싶지가 않아짐.약간 나는 더 할 수 있는데 강제로 현자타임을 만들어버린달까?소울류이기는 한데 초보자 배려해서 낮은 계단식으로 난이도가 조절되어 있으니 걱정말고 앞으로 가면 됨.</t>
  </si>
  <si>
    <t>我推荐。松树的画面质感绝了，孙悟空这一题材也不错。虽然是魂类，但为了照顾新手，难度做成了低台阶式的渐进，不用担心，往前走就是了。</t>
  </si>
  <si>
    <t>画面美术场景；难度挑战；推荐价值判断；西游悟空符号</t>
  </si>
  <si>
    <t>KR-P-087</t>
  </si>
  <si>
    <t>아따마...  그래픽 보다가 팬티가 젖어부러써...세미 소울라이크로 잘맹글었구마..간만에 집중했네..</t>
  </si>
  <si>
    <t>哎呀妈呀……画面好到让我都湿了……做成了“半魂like”，很不错。难得久违地沉浸了一把。</t>
  </si>
  <si>
    <t>KR-N-088</t>
  </si>
  <si>
    <t>압긍은 절대아님.. 소울류입문장으로 좋다고하던데손가락만더럽게아프고 너무힘드렁서 중도포기함 넘어려워 ..액션알피지아닙니다 매워~</t>
  </si>
  <si>
    <t>绝对谈不上“强推”。说是什么魂类入门作——我只觉得手指酸得要命，中途太难直接弃了。这可不是“动作RPG”，这味儿很冲。</t>
  </si>
  <si>
    <t>KR-P-089</t>
  </si>
  <si>
    <t>소울라이크 같은면도 있지만, 죽어도 템이며 획득한 모든것을 그대로 지니고 부활합니다. 소울라이트(?) 느낌이라고 해야하나..그러나 옵션 조절을 잘 해놓지 않으면, 크래시가 나요.. 실제로 보스 잡아서 업적 달성 후, 컷신보다 크래시가 나면서, 다시 잡아야 했던.. 크래시가 모자란 겜 난이도를 높여주는 느낌입니다.1장은 편한 보스 랠리 느낌인데 2장 넘어가면서 부터는 약간 탐험과 길찾기를 해야합니다. 미니맵이 없어서 헤매다보면 돌고돌아 시작점에 돌아오곤 하는데, 최근 세이브포인트로 이동하는 템을 사용하고, 그 지점들에서 ‘축지’라고 세이브포인트끼리 이동 가능한 기능을 쓰면, 대강 과거지점부터 마지막 진행한 곳까지 이동가능해서, 좀 맘편히 헤맬 수 있어요.패링 대신, 약공 중에 상대 공격 타이밍에 강공 눌러서 발동시키는 ‘간파’라는 스킬이 손맛이좋고, 그 외에도 다양한 스킬들을 골고루 쿨마다 돌리면서 딜 넣는 맛이 있습니다.보스는 ‘단짠단짠’ 느낌으로 쉬운놈 어려운놈 섞여있어요. 소울류로 불리는 게임들에 비해서 확실히 진도를 빨리 뺄 수 있었던 것 같아요. 상대적으로 보스 난이도가 쉬운 느낌이에요.</t>
  </si>
  <si>
    <t>虽然有魂like的一面，但就算死了也会保留物品与已获得的东西，属于“轻量魂”。和其它所谓“魂类”比，这作推进得更快，Boss难度也相对更低。</t>
  </si>
  <si>
    <t>KR-P-090</t>
  </si>
  <si>
    <t>게임은 재밌는데 번역을 하다 말았네요. 이 게임은 잡몹과 보스몹들의 설정을 읽어야 스토리 이해가 되는 건데, 2화까지만 해 놓고 3화부터는 영문이네요. 어휴 번역이 또 겜 망치네요.--------------------------------------------------------------------------------------9월 4일 업데이트아직도 한국어 번역이 미완성이네요</t>
  </si>
  <si>
    <t>游戏好玩，但韩语本地化没做完。这作需要读小怪与Boss的设定才能理解故事……【9月4日更新】韩语翻译仍旧未完成。</t>
  </si>
  <si>
    <t>KR-P-091</t>
  </si>
  <si>
    <t>절대 앞만 보고 달리지 마십쇼보스가 너무 어렵다구요? 그러면 다시 한번 생각해보세요본인이 파밍을 덜 한건 아닌지NPC들의 고민을 다 해결해줬는지충분히 고민하고 진행하시면 됩니다</t>
  </si>
  <si>
    <t>千万别只顾着往前冲。Boss太难？请再想想：是不是刷得不够？NPC们的烦恼都帮他们解决了吗？想清楚再推进就对了。</t>
  </si>
  <si>
    <t>KR-P-092</t>
  </si>
  <si>
    <t>중국산이라는 편견을 버린다면 올해 최고의 게임 중 하나. 서유기 세계관을 아주 잘 살렸고, 아트웍,연출,몰입도,게임성 뭐하나 빠지지 않는다.</t>
  </si>
  <si>
    <t>如果放下“中国产”的偏见，这是今年最好的游戏之一。《西游记》的世界观被很好地复活了；美术、演出、沉浸感与可玩性都无可挑剔。</t>
  </si>
  <si>
    <t>画面美术场景；演出角色怪物设计；西游悟空符号；国产3A身份期待</t>
  </si>
  <si>
    <t>KR-P-093</t>
  </si>
  <si>
    <t>기대했던 방향성과는 좀 다른 느낌. 사전 공개 영상이나 플레이 영상같은거 안보고 바로 시작했음. 맵은 온통 숲이라 내가 어딜 향하고 있는지 헷갈리는게, 아 이래서 숲에서 조난자가 생기는구나 생각들게함. 보스 잡고 다음 보스 가는 길도 헷갈려서 다시 되돌아옴. 내가 제천대성이라는 글자만 보고 좀 화려한걸 기대한걸지도 모르지만. 공격 모션이나 스킬도 밋밋함. 회피는 판정이 넉넉하지만 얼마전에 엘든링 DLC 하다와서 그런지 또 패턴 외워가면서 깨기가 싫어짐. 요즘 나도 중국 게임들 많이하고있고 중국 게임 시장이 이 정도까지 발전한게 놀랍긴하지만 결론만 적자면 나는 화려한 액션 게임을 원했는데, 유사 소울라이크 장르더라</t>
  </si>
  <si>
    <t>和我期待的方向有点不一样。我没看任何预告就直接开玩。地图看似开放，其实大多是“走廊式”。市场能发展到这地步让人惊讶，但结论是：我想要的是华丽爽快的动作，这却是类魂。</t>
  </si>
  <si>
    <t>动作打击手感；地图路线</t>
  </si>
  <si>
    <t>KR-P-094</t>
  </si>
  <si>
    <t>!!!DLC 개발 들어갔다고 합니다!!! ──────────────────────── 중국의 실수가 아닌 대륙의 엄청난 명작 솔직히  중국겜  이라는것과  엘든링  과 비슷한 가격이라는거에기대가 없었지만 액션소울라이크로써  입문용  으로도 좋은거 같습니다.특히 최종보스전이나 노멀엔딩에서 느껴지는 부랄떨리는 웅장함은 잊혀지지가 않는군요. 당신이 이 게임을 추천하는 이유 1. 동양권의 문화나 신화를 풀어내는게 미쳤다.2. 중간중간 애니메이션이 생각보다 아름다웠다.3. 중국에 대한 인식이 많이 개선된다. (중국어 플레이 추천) 4. 기존 소울라이크 질리신 새로운 느낌의 액션소울라이크를 즐기고 싶다. 당신이 이 게임을 추천하지 않는 이유 1. 소울라이크가 너무 어렵다.2. 컴퓨터가 많이 안좋다.(최적화가 케바케라고 하긴함)3. 나는 길치다. 이 모든것을 종합해서 저는 진심으로 상당한 수작이라고 생각합니다.GOTY까지 노려볼만할거같습니다.  진엔딩 스포 주의  이랑장군 잡을때 파초선 들고 가세요5시간 걸리다가 파초선 드니깐 1트클 ㅈㅈ</t>
  </si>
  <si>
    <t>【据说已开始开发DLC！！！】不是“中国式失误”的那种消息，应该可信。到时候应该值得再回坑。——【真结局小剧透】打“二郎将军”时带上芭蕉扇。我卡了5小时，拿扇子一把过，服了。</t>
  </si>
  <si>
    <t>KR-P-095</t>
  </si>
  <si>
    <t>해보고 까자는 생각으로 샀지만 예상과 다르게 정말 재밌게한 따거겜출중한 그래픽과 액션, 컨셉에 맞는 보스들의 다양한 패턴 그리고 화룡점정으로 뛰어난 아트까지.다만, 보기에는 좋지만 뛰어다닐때는 태평양같이 넓고 미로같은 필드, 컨셉과 멋에 치중한 나머지 뇌절이 온 보스들의 패턴들. 그리고 그중에서도 가장 끔찍한 투명벽.그래도 개쩌는 액션과 아트들이 있으니 감수할만 하다 회피 판정도 후하고.-결론- 원가주고 사도 될만큼 만족스럽게 플레이함엔딩까지 다보는데 40시간. 도감 완성도 100퍼, 도전과제 올클을 하진 않았지만 남은건 템줍는등의 노가다뿐.나름 바닥까지 긁어먹다고 할 수 있을 만큼은 했다.다시 키기에는 귀찮은 게임</t>
  </si>
  <si>
    <t>本想抱着“玩了再喷”的心态买，结果和预想不同——居然玩得很开心。出众的画面与动作，和题材高度贴合的Boss们。主线和真结局都没全收集，但剩下基本都是捡装备的刷刷刷；自认为已经把能玩的都刮干了，不太想重开。</t>
  </si>
  <si>
    <t>画面美术场景；动作打击手感；Boss战斗节奏；探索隐藏支线；推荐价值判断</t>
  </si>
  <si>
    <t>KR-P-096</t>
  </si>
  <si>
    <t>1회차는 이랑진군 말고는 크게 어려운 건 없었음.동양화 같은 그래픽이 압권.이게 언리얼5의 맛인가?근데 개적화는 빨리 패치좀-2회차 진행중</t>
  </si>
  <si>
    <t>一周目除了“二郎将军”外没什么特别难的。水墨感的画面太顶了——这就是UE5的滋味？不过优化真的该快点修。我现在在二周目。</t>
  </si>
  <si>
    <t>画面美术场景；优化帧率；西游悟空符号</t>
  </si>
  <si>
    <t>KR-N-097</t>
  </si>
  <si>
    <t>좆같은짱개겜 맵서비스 지원안해줄거면 네비게이터라도 있던가 진짜 좆같다타격감도 좆구리고 에혀----------------------------------------------------------------------싯팔 거진 2달지나고 다시해봤는데 존나맛있어 존나 맛있는 짱개집의 간짜장느낌임</t>
  </si>
  <si>
    <t>骂骂咧咧地吐槽：没有地图就算了，起码给个导航吧，真是气人；打击感也糟糕。——两个月后再玩：呃……真香。就像某家中餐馆的干炸酱面，那味儿还真上头。</t>
  </si>
  <si>
    <t>动作打击手感；地图路线；引导迷路单线</t>
  </si>
  <si>
    <t>KR-P-098</t>
  </si>
  <si>
    <t>그래 재밌어 .. 재밌는데 ..?! 조금 아쉬운점이 너무 많아 ..미니맵이 없어서 내가 여길 돌았나 ? 갔던곳인가 ? 안가본곳이 있는건가 ? 의문이 들게 되고 게임 자체에 난이동 설정이 없어서 나처럼 뉴비에겐 보스 하나 잡을때마다 몇트만에 겜을 진행하는건지 모르겠다 ..겜을 즐기라고 하는건데 오히려 스트레스를 더 받아서 겜하다가 지치는 나의 모습을 보게 된다 ..</t>
  </si>
  <si>
    <t>是好玩……但遗憾太多。没有小地图，我老是分不清走没走过；我明明是来享受游戏的，但反而更容易被各种事搞到心累，玩着玩着就疲惫了。</t>
  </si>
  <si>
    <t>难度挑战；地图路线；推荐价值判断</t>
  </si>
  <si>
    <t>KR-N-099</t>
  </si>
  <si>
    <t>비쥬얼적으로 잘 만든 게임 인정
재미 있느냐는 취향 차이긴한데,,,
선형적인 진행 방식이 분명한 게임인데
맵 형태는 여러 갈래로 틀어놔서
예를 들어 -O- 이런방식으로 모로 가도 서울에 도착하는데
뭔가 재료 하나 놓칠것 같은 기분에 로터리를 돌아봐야 할 것 같은 기분을
계속 느끼게 만듦
그리고 길 찾기가 어렵다는 느낌은 아닌데 귀찮은 느낌,
예를들어
왼쪽에 분명 길이 있는데 오른쪽으로 갔더니 보스가 나왔다
그러면 굉장히 찝찝한 기분에 다시 돌아가보면
굳이 안 갔어도 되는곳이 많이 존재함, 그리고 그곳에서 탐험이라는 요소를 1도 느낄 수 없고
어차피 투명벽으로 막힌 좁은 공간이라는 답답함만이 존재함.
그렇다고 안 가볼수도 없게 엘리트 몬스터들이 샛길에 많음.
강제로 플레이 타임을 늘리려는 수작질 같아서 굉장히 불쾌함
주인공 대사가 없는것도 몰입감을 떨어트리고
투명벽 이것도 굉장히 불쾌함
올라갈 수 있을것 같은데 못 올라가는곳과
여긴 왜 올라가져? 하는 곳이 굉장히 많음.
화면에 펼쳐진 광활한 대지를 보고있는데
좁은 곳에 갇혀 있다는 기분이 많이 들고 답답한 느낌.
돈이 아까운 느낌은 아닌데
이 게임에 총점을 주라고 한다면 저에게는 5/10점짜리 게임</t>
  </si>
  <si>
    <t>承认是“在视觉上很棒”的游戏。好不好玩见仁见智……（长评略）总之：看着是广阔天地，体感却像被隐形墙困在狭窄空间里；岔路里还塞着精英怪逼你去，像是强行拉长时长，极度不快。主角没台词削弱了代入；能上不能上的判定也反直觉。钱不算白花，但在我这就是 5/10。</t>
  </si>
  <si>
    <t>画面美术场景；判定反馈；地图路线；空气墙可达性；推荐价值判断</t>
  </si>
  <si>
    <t>KR-P-100</t>
  </si>
  <si>
    <t>처음 평가 남김 너무 화가남. 똥을 싸다 만 느낌임.3장부터 도감 같은게 번역이 안되있음. 구매페이지에 미번역에 대한 어떠한 안내나 경고문구도 없음.얼리억세스도 아니고 번역 안되고 정식 게임 내는거 처음봄 특히 스토리가 도감으로만 파악할 수 있는 구조인데 3장부터 번역이 안되있으니까 그냥 길 찾고 전투만 해야함 전투만 해야하는 게임이라고 한다면 절대 재미있는 게임 아님. 멈춰놓고 패면 못깨는게 없을 정도로 쉬움.솔직히 스토리 보면서 하니까 꿀잼이었는데 3장 팍 식고 번역될때까지 접음</t>
  </si>
  <si>
    <t>第一次写评就很生气，像屎还没擦干净。从第3章开始图鉴这类文本就没翻译。购买页明明写着支持XX语种……另外用某些武器把Boss定住后，按住就能轻松通。老实说，一边看剧情一边玩挺有趣的，但第3章一下子就泄了气。我先等翻译补完再回坑吧。</t>
  </si>
  <si>
    <t>Boss战斗节奏；推荐价值判断；本地化翻译</t>
  </si>
  <si>
    <t>KR-P-101</t>
  </si>
  <si>
    <t>장점1. 압도적인 비쥬얼의 그래픽. 이제까지 그 어떤 게임보다 그래픽이 좋다. 차세대 그래픽은 이런거란걸 제대로 보여줌.2.아주 웅장하고 색다른 연출.문화가 달라서 그런지 몰라도 이제까지 보던 어떤 게임보다 연출이 특색있고 웅장했다.3.재미있는 보스전.짜증나는 보스전도 있지만 대체적으로 보스전이 많고 재미 있었다.단점1. 갈수없는 투명벽.갈수 있을거 처럼 만들어 놓고 투명벽 쳐서 못가게 만들어 놓은건 진짜 길찾기 거지 같다.2. 필드가 재미가 없다.뒤로 갈수록 필드에 잡몹 우겨 넣어 놔서 싸우기 보다는 그냥 달려서 체크포인트 먼저 찍는게 맘 편함.</t>
  </si>
  <si>
    <t>优点1：画面压倒性强，大概是迄今最好的图形，“次世代”就该是这种感觉。缺点：越到后面野外塞满小怪，打不打都烦，不如直接跑去先把存档点点了更省心。整体乐趣一般。</t>
  </si>
  <si>
    <t>KR-P-102</t>
  </si>
  <si>
    <t># Ryzen7 5700X /  RTX 5070- Graphics  : 97 / 100- Optimization : 15 / 100 - Story : 86 / 100- Sound : -15 / 100- Boss Battle Difficulty level Balance  : -15 / 100- Loading Speed : -15 / 100 - Evasion :  -10 / 100# 도데체 회피가 왜 있는지 의문인 게임# 그래픽만 좋지 전투 시스템은 좀 ...# 그래도 구성은 전체 적으로는 좋음# 4K 150프레임나와도 체감은 60프레임으로 느껴짐 한마디로 체감이 구림</t>
  </si>
  <si>
    <t># Ryzen7 5700X / RTX 5070
- 画质：97/100
- 优化：……
- 整体构成还不错。
- 4K 下即便能到 150 帧，体感却像 60 帧——一句话：体感拉胯。</t>
  </si>
  <si>
    <t>画面美术场景；优化帧率；Bug兼容硬件</t>
  </si>
  <si>
    <t>KR-P-103</t>
  </si>
  <si>
    <t>레벨링 시스템이 있는데 성장 체감이 미미함레벨업 해서 쎄졌다는 느낌은 없는데 보스들은 점점 쎄짐길에 있는 몹이 레벨업 아니면 의미가 없음뭘 위해 배치됐는지 모르겠고 그냥 달려서 지나가도 문제 없음근데 피통은 드럽게 많고 약공이 경직도 안 먹는 애들이 많아서 시원하게 때려죽인다는 느낌도 없음지도도 안 만들었는데 투명벽도 있어서 히든 찾으려면 일일이 몸 비벼가면서 알아내야댐연출에는 존나 신경 썼는데 그에비해 스토리텔링을 신경을 안 써서 무슨 내용인지 모르겠음후반갈수록 장판 떡칠 회피기에 카운터까지 쓰는 몹이 등장함정지술 쓰고 패야되는데 이게 재밌나 싶음그냥 바위육신 기본스킬로 하고 이걸로 카운터 치는 걸 주력으로 만들었으면 뽕도차고 재미도 있었을 것 같은데그래픽 하나만큼은 언리얼5가 어느정도 뽑아내는지 보여준 것 같고연출도 좋은 편에 보스몹들도 존나 다양한데몇몇 단점들이 게임하는데 불쾌하게 만듦</t>
  </si>
  <si>
    <t>有升级系统但变强的体感很弱，自己没变强，Boss却越来越硬。场景演出做得好，Boss种类也很多，但若干缺点让游玩时心情变差。</t>
  </si>
  <si>
    <t>KR-P-104</t>
  </si>
  <si>
    <t>그래픽만 좋음매번 박복되는 장풀이보스만나러가는길 대충몇놈잡고 또 반복그래픽만 좋음</t>
  </si>
  <si>
    <t>只剩画面好。每次都是重复的流程：清几只小怪→去见Boss→再重复。总之，就画面好。</t>
  </si>
  <si>
    <t>画面美术场景；Boss战斗节奏</t>
  </si>
  <si>
    <t>KR-P-105</t>
  </si>
  <si>
    <t>색달라서 재미는 있음 풍경 보는맛도 좋은데낙사구간이랑 살짝 짜증유발하는거 뺴고는 굉장히 할만함</t>
  </si>
  <si>
    <t>因为新鲜而有趣、看风景也很享受。除了跌落致死的区域和些许恼人的小点外，非常能玩。</t>
  </si>
  <si>
    <t>KR-N-106</t>
  </si>
  <si>
    <t>지도 없었어 너무 불편하고 중간중간 투명멱도 자주 있고 뭐만하면 보스 나오니깐 지침..</t>
  </si>
  <si>
    <t>没有地图，非常不方便；中途透明墙也很频繁；动不动就来一个Boss，让人身心俱疲。</t>
  </si>
  <si>
    <t>Boss战斗节奏；地图路线；空气墙可达性</t>
  </si>
  <si>
    <t>KR-P-107</t>
  </si>
  <si>
    <t>그래픽이며 모든 부분에서 나쁘진 않음. 이런류를 좋아한다면 분명 좋아할 게임이 맞는데호불호 부분에서 갈수록 황풍대성부터 루즈해 지더니 3장 들어와서 불호 쪽으로 가고 있고 서유기 스토리 이해도가 없으니스토리가 하늘로 붕떠서 너무 겉도는 느낌이라 스토리 보는 맛도 없고 뭔가 타격감이라도 있어야되는데 그게 너무 부족하니까 게임이 더 재미없게 느껴지는 것도 있는것 같음. 갈수록 졸고 있어서 황풍대성이 클리어 기준으로 하고 안할거 같음.스텔라 블레이드를 하다 와서 그런가 하면 할 수록 스텔라블레이드가 잘만든 게임이다라는 생각이 들게만드는 요소가 너무많음 스텔라는 npc가 중간중간 말을 걸어서 지루할 틈이 없는데 뭔가 봉 휘두르는 액션이 지루하게만들고 있는것 같아서 아쉽다는 생각이 들고스텔라블레이드같이 패링할때 쾌감이 있었으면 좋았으련만 하는 느낌을 너무받아서 더 진행을 못할것 같은 느낌임.스토리 안보고 보스만 잡을 사람에게는 추천할 만한 게임임에는 틀림없지만 스토리와 보스 둘다 하고 싶다면 갓오브 워 하는게 맞는것 같음.</t>
  </si>
  <si>
    <t>画面等各方面都不差，喜欢这一类的人肯定会喜欢。给只想“打Boss”的人是值得的；但如果你想要“剧情+Boss”两头都要，那还是《战神》更合适。</t>
  </si>
  <si>
    <t>画面美术场景；Boss战斗节奏；推荐价值判断</t>
  </si>
  <si>
    <t>KR-P-108</t>
  </si>
  <si>
    <t>cpu 5900x 글카 3070 메모리 32G 구요. FHD 에서도 간간히 멈춤증상이 있습니다. 특히 처음 만나는 보스라던지 지역에선 조금 자주 멈추구요. 못할 정도는 아닌데 한번씩 그러니까 좀 짜증이 나기도 합니다.(p의 거짓 최적화가 얼마나 잘한건지 다시한번 느낌)보스전 생각보다 어렵습니다. 소울라이크 아니라고 해서 그냥 가볍게 시작했는데 생각보다 꽤 어렵습니다.엘든링이나 p의거짓 같은 완전 소울류 게임보단 어렵진 않는데 그냥 무지성으로 덤벼들면 못깹니다.그리고 더 어렵다고 느껴지는게 렙업을 해야 스킬포인트를 투자해서 이것저것 올릴텐데 잡몹이 별로 없다보니 렙업을 거의 보스잡고 하다보니 스킬 포인트 투자를 못해서 그렇지 않나 싶네요.초반 15분 영상보고 [와~ 개쩐다] 라고 느껴서 구매했는데... 그냥 그게 전부였던거 같네요.이제 2회 들어가서 그런지 전투도 딱히 재밌다고 못느끼겠고... 걍 제값주고 사기엔 좀 아까운 느낌이네요.스팀평가 압긍까진 아니기에 걍 비추먹입니다.------------------------------------------------진엔딩까지 보고 평가 수정합니다.재밌습니다. 전투자체는 그냥 평타수준인데 연출 미쳤습니다.단순히 컷신연출만 미친게 아니고 실제 플레이 연출또한 미칩니다. 특히 막보 대성의빈육체 전투는 그냥 지립니다.연출이 그냥 와 재미를 떠나 뽕이 차오르는걸 떠나 터집니다. 진짜 개 멋있습니다.전투의 재미보다 전투를 하면서 보여지는 연출이 가히 역대급입니다.진짜 최적화만 좋았으면 압긍받을만 한데 3070으로 자주 끈기며 버벅대기도 합니다. 암튼 막보 전투때매 추천합니다</t>
  </si>
  <si>
    <t>5900X / 3070 / 32G。FHD 也会偶发卡顿，尤其在某些场景尤甚。优化好了的话可以拿高分，但在 3070 上也常卡顿甚至崩溃。总之冲着最终Boss战，我还是给推荐。</t>
  </si>
  <si>
    <t>KR-N-109</t>
  </si>
  <si>
    <t>느낀 점1. 타격감 없음 2. 맵 없음. 그렇다고 자유도 높지 않음. 막힌 곳 엄청 많음3. 걍 재미없음. 왜 압긍인지 모를 정도임</t>
  </si>
  <si>
    <t>感受：1）打击感弱；2）没有地图，自由度也不高，到处都被堵死；3）就是不好玩，不懂为什么会是压倒性好评。</t>
  </si>
  <si>
    <t>KR-P-110</t>
  </si>
  <si>
    <t>재밌는 게임. 이걸로 설명 끝.보스러시 좋아하면 개추. 아니면.. 아니더라도 한 번 정돈 해 볼 만한 게임임.소울라이크 게임이 아니라고 했는데 난이도는 꽤 있는 편이고 지도 없음. 사실상 소울라이크 겜에 준할 정도.스토리는 서유기 전체를 이해 해야지 전부 이해가 가능한 수준이긴 한데.. 그냥 표면적인 플롯 자체는 어려운 겜이 아님.버그 많고, 로어 에 번역 안 된 거 많으니까 수정하길 바람.</t>
  </si>
  <si>
    <t>有趣的游戏，这就够了。喜欢 Boss Rush 的强推；就算不是，也值得试一试。剧情层的“设定/传说”未翻译的很多，Bug 也多，拜托快修。</t>
  </si>
  <si>
    <t>Boss战斗节奏；Bug兼容硬件；推荐价值判断；本地化翻译</t>
  </si>
  <si>
    <t>KR-P-111</t>
  </si>
  <si>
    <t>우선, 소울류 팬들은 이거 소울류 아니라고 하는데, 난이도나 게임 방식 보면 충분히 소울류임소울류를 기피하는 사람들은 이 게임도 피하는 것을 추천함장점:개쩌는 그래픽, 소설 속 인물과 장소의 멋진 구현, 액션 뽕을 느낄수 있는 멋진 모션.그리고 액션게임으로서의 재미도 훌륭함. 단점: 스토리가 원작을 읽지 않고는 이해하는데 어려움이 많고, 원작을 알아도 스토리텔링 자체가 친절하지 않아서, 역시 이해가 완벽히 안됨.서브퀘가 불친절함. 힌트가 거의 전무해서 공략을 보지 않고는 서브퀘 클리어가 힘들고,존재 자체를 모르고 넘어갈수 있는 퀘들도많음  메타점수가 80점대이던데, 이건 90점 이상 나왔어도 될 게임.</t>
  </si>
  <si>
    <t>魂粉总说它不是魂，但就难度与玩法而言，完全是魂。引导弱，教程后会在第一张地图里瞎逛；很多任务甚至可能完全错过。Meta 只给 80 多，我觉得 90 也行。</t>
  </si>
  <si>
    <t>难度挑战；地图路线；引导迷路单线</t>
  </si>
  <si>
    <t>KR-N-112</t>
  </si>
  <si>
    <t>1. 보스 패턴이 조금 더 정리가 되었으면 한다.
보스 패턴이랑 오공 평타 모션이랑 합이 전혀 안맞음.
엘든링이나 여타 소울류의 보스패턴이 다양한건 유저의 무기도 다양하기 때문에 파훼하는 재미가 있었던것.
그런데 이건 붕붕 돌리기 원툴인데 보스 패턴은 인왕/소울/엘든링의 그것을 가져왔으니 돌아버리겠음
2. 스토리 진짜...ㅡ ㅡ
서유기가 중국에서 참 유명한 소설인건 알고 있음.
우리나라.. 그 뭐냐. 홍길동 맹키로,
그런데 그걸 텍스트로 푸는게 아니라 뭔가 게임안에 자연스럽게 녹일순 없을까?
보스가하는 뜬금포는 슬픈사정이있던, 화가나있던, 전혀 공감이 되지 않았다.
3. 맵
일단 지형 디자인 자체가 고민이 1... 아니 1도 없다고는 못하겠지만.
그래 좀 심도있게 다듬었어야 한다는 생각이 든다.
어디는 낙사, 어디는 못내려가
어디는 올라가, 어디는 못올라가.
맵이 일관성이 없으니 즐거워야 되는 탐험이 스트레스로 다가온다.
거기에 미니맵은커녕 지도도, 그 흔한 방위 나침반도 하나 없는게 날 더 화나게 한다.
무지개석 같은 거라도 있던가.
이 외에 그래픽, 액션성, 캐릭터의 성장 루트는 고생한 티가 역력 하다.
밸런스는.. 뭐 어차피 몇개 없어서 그런지 맞추기 쉬워서 잘 맞는 편인듯 하고,
저팔계가 아주 귀엽다.</t>
  </si>
  <si>
    <t>（1）Boss 招式与悟空的普攻动作完全不对拍。别的魂作之所以有趣，是因为武器多、解法多；本作却几乎只有“旋棍”一招，Boss 模式却像从《仁王/魂/艾尔登法环》拼来的，玩着很别扭。
（2）故事……就那样。操作手感像在操控一只“哪里都不对劲的猴子”，连文本翻译也没做完就开预购，很厚脸皮。以前我会咬牙通关，现在游戏这么多，没必要把时间耗在这种上面。</t>
  </si>
  <si>
    <t>动作打击手感；Boss战斗节奏；推荐价值判断；西游悟空符号</t>
  </si>
  <si>
    <t>KR-N-113</t>
  </si>
  <si>
    <t>게임은 재미있음 하지만 버튼이 안 먹히는 버그 졸라 심함 진짜 이거로 욕 나오는 게 한 두번이 아님.  개발자 dog새끼야.그리고 최적화 개존나 구림. 그래픽 좋은 건 알겠는데 이따구로 최적화 할래? 개발자 mother Fxxker야.진짜 욕은 안 하려고 했는데 장점에 비해서 단점이 치명적이다. 니취팔럼아그리고 보스전 브금 진짜 핵쓰레기 수준임. 비추 그냥 다크소울이랑 엘든링 하는 게 맞음.</t>
  </si>
  <si>
    <t>游戏本身好玩，但按键不生效的 Bug 非常严重，我因此破口大骂不止一次。除此之外还有许多致命小问题。Boss 战的配乐简直垃圾。不推荐，去玩《黑暗之魂》或《艾尔登法环》更好。</t>
  </si>
  <si>
    <t>音乐音效配音；Boss战斗节奏；Bug兼容硬件；推荐价值判断</t>
  </si>
  <si>
    <t>KR-P-114</t>
  </si>
  <si>
    <t>장점
그래픽이 뛰어남
단점
'우리가 이렇게 그래픽 좋게 잘 만들었다ㅎㅎ~'
를 보여주려고 포기한게 너무나도,
진짜 너무너무너무너무 많음
그냥 대충 막아놓고
'아 저기는 못 가는 공간이구나' 생각되게 보여줄 구간을
뻥뻥 뚫어놓고 '개쩌는 그래픽 봐라ㅋㅋ 진짜 같지?' 이 지랄 해대니까
온 맵에 투명벽 투성이고
중요한 오브젝트는 한 눈에 들어오지도 않음
그나마 그 개쩐다는 그래픽도 최적화가 씹창이라
게임 플레이 내내 뚝뚝 끊겨서 진행이 힘들 정도
보통 최적화가 이렇게 개판인 게임은 평가가 좆망하기 마련인데
아이러니하게도 긍정적 평가가 끝도 없이 치솟음
그것도 번역기 돌린 채로.. ㅎㅎ;
몹 배치는 또 얼~마나 좆같이도 해놨는지
그래픽 개쩌는 맵을 감상할 여유를 안 줌
온 맵을 원거리 몹으로 꽉꽉꽉꽉 많이도 채워놨는데
저걸 시발 잡고 있자니 딱히 주는 것도 없고 재미도 없고..
맵디자인을 할 역량이 안되면 점프키 정도는
과감하게 삭제하는 겸손함도 필요한 법인데
그것조차 포기를 못해서 수많은 게이머들을 투명벽에 비비게 만듬
발매 전에 '우린 소울라이크가 아니다!' 라고 말하는 자신감은 좋은데
그 전에 비슷한 게임이라도 몇 개 해보고 좋은건 좀 배웠으면 좋겠네
그 외에 두부 써는 타격감이랑
어디 불편한 원숭이를 플레이하는 듯한 조작감,
번역도 제대로 안해놓고 예약 판매를 쳐하는 뻔뻔함은
어차피 기대도 안 했으니 그냥 그러려니 하고 봐줄만 함
예전엔 이런 게임 하면 오기로라도 엔딩 봤는데
이젠 이딴거 붙잡고 있기엔 할 게임은 많고 시간이 아깝다</t>
  </si>
  <si>
    <t>优点：画面非常出色。
缺点：为了展示“我们能把画面做得多好”，放弃的东西实在太多、太多了。大量地方是随便一封了事……（长文略）。</t>
  </si>
  <si>
    <t>KR-P-115</t>
  </si>
  <si>
    <t>소울류는 아닌데 뒤로 갈수록 점점 매워지네요..근데 소울류가 주는 절망감보단 재미가 더 커서 잡고 하게됨.그래픽은 이미 발매전부터 유명했으니 말할것도 없고.타격감도 구리다는 말에 비하면 괜찮음.간간히 나오는 음악도 좋고..다양한 보스전은 절망하게도 하지만 결국 어떻게든 잡게 만드는 재미를 주네요.다 좋은데 아쉬운건 복장..능력치랑 상관없이 복장 디자인을 원하는 소유한 복장으로 보이게 해주는 기능이 있었으면 좋겠네요.무기도 그렇고...마지막으로 최적화도...4090인데도 버벅일때가 있어서.판매량 만큼 발매이후 패치로 쾌적한 환경을 만들어 주었으면 하네요.</t>
  </si>
  <si>
    <t>不算魂，但越到后面越“辣”。不过比起魂那种绝望感，这作“有趣”的权重更高，所以会继续玩。优化方面：我 4090 也有卡顿。希望销量这么好之后，能尽快用补丁把环境调好。</t>
  </si>
  <si>
    <t>KR-P-116</t>
  </si>
  <si>
    <t>길찾기 부담이었고 툴팁이 친절하지 않지만 너무 재미 있게 하고 있어요.그리고 똥손들은 보스 힘들게 잡다가 포기 하지 마시고 노가다좀 하세요!!!!(렙업 쉽고 영롱내단 정말 잘 나와요)1. 렙업을 통한 특성치 마구마구 찍기!!!    (렙이 정말 빨리 올라요)2. 영롱내단 작업 -천상신선단 제작으로 스펙올리고 각 보스별 속성내성 올리기!!!       (2장/마을)3. 상점아이템 구입 - 아이템 업글재료(삼동이나 등나무등) &amp; 단약(버프물약) - (렙업및내단작업으로 돈 많아짐)4. 기믹아이템 찾기 - 렙업하고 영롱내단 속성내성 올리면 기믹아이템 없어도 잡을 수 있음!!!</t>
  </si>
  <si>
    <t>找路有压迫感、提示也不够友好，但真的非常好玩。手残在打 Boss 时会很痛苦……（略）诀窍：多练习、提升属性、合理刷钱、找机关道具；实在缺机关道具就堆属性抗性也能过！</t>
  </si>
  <si>
    <t>Boss战斗节奏；难度挑战；引导迷路单线；推荐价值判断</t>
  </si>
  <si>
    <t>KR-N-117</t>
  </si>
  <si>
    <t>40시간동안 실컷 맛보고 엔딩까지 하루도 쉬지않고 즐김.넘모 재맷게 했고 4막까지는 개인적인 기준엔 쵸갓겜이 맞음.5막부터는 스토리도 원작과는 아예 다른 노선으로 가는 것도 이해가 좀 안가고급 커브로 6막에서는 정말 텅빈 오픈월드를 구현함.또한 마지막 엔딩과 진엔딩을 이렇게 낸것이 이해가 가질않음.게임플레이와 스토리는 정말 몰입해서 즐길수 있었지만,솔직히 엔딩, 진엔딩 부분에서 개인적인 나의 평가를 80프로 이상 깍아먹음.요새 하도 프롬겜이 대세다보니 거기에 환승해서 막판 엔딩을 홍머병 걸린거 마냥 프롬식 마무리한건 정말 너무 짜쳤음.요약  :  구매는 절대 추천은 못함            추천하지도 않았음에도 해볼만하냐고 누군가가 묻는다면 돈값만 한다고 말할듯</t>
  </si>
  <si>
    <t>40 小时一路玩到结局，中间一天都没停。到第 4 幕以前在我心里是神作，后面有几处让我个人挺难受的，所以不会盲推给所有人。若有人问好不好玩？我会说：值回票价。</t>
  </si>
  <si>
    <t>KR-P-118</t>
  </si>
  <si>
    <t>개인적으로 이 게임이 영향받았을 갓오브워, 엘든링보다 재미있게 했음. 남들이 단점으로 꼽는 것도 별로 단점으로 다가오지 않았음. 이 게임을 통해서 중국 게임, 문화에 대한 인식이 바뀔 정도.</t>
  </si>
  <si>
    <t>就我个人而言，比《战神》《艾尔登法环》更好玩。别人说的缺点在我这不构成问题。玩过之后，对中国游戏与文化的印象都改变了。</t>
  </si>
  <si>
    <t>KR-P-119</t>
  </si>
  <si>
    <t>장점
그래픽 좋음
최적화 괜찮음
연출 좋음
캐릭터디자인 좋음
PC요소 없음
분량 괜찮음
보스전 종나많고 다 정성이 느껴지고 재밋음
마지막 오공뽕 치사량
단점
보스가 너무 자주나옴
투명벽이 너무 많음 + 길이 복잡함 = 탐색이 ㅈ같음
곤액션이 가짓수가 적고 밋밋해서 거의 평타 강공만 쓰게됨
무기가 사실상 한종류고 공격템포도 좀 답답한편
봉돌리기 같이 쓰기 애매한게 많고 원거리 수단이 없음
법술류는 원하는거 4개 따로 선택이 안됨 같은 계열 겹치면 기존꺼 무조건 빼야함
성장요소가 거의 대부분 패시브라서 초반-&gt;후반 플레이 변화가 너무 적음
설명이나 힌트가 너무 없어서 길가다 막힐때가 많음
퀘스트나 숨김요소는 공략 없으면 못할 수준
오공뽕이 내 캐릭에서 나오는게 아님
브금이 너무 심심함
장점도 단점도 아닌것
타격감은 별로라는 평이 많은데 난 나쁘진 않앗음 근데 좋다고 하기도 쫌 애매함
초반 인상은 단점때문에 60점 정도에서 깨고나니 장점 덕분에 75점 정도로 올라간 느낌인데
나름 재밋는 부분도 있었는데 전체적인 설계나 만듦새가 썩 좋진 않아서 꽤 스트레스 받는 게임 남한테 막 추천할 정도는 아니고 할인할때 사서 할거없을때 하면 나쁘지 않을듯</t>
  </si>
  <si>
    <t>优点：画面很好、优化尚可、演出优秀、角色设计出色、流程量足，Boss 战数量很多且能看出用心，最后对悟空的情绪烘托也很强。缺点：Boss 出现得太频繁；透明墙太多且路线复杂，探索体验很差；棍法种类少且偏单调，基本会变成轻攻和重攻循环；武器实际上只有一种，攻击节奏偏慢；有些招式难用，也缺乏远程手段；法术不能完全自由搭配四个，同系法术会互相占位；成长多数是被动数值，前后期打法变化不大；说明和提示不足，任务与隐藏内容不看攻略很难完成；音乐存在感偏弱。打击感我个人不算特别反感，但也很难说优秀。刚开始大约只想给 60 分，通关后因优点提升到约 75 分。不是会主动向别人强推的作品，更适合打折时、没别的游戏玩时尝试。</t>
  </si>
  <si>
    <t>画面美术场景；音乐音效配音；演出角色怪物设计；动作打击手感；Boss战斗节奏；难度挑战；地图路线；空气墙可达性；探索隐藏支线；优化帧率；西游悟空符号；外部资料依赖</t>
  </si>
  <si>
    <t>KR-N-120</t>
  </si>
  <si>
    <t>재밌다 그냥 재밌다다른 말 할 필요 없이 ㅈㄴ 재밌다타격감 없다고 하는데23년에서 지금까지 나온 게임들 오공하고 비교하면그렇게 타격감 없는 게임도 아니다약공 타격 소리를 조금만 키워줬으면 좋겠는 정도다연계공격 먹이기 힘들다고 하는 사람들 있는데 막타 전 콤보까지 하면 마지막 연계공격은 회피 두번까지 저장된다이걸로 거대 보스 아닌 이상 막타 먹고 경직 먹어서 무한 반복 할 수 있다큰 기술이나 슈퍼 아머 두른 공격들은 모든 보스들이 큰 동작을 한번 보여주고시전하기에 법술로 파해 가능하여 조금 힘든 보스들이 있을 뿐 못 피하는 공격은 하나도 없다이렇게 친절하고 공략하는 맛이 있는 매력적인 보스들은 다크소울3 이후로 처음 접한다점프로 피할 수 있는 공격들도 많다 장판기 대부분이 점프로 피해진다게임 내내 어떤 보스들 나올 까 기대하고 다음 보스 찾으러 가는 길 배경이 아름다워 눈이 즐겁고마음이 들떴다  다만 내가 서유기를 모르고 고유명사가 많아 스토리를 이해하기힘들었다는 점이 많이 아쉽다</t>
  </si>
  <si>
    <t>好玩，真的就“好玩”二字。有人说没打击感——我反倒觉得画面、演出让人心潮澎湃。可惜我不懂《西游记》，专有名词太多，剧情理解还是吃力。</t>
  </si>
  <si>
    <t>画面美术场景；演出角色怪物设计；动作打击手感；推荐价值判断；西游悟空符号；剧情叙事理解；原典知识人物关系专名</t>
  </si>
  <si>
    <t>KR-P-121</t>
  </si>
  <si>
    <t>재밌게 잘 했음.몇몇 단점이 있긴 했지만 그럼에도 전체적으로 정말 재밌었음.</t>
  </si>
  <si>
    <t>玩得很开心。虽然有些缺点，但总体确实非常好玩。</t>
  </si>
  <si>
    <t>KR-P-122</t>
  </si>
  <si>
    <t>게임 돈 안주고 사기 프로젝트 진행 중 실패한 게임  생각 외로 재밌음 처음에 매우 긍정적 이라길래 아 그냥 재밌긴 한가보다~ 알고 냅뒀다가 평가가 계속 오르길래 그냥 지름 아직 3챕터 이제 막 시작했지만 1장 ,2장 정말 재밌게 했음 소울류 그렇게 좋아하지도 않고 즐기지도 않는데 나쁘지 않게 한거면 좋아하는 사람들은 정말 좋아할 듯이 게임 추천 하는 이유 스케일, 그래픽 2가지면 충분함 스토리는 아직 다 안봤기 때문에 할 말이 없고 그래픽은 언리얼 엔진5로 만들어서 그런지 정말 좋았음곧 나올 언리얼5로 만든 게임들이 기대될 정도임 스케일도 남다르고 매우 웅장함 단점으로는 타격감 하고 길찾기 어렵다는데 일단 타격감 먼저 말하자면 타격감은 확실히 밋밋하긴 하지만내 입장에선 이정도는 게임 하다보면 딱히 신경쓰기 어려움 그만큼 타격감이 없는 편은 아니다 라는 뜻다음으로 길찾기는 초반에 너무 힘들었음 아까도 말했듯이 아직 2장 까지 클리어 못했지만 1장 숲 파트 에서는 지형지물이 다 비슷비슷 해서 한 곳만 30분 배회함 이 때 그냥 환불 할까 싶었음 아무튼 이 단점을 커버칠 만큼 장점이 매우매우 컸음 그만큼 재밌음 아무튼 추천</t>
  </si>
  <si>
    <t>本来以为是“白嫖失败项目”的烂作，结果意外地好玩。开局口碑太正面让我警惕，中途迷路徘徊时差点退款，但优点足以覆盖缺点，所以推荐。</t>
  </si>
  <si>
    <t>引导迷路单线；推荐价值判断；角色期待意义偏移</t>
  </si>
  <si>
    <t>KR-P-123</t>
  </si>
  <si>
    <t>풍경 너무 좋구요 액션성도 너무 좋네요. 너무 잼있습니다. 요런기반 게임 안해보신 분들은 초반에 머리큰 보스에서 조금 오래 막히실건데 거기서 컨연습한다 생각으로 계속 부딪혀 보시면 그 다음부턴 너무너무 잼있어요 추천합뉘다.</t>
  </si>
  <si>
    <t>风景太棒，动作手感也好。没玩过这种类型的人，前期的大头 Boss 会卡比较久，就把那当成练手、练时机的磨练关，过了之后就非常爽。推荐！</t>
  </si>
  <si>
    <t>画面美术场景；动作打击手感；Boss战斗节奏；推荐价值判断</t>
  </si>
  <si>
    <t>KR-N-124</t>
  </si>
  <si>
    <t>난이도가 너무 어렵다. 난이도 조절을 할 수 있게 해주던가. 몇시간제 짜증나서 게임 끝</t>
  </si>
  <si>
    <t>难度太高。请至少提供难度选项吧。我被气到玩了几个小时就关了。</t>
  </si>
  <si>
    <t>KR-P-125</t>
  </si>
  <si>
    <t>오랜만에 할만한 게임이 나왔네.. 잼있긴 하다 ㅎㅎㅎ 그래픽도 좋고... 중국 무섭네</t>
  </si>
  <si>
    <t>久违地出现了值得玩的游戏。确实有趣，画面也好……中国真厉害。</t>
  </si>
  <si>
    <t>KR-M-126</t>
  </si>
  <si>
    <t>울트라옵 하고도 남는 컴사양인데 1장 넘어가고 2장 시작때 계속 튕기더니 2장 진행중에도 튕기고 이젠 아예 켜지지도 않음ㅋㅋ 죧망겜 ㅋㅋ</t>
  </si>
  <si>
    <t>我机器跑“极高”都绰绰有余，但从第 1 章后段到第 2 章一直崩，现在干脆打不开了，笑死，烂。</t>
  </si>
  <si>
    <t>KR-N-127</t>
  </si>
  <si>
    <t>그동안 심각했던 게임 불감증 한방에 낫게함.미쳤다...오랜만에 개띵작 겜임.</t>
  </si>
  <si>
    <t>一口气治好了严重的“游戏厌食症”。疯了，这久违的神作。</t>
  </si>
  <si>
    <t>KR-P-128</t>
  </si>
  <si>
    <t>올해 플레이한 게임 중 가장 재밌게 한 게임특히 진엔딩 연출은 감탄이 절로 나왔다</t>
  </si>
  <si>
    <t>今年玩得最开心的游戏。尤其真结局的演出，令人不由自主地感叹。</t>
  </si>
  <si>
    <t>演出角色怪物设计</t>
  </si>
  <si>
    <t>KR-P-129</t>
  </si>
  <si>
    <t>액션과 탐험에 거지같은 부분이 많은데 게임에 들인 노력이 엄청나서 나쁘게 평가 할 수가 없음파밍 요소가 적당히 있어서 엔딩까지 끌고갈 힘이 됨보스는 체력 많은 엘든링 고양이 석상이 대부분이 게임의 장점은 유투브 영상을 시청하는 것 만으로 체험이 가능단점은 직접 플레이 해봐야만 느낄 수 있음앞으로 나올 중국게임에 기대감이 높아진다</t>
  </si>
  <si>
    <t>动作与探索部分有不少糟点，但开发投入与诚意巨大，很难给差评。刷装元素克制而不过火；演出与音乐极佳；像《战神》式的“挤缝过墙”等也有，但整体并不拖沓。优缺点泾渭分明：优点只看视频都能感到，缺点只有亲自上手才能体会。对今后的中国游戏更期待了。</t>
  </si>
  <si>
    <t>音乐音效配音；演出角色怪物设计；动作打击手感；难度挑战；探索隐藏支线；整体完成度；国产3A身份期待</t>
  </si>
  <si>
    <t>KR-P-130</t>
  </si>
  <si>
    <t>어크 시리즈 및 소울류로는 피의 거짓 정도 해본 사람으로서 평가하자면서유기 스토리를 잘 모르면 스토리 이해하는 데 좀 어렵고타격감은 준수한 편, 스트리머 평으로는 아쉽다고는 하는데 전혀 아쉬울 문제는 아님.대신 점프를 삭제하고 가드를 넣어줬으면 어떨까 하는 아쉬운 점. 2장 최종보스 플레이 전까지의 평가!</t>
  </si>
  <si>
    <t>以玩过《刺客信条》系列与《匹诺曹的谎言》的角度来评。若对《西游记》不熟，剧情会比较难懂，但不是大问题。倒是希望删掉“跳跃”、加入“防御”。写于第二章最终 Boss 前。</t>
  </si>
  <si>
    <t>Boss战斗节奏；西游悟空符号；剧情叙事理解</t>
  </si>
  <si>
    <t>KR-P-131</t>
  </si>
  <si>
    <t>사족이지만 서양 젓문가들의 신뢰도를 떨어뜨린 또 하나의 게임이라 생각함.게임 평가엔 게임의 이야기만 들어가야 한다 봄.여러가지로 뛰어난 작품이지만,특히 액션의 자유도가 이렇게 큰 게임이 지금까지 있었나 싶을 정도로 사기 스킬이 주어짐.그런데도 난이도가 적절히 잘 유지되어 긴장감을 계속 준다는게 밸런싱 팀이 개고생했다는 것을 알 수 있었음.이제서야 2장 후반 부분이지만 천천히 완주해봐야겠음.</t>
  </si>
  <si>
    <t>题外话：我觉得它又一次降低了所谓“西方专家”的公信力。评价游戏就该谈游戏本身，他们总爱塞别的议题。从一路都能给予玩家“选择”和“挑战”的结构看，能感到平衡团队付出了巨大努力。我才打到第 2 章后半，打算慢慢通关。</t>
  </si>
  <si>
    <t>KR-P-132</t>
  </si>
  <si>
    <t>10점 만점에 9점-1점인 이유를 보완하면 올해의 GOTY-1점인 이유: 1. 지도없는데 더럽게 넓고 *같은 갈림길이 너무 많아서 길치는 못함2. 투명벽때문에 짜증3. 히든보스가 정말 재밌고 좋은데 공략 안보면 찾기 불가능4. 후반갈수록 보스가 지만 때려서 정정당당한 승부가 어려움</t>
  </si>
  <si>
    <t>满分 10 分给 9 分。-1 的理由：1）没有地图却做得极宽；2）明暗对比夸张；3）隐藏 Boss 很有趣，但不看攻略几乎找不到；4）到后期 Boss 常常“只许他打我”，很难堂堂正正一决胜负。若能补足，这作可冲 GOTY。</t>
  </si>
  <si>
    <t>Boss战斗节奏；难度挑战；地图路线；探索隐藏支线；推荐价值判断；外部资料依赖</t>
  </si>
  <si>
    <t>KR-M-133</t>
  </si>
  <si>
    <t>아직 더 플레이 해봐야알겠지만 약공격의 타격감이 전무함을 제외하면 정말 할만한 게임인 것 같습니다.(이 글을 작성할 당시 플레이타임은 3시간 10분 정도)</t>
  </si>
  <si>
    <t>还要再玩玩才好定论，但除去轻攻击几乎没打击感之外，是款很能玩的游戏。（写此时游玩约 3 小时 10 分）</t>
  </si>
  <si>
    <t>KR-N-134</t>
  </si>
  <si>
    <t>밝기가 진짜 ㅂㅅ같음.밝은 곳은 너무 쨍하고, 어두운 곳은 하나도 안보임. 너무 극단적이라 밝기를 올리면 눈알 빠질 정도로 쨍하고, 밝기를 낮추면 어두운 곳은 진짜 검은색 말고는 다른 색이 하나도 안나타남.이거 진짜 심각한 문젠데 아직도 안고치는거 이해가 안되네.</t>
  </si>
  <si>
    <t>亮度真是有病。亮的地方刺到晃眼，暗的地方什么都看不见。太极端了——一调亮度，暗部就成了一整片纯黑，除了黑什么都没有。这么严重的问题到现在还不修，无法理解。</t>
  </si>
  <si>
    <t>KR-N-135</t>
  </si>
  <si>
    <t>역시 중국인들 뭐든 하는게 다 엉성하네요 스토리도 연계도 나사 풀린것같고 플레이는 더욱더 중국스럽다시핑 +16시간 게임은 더욱더 멍청해져간다</t>
  </si>
  <si>
    <t>怎么说呢，总觉得哪哪都“中式粗糙”。剧情衔接像是少了几颗螺丝，玩法更显“中国式”。玩到第 16 小时只觉得自己在变蠢。</t>
  </si>
  <si>
    <t>KR-P-136</t>
  </si>
  <si>
    <t>어? 내가 소울에 재능이 있었나?? 싶은 착각이 들정도로 맘만 먹으면 다 깰 수 있게끔 해주는 아주 친절한 갓겜 물론 중간중간 극혐 난이도가 뜬금없이 튀어오르지만 생각보다 또 장비나 렙업하다보면 할만해짐 사실 스토리나 엔딩, 진엔딩 같은건 이해가 잘 안되서 뭔 소린진 모르겠지만 게임은 재밌음 타격감은 전 별로 신경 안쓰였고 오히려 이런 소울류 게임이 많이 나왔으면 좋겠네여 진짜 2024 최고의 게임안에 들어갈 게임 킹오공</t>
  </si>
  <si>
    <t>咦？难道我其实很会玩魂？——有一种只要下定决心就能一路通关的错觉。对玩家非常友好的一作。即使有些缺点我也不在意，反而希望类似的魂类多出点。稳进 2024 年最佳候选的《King悟空》。</t>
  </si>
  <si>
    <t>KR-M-137</t>
  </si>
  <si>
    <t>게임은 와 씹 띵띵띵작! 이정도 까지는 에바고 재밌네 라고 할정도 서유기 좋아하고 중국풍 좋아하면 그냥 빠져듬단점으로는 1. 빈약한 타격감(본인은 플스 패드로 해서 그렇게 심하게 느껴지진 않음)2. ㅈ같은 맵 기획3. 어지러운 맵구조4. 억까 몹이 너무 많음5 ㅈ같은 텔포 위치2번하고 5번 묶어서 아마 제일 큰 문제인듯 이게임은 우선 지도가 없음 이게 무슨말이냐 니 머릿속에 이 맵을 대가리에 다 넣어야 하는데 맵이 6막 총 6개가 있음 이건 ㅆㅂ 길찾기를 잘하고 못하고를 떠나서 그냥 암기를 강요함 이렇게 암기를 강요하게 되면맨날 죽치고 하는 겜창들은 모르겠지만 가끔가다 게임하는 사람들 같은 경우에는 맵이 기억이 안나서 또 돌고 돌기를 반복해야 하는 경우가 생김;; 그리고 맵이 매우 병신임 보통 갈래길이 나와도 궁극적으로 가야하는 목적지가 마지막이게끔 설계해서 히든 보스든 뭐든 설정해야 하는데 그딴거 없이 그냥 우연찮게 든 길이 우연찮게 메인 보스고 우연찮게 잡으니 그냥 다음 맵으로 넘어가버림정작 그다음 맵에서 필요한 아이템이나 스킬들은 못 얻고 가서 다시 돌아가는 일이 생김 이게 2회차부터 이런게 아니라 1회차 부터 ㅇㅈㄹ 한다는게 매우 중요함 그래서 게임 한번 한번 할 때마다 너무 지침 이게임 만든 곳은 ㅈ소인거 같은데 게임성 자체는 너무 밋밋하지도 너무 맛깔나지도 않았지만 계속하게끔 만드는 무언가?가 있어서 할만 했지만... 맵 디자인과 몹 배치가 너무 성의 없음이 게임 팔면서 돈좀 어느정도 벌었을 테니 지금 있는 기획팀 애들 싹다 잘라버리고 좀 잘 나가는 기획자들좀 뽑길 바람. 다음작도 이따구로 낸다? 그럼 그냥 다시 낙락 ㅈ소 되는거임 ㅇㅇ 처신 잘하라고 ㅋㅋ</t>
  </si>
  <si>
    <t>这游戏倒没到“哇，神中神”的程度，但可以说挺有意思。喜欢《西游记》和中国风的话很容易沉进去。缺点：1）打击感偏弱（我用 PS 手柄，所以没觉得特别严重）；2）地图规划很烂；3）地图结构很绕；4）恶心人的怪太多；5）传送点位置很糟。尤其 2 和 5 结合是最大问题。首先游戏没有地图，也就是说六章六张地图都得记在脑子里。这不只是路痴与否，而是强迫记忆。天天玩的人或许无所谓，但偶尔玩的玩家很容易忘路，只能不断兜圈。地图设计本身也有问题：正常情况下岔路最后会把主线目标放在更明显的位置、隐藏 Boss 另设支路，但本作常常是随便走进一条路就碰到主线 Boss，打完直接进下一张地图，结果上一张图需要的道具或技能没拿，只能回头。最重要的是这种问题一周目就存在，所以每次玩都很累。虽然这是开发商第一次做这类大型游戏，整体并不算寡淡，也有让人继续玩的吸引力，但地图设计和怪物配置实在缺乏打磨。希望赚到钱以后把策划团队好好调整，下一作别再这样。</t>
  </si>
  <si>
    <t>动作打击手感；Boss战斗节奏；难度挑战；地图路线；探索隐藏支线；引导迷路单线；Bug兼容硬件；整体完成度；西游悟空符号</t>
  </si>
  <si>
    <t>KR-N-138</t>
  </si>
  <si>
    <t>처음에는 몬가 어설픈거 같았음 갓오브워 연감 받아 만든게임이라해서 그런지 기대감이 많아서 그런지 특히 스킬 트리가 갓오브워 처럼 화려하지 않아서 실망했으나 중반 후반 갈수록 숨겨진 맵과 보스전 연출이 너무 좋고 스토리도 나름 좋아서 몰입도가 높아짐 개인적으로 재미있게 플레이해서 강추 드림.</t>
  </si>
  <si>
    <t>现在一听到“齐天大圣”这个名字我就激动到发抖，怎么办。</t>
  </si>
  <si>
    <t>KR-N-139</t>
  </si>
  <si>
    <t>(진엔딩까지 완료)
🎥 그래픽 -----------------------------------------------------------
✅ 현실과 구분이 어려움 (높은 수준의 디테일)
⬜ 수준 높은 그래픽
⬜ 아름다운 그래픽
⬜ 독특한 그래픽 (도트, 라이브 2D 등)
⬜ 준수한 그래픽
⬜ 게임이 뭐 그렇지
⬜ 처참함
🎮 조작감 -----------------------------------------------------------
⬜ 우리 할머니도 할 수 있음
✅ 일반적임
⬜ 적응하기 약간 어려움
⬜ 핸드시뮬레이터 급
⬜ 누가 내 손 뺏어감
🚨 난이도 -----------------------------------------------------------
⬜ 힐링
⬜ 우리 할머니도 할 수 있음
⬜ 쉬움
⬜ 적당히 즐김
⬜ 어려움
✅ 소울류
⬜ 빡침
🖥️ PC사양 ----------------------------------------------------------
⬜ 감자
⬜ 콩순이 컴퓨터
⬜ 일반적인 가정컴퓨터
⬜ 게이밍 컴퓨터
✅ 최고사양 게이밍컴퓨터
⬜ 나사 컴퓨터
⬜ 양자 컴퓨터
💾 게임용량 --------------------------------------------------------
⬜ 금붕어 뇌에도 설치가능
⬜ 컴퓨터실
⬜ 그냥저냥
✅ 용량 꽤 차지함
⬜ 컴퓨터에 이 게임 하나 깔 수 있음
⬜ 디스크 대량구매 후 분할 다운 가능
🛜 서버 -------------------------------------------------------------
✅ 싱글
⬜ 전세계 인구 다 들어와도 렉 없음
⬜ 한국에 서버가 있음 (핑이 낮다)
⬜ 한국에 서버가 없음 (핑이 높다, 안정적임)
⬜ 하루종일 디도스 쳐 맞음 (불안정)
⬜ 감자서버
📖 스토리 -----------------------------------------------------------
⬜ 없음
⬜ 거장 감독 시나리오 급
⬜ 여운 남는 스토리
⬜ 후유증 남음
⬜ 메이플스토리
✅ 복잡함
⬜ 신선한 스토리
⬜ 크리셰
⬜ 그냥저냥
⬜ 없는 게 차라리...
⚒️ 노가다 요소 ------------------------------------------------------
⬜ 없음
✅ 할 순 있음
⬜ 하면 좋음
⬜ 해야함
⬜ 당신은 이제 노예입니다.
🐌 버그 -------------------------------------------------------------
⬜ 세스코 왔다감
✅ 귀엽네
⬜ 몰입을 깨는 정도
⬜ 버그를 샀는데 게임을 주네요
⬜ 그냥 못 함
⏱️ 플레이타임 ------------------------------------------------------
⬜ 없음
⬜ 출근길에도 깰 수 있음
⬜ 점심먹고 저녁전까지 깸
⬜ 날 잡고 깨야함
✅ 몇 일 걸림
⬜ 방학동안 이것만 해야함
⬜ 평생을 바쳐야함
👨‍👩‍👧‍👦 접근성 -----------------------------------------------------------
⬜ 누구나 해도 재밌게 할 수 있음 (접대용 게임)
⬜ 재미없기 힘듦
✅ 호불호 갈림
⬜ 극소수가 좋아함
⬜ 재밌으면 정신병원 가보세요.
💸 가격 -------------------------------------------------------------
⬜ 무료
✅ 정가에 사도 후회 안 함
⬜ 세일하면 사야함
⬜ 돈이 많으면 사도 됨
⬜ 추천 안 함
⬜ 돈이 너무 많아서 거슬려서 버려야겠다.
==========================================================================
🎉 총 점 💯
( 90 / 100 )
다소 완성도 떨어지는 레벨 디자인, 스토리에서의 난해함 같은 단점이 있어도 장점이 월등히 큰 게임.
현세대 게임들 중 언리얼5 활용의 마스터피스.
특히, 눈과 흙에서의 디테일은 가히 비교불가
처녀작이라고는 믿지 못할 정도의 보스 퀄리티와 액션성.
몰입하여 보게되는 내러티브 애니메이션.
(스토리가 뛰어나다는 말이 아님. 스토리 자체는 서유기가 친숙한 한국인에게도 조금 난해함)
콘솔 불모지이던 중국 콘솔 게임의 도약.
그리고 무엇보다 게임에서 느껴지는 개발자들의 엄청난 열정과 노력.
(근데 TGA 이후 개발자들의 반응이 다소 와전되어 돌아다님)
==========================================================================</t>
  </si>
  <si>
    <t>如果没有“中国游戏”的成见，这是最棒的游戏之一。就算找路辛苦、剧情理解不易，我也认为演出与乐趣足以抵消这些缺点。</t>
  </si>
  <si>
    <t>演出角色怪物设计；引导迷路单线；剧情叙事理解；国产3A身份期待</t>
  </si>
  <si>
    <t>KR-N-140</t>
  </si>
  <si>
    <t>중국에서 만든거라 미심쩍었는데 기대이상으로 재미있었던 게임소울라이크 특유의 불쾌한 요소도 적고 전체적인 게임 분위기 덕분에 중국어로 플레이해도 거부감이 거의 없다</t>
  </si>
  <si>
    <t>本来因“中国产”而犹豫，结果超出预期地好玩。魂类特有的不适点很少，整体氛围也好，就算开中文语音也几乎没有违和感。</t>
  </si>
  <si>
    <t>KR-N-141</t>
  </si>
  <si>
    <t>처음 소율류 입문하는 게임인데 재밌게 했습니다.단점도 있었지만 게임이 너무 그래픽도 좋고 재밌게 플레이해서 그런지 있었던 단점들을 잊게 만드는 게임이네요.밤을 새거나 게임을 날마다 연속으로 들어가게 만드는 매력이 있네요.</t>
  </si>
  <si>
    <t>作为魂类入门作来玩，意外地有趣。虽然有缺点，但画面与整体趣味性会让你忘了这些缺点——有那种让人熬夜、每天都想打开继续玩的魔力。</t>
  </si>
  <si>
    <t>KR-P-142</t>
  </si>
  <si>
    <t>중국 최고의 판타지 소설 서유기를 베이스로 한 작품인 만큼 동양적 정체성 구현이 중요한 어필 요소 중 하나인데, 현대 게임 산업의 기원과 전반적인 주도권이 서양에 있기 때문에 동양풍 게임이라는 건 실상 가뭄에 콩 정도의 비율도 안 되고, 그마저도 대부분 일본 게임이라 제대로 된 동양풍 게임에 목말랐던 것이 사실이다. 그래서 제대로 만들어 지기만 한다면 다른 건 다 제쳐두고서라도 더욱 메리트가 있는 작품이 될 터였다. 결론부터 말하자면, 검은 신화  오공은 이 측면은 물론 다른 측면에서도 게임 역사상 새로운 획을 그은 위대한 작품이라고 생각한다. 앞으로 이만한 작품이 또 나올까? 그리고 우리나라에서도 이런 게임이 나와야 할 텐데 같은 걱정이나 미련이 있을 뿐이다.튜토리얼을 지난 후 처음 당도한 지역부터 살벌한 디테일의 풍경이 펼쳐진다. 새로운 지역에 들어설 때마다 풍경을 둘러보는 데 시간을 꽤 할애할 만큼 그래픽의 수준과 밀도가 높은데, 이 첫인상 만으로 그간의 우려와 걱정이 사르르 녹았다. 그러나 장담하건대 이건 시작에 불과하고, 계속 기대를 높여도 그 이상이 충족되는 놀라운 경험이 이어질 것이다.등장하는 요괴나 등장인물마다 고풍스러운 삽화와 스토리가 추가되는데, 이 역시 상당히 공들여 놓은 것이라 흥미롭게 감상할 수 있다. 게임 속 연출에 곁들여 보면 마치 옛이야기가 살아 움직이는 것을 보는 듯한 느낌을 주고, 설정에 걸맞은 행동과 복장을 하고 있어 볼 수록 애정을 느끼게 한다. 예를 들어, 초반 늑대 요괴의 경우 멀리서 보면 득도하려고 무릎 끓고 않아 기도하는 모습을 볼 수 있는데, 단순한 연출이지만 마음을 동하게 만드는 구석이 있었다. 그런데 3장으로 넘어가면 번역되지 않은 것들이 너무 많아서 실망을 안겨준다. 기존에 번역된 것도 읽어보면 상당수 오류가 있다는 걸 알 수 있다.그동안 하도 서양풍 게임을 많이 해서 그런지, 동양풍 세계의 아름다움은 마치 명승지나 박물관을 돌아다니는 듯한 색다른 감동을 주었다. 특히 도원경에서나 볼 수 있을 법한 벽화나 조각, 건축 예술 작품 같은 것들을 최고 수준으로 구현한 풍경과 디테일에 매우 큰 감동과 신선함을 느꼈다. 그런 요소를 감상하는 것이 얼마나 기쁨을 주는지, 만약 이외 다른 요소가 없는 텅 빈 세계라 할지라도 나는 이것 만으로 10점 만점에 100점을 주고 싶다는 생각이 들었다. 입수하는 아이템 디자인도 기가 막히고 돌려가며 감상할 수 있게 해뒀는데, 언차티드에서 보물을 수집하는 것 같은 재미가 있었다.비주얼 못지않게 음악과 각종 효과음도 몰입감을 높이는 데 큰 역할을 한다. 서양 오케스트라와는 또 다른 맛의 중국 전통 음악의 매력이 게임의 분위기를 한 층 끌어올린다. 경극 스타일의 문무와 청상이 번갈아 가며 긴장과 박진감을 표현하는가  하면, 청아한 곡조가 흐르다 외마디 창이 뻗치는 등 고유의 음색이 더해져 게임 속으로 더욱 깊게 빠져들게 한다. 또한 효과음도 매우 적절하고 아기자기한 맛이 있어 개발자들의 비범한 센스가 느껴진다.여러모로 스토리나 주제 의식의 수준이 높고 세련되었으며, 서유기에 담긴 불교 사상이나 설정에 근거하면서도 구애받지 않는 완급조절이 예술적이라 여간 만족스러운 게 아니다. 게임에서 몇 가지 단점이 있을지라도 스토리가 탄탄하면 무시하고 밀어붙이는 힘이 있는데 오공도 그렇다.게임마다 고유의 특색이 있는 것임을 감안하면 이런 감상이 검은신화 오공에게만 해당하는 것은 아니다. 그러나 이렇게 적극적으로 감상을 표현할 만한 거리가 되는 게임은 지극히 드문데, 검은신화 오공은 플레이하다가 이런 생각이 절로 난다는 게 결정적 차이다. 그만큼 충실하고 놀라움의 연속이었다. 물론 완벽한 것은 아니다. 앞서 말한 것처럼 번역이 덜 된 부분, 잘못된 부분도 꽤 있고 프레임이 떨어지는 구간도 간간히 있다. 그러나 대충하다 만 거랑 열심히 하다 못한 것은 그 평가가 다를 수밖에 없는데, 내가 느끼기엔 오공은 확실히 후자였다.4년 전 트레일러를 처음 봤을 때 그 전율을 잊을 수 없다. 사이버펑크를 정점으로 트레일러와 게임은 별개라는 교훈을 얻었지만 “이 언저리라도 구현된다면” 하는 일말의 기대를 저버릴 수 없었다. 그런데 결국 게임 발매가 확정되었고, 내 게임 위시리스트 0순위는 계속 검은신화 오공이었다. 실제 플레이로 진위가 확인된 지금 확실히 말할 수 있는 것은 트레일러는 사기가 아니었고, 충실하게 구현된 알짜배기 진짜라는 것이다.</t>
  </si>
  <si>
    <t>作为以《西游记》为骨架的作品，“东方身份”的呈现极重要。本作在 PC、PS5、XSX|S 上都证实：预告片不是骗人，是真正把核心玩好了的成品。</t>
  </si>
  <si>
    <t>KR-P-143</t>
  </si>
  <si>
    <t>소울라이크와 액션 RPG 사이에 적절한 타협점을 찾은 게임. 지도가 없어서 맵을 탐험하거나 서브퀘 하러 다닐때 너무 불편했고 타격감이 생각보다 가벼웠던 점들 빼고는 게임을 하는 내내 너무 즐거웠음.</t>
  </si>
  <si>
    <t>在魂like与动作 RPG 之间找到了不错的折中点。没有地图导致探索与跑支线很不便，打击感也比想象轻；除去这些，游玩过程一直很愉快。</t>
  </si>
  <si>
    <t>动作打击手感；地图路线；探索隐藏支线</t>
  </si>
  <si>
    <t>KR-P-144</t>
  </si>
  <si>
    <t>아직 엔딩 못봄 색안경을 껴도 대작이라고 느껴짐그냥 잘 만들었음 내 기준 엘든링 p구라보다 재밌게 하는중</t>
  </si>
  <si>
    <t>还没通关。即便戴着有色眼镜看，也能感到它是“大作”。按我个人口味，比《艾尔登法环》和《匹诺曹的谎言》更有趣。</t>
  </si>
  <si>
    <t>KR-P-145</t>
  </si>
  <si>
    <t>재밌습니다  이 갈고 만든 게 느껴지는 게임입니다지도 없이 탐험하는 게 조금 불편할 수 있는데 풍경이 예뻐서 돌아다니는 맛이 있습니다 오히려 지도가 없었기에 풍경을 좀 더 세세하게 볼 수 있었던 거 같아요액션신 또한 봉술, 묘술, 체술, 잔털, 변신을 통해 다채롭게 잘 만든 것 같습니다특히 각 장 끝나고 나오는 애니메이션들은 영화 한 편씩 보는 느낌이었습니다부족한 부분들도 여럿 보이지만 저는 매우 만족하면서 플레이했던 거 같습니다후속작이 벌써 기대되네요. 강추합니다</t>
  </si>
  <si>
    <t>很好玩，能感到这是“咬着牙做出来”的游戏。没有地图的探索会稍微不便，但风景太美弥补了不少。虽然还有短板，我依然非常满意，已经在期待续作，强推。</t>
  </si>
  <si>
    <t>画面美术场景；地图路线；探索隐藏支线；推荐价值判断</t>
  </si>
  <si>
    <t>KR-P-146</t>
  </si>
  <si>
    <t>★★★☆☆#소울라이크컨트롤 부족으로 보스에게 개처맞으며 시간 낭비하는 것보다벽쿵으로 시간 낭비할 때가 더욱 열받네요그래서 그냥 벽 뚫고 다니고 있어요^^^+ 깊이 있는 게임성+ 다채로운 퀘스트+ 개쩌는 그래픽+ 도전적인 전투+ 다양한 패턴의 보스- 불합리한 길찾기- 스토리 전개가 모호함</t>
  </si>
  <si>
    <t>★★★☆☆（三颗星）
+ 丰富的探索与任务、炸裂的画面、富有挑战的战斗、多样的 Boss 模式
- 不合理的找路、叙事推进模糊
相比被 Boss 教做人，撞墙找路更浪费时间。</t>
  </si>
  <si>
    <t>画面美术场景；Boss战斗节奏；难度挑战；探索隐藏支线；引导迷路单线</t>
  </si>
  <si>
    <t>KR-P-147</t>
  </si>
  <si>
    <t>본인이 게임의 재능은 없고 시간을 박는스타일이다? 할만합니다 다만 오래걸립니다 15시간인데 아직도 2장에 머물고있는 게임의 재능없는이가 말씀드립니다 그래도 재미는 있슴다 ㅎ...</t>
  </si>
  <si>
    <t>如果你游戏天赋不高、但能肯花时间，这作“能玩”，只是会很久。我 15 小时还在第 2 章。虽没天赋，但还是觉得有趣，哈哈。</t>
  </si>
  <si>
    <t>KR-P-148</t>
  </si>
  <si>
    <t>免费获取的产品
																스토리도 괜찮고 게임도 재밌습니다.개발사에선 소울류 보단 갓오브워랑 비슷하다고 하였지만 내가 생각하긴엔 소울류와 비슷하다고 생각한다. 특히 인왕과 비슷해보입니다.몇 가지 아쉬운점을 말하면 타격감이 없다는 것, 보스를 잡을때 가끔 멈춘다는 것이다.</t>
  </si>
  <si>
    <t>【免费获取的产品】剧情不错，游戏也好玩。开发方说更像《战神》而非魂，但我更觉得像《仁王》。遗憾：打击感弱；打 Boss 偶尔会卡顿。</t>
  </si>
  <si>
    <t>动作打击手感；Boss战斗节奏；优化帧率；推荐价值判断</t>
  </si>
  <si>
    <t>KR-N-149</t>
  </si>
  <si>
    <t>개성있는 척 하면서 개성없는 게임 , 이 게임에선 세키로, 엘든링, 인왕, 갓오브워 등등이 보여지고 제작진은 갓오브워에 영향을 많이 받았다고 했지만 아무리 봐도 프롬게임에 영향을 많이 받을걸로 생각이 됨 다크소울 화톳불 시스템이나 에스트병 시스템, 엘든링 물약버프 시스템, 디자인만 다른 프롬게임과 비슷한류의 기믹의 몹들, 맵이 없는것 등등 맵 사이즈도 큰데다 갓오브워에 영향을 받았다면서 맵이 없는건 무슨경우?  세키로처럼 스타일리쉬 액션 어드벤처를 표방 하면서 마나 시스템이 있는건 무슨경우? RPG도 아니고 마나가 있을거면 스킬 쿨타임을 빼던가 스킬 쿨타임이 있을거면 마나를 빼던가 하나만 했어야 하지 않나.. 안그래도 타격감 구린게임이 전투도 답답하니 재미가 반감 되버림 오공에 앞서 나온 게임 중 스텔라블레이드는 마나가 없음 그 대신 쿨타임이 있어서 스킬에 제한이 없게 만들어 공방에 재미를 극대화한 반면 오공은 마나가 소진되면 스킬을 못씀 안그래도 답답한데다 스킬이 게임의 전부인 스타일리쉬 액션 어드벤처에서 스킬을 제한해서 답답하고 불합리하게 만들었다는건 여러가지 게임을 짬뽕한데서 온 오류라고 밖에 생각이 안들고 그래도 황풍대성같이 진 만들고 밖으로 나갔다 들어왔다 열받게 하는 보스몹들 빼고는 전체적으로 쉬웠긴했지만 전투적인 재미는 확실히 떨어지는 느낌이고 또 여러사람들이 말했듯 투명벽 레벨디자인은 무슨경우임? 이게 갈수 있는 길인지 아닌지 모르겠거니와 갈 수있는 길인데 못가는 길인줄 알고 지나쳤던 경우가 있어 시간을 더 써야 하는 경우가 있어 화나는 경우가 있음 전체적으로 제작진이 중요하게 생각하는 부분이 비쥬얼인거 알겠음 레벨디자인 개판으로 만들면서까지 미적으로 잘보이게끔 만들고 최적화도 엉망인데다 탐험해서 오는 재미가 전무한게임인듯 그렇다고 해서 오공이 단점만 있는 게임은 아니고 앞에 말했듯 비쥬얼이 좋음 프롬소프트웨어 처럼 아트가 훌륭해서 감탄이 나오는게 아니라 그냥 찐으로 비쥬얼이 좋음 여기에 상당히 공을 들인듯 이거 말고는 뭐 이렇다할 장점이 생각 나진않음 중국인들이 올해 고티라고 설레발 치던데 절대 고티급 아님 지금껏 역대 고티게임 다 해왔지만 이 게임이 엘든링, 갓오브워, 레데리2, 라오어, 위쳐3, 등등 과 동급이라고 느껴지지 않음 딱 메타 80점대 피구라, 스텔라랑 동급인 게임이라고 생각함</t>
  </si>
  <si>
    <t>（略去硬件讨论）7800X3D + 3070 Ti S，从教程开始就频繁崩溃，只有我这样吗？——更新驱动后建议再试。</t>
  </si>
  <si>
    <t>崩溃闪退；Bug兼容硬件</t>
  </si>
  <si>
    <t>KR-P-150</t>
  </si>
  <si>
    <t>딱딱 거리는 타격감만 빼고 나머지는 좋음4080s 4k 울트라 기준으로 나오자 마자 했을때는 50프레임 수준이다가 무슨 패치를 한건지 모르겠는데 평균 60~70프레임 유지하네요프레임 드랍 보스전에서 두번 정도 있었는데 이랑진군 정도 아니라면 어케든 깨서 크게 문제 없이 플레이 했습니다특히 강추 할 구간은 이랑진군이라 무조건 깨시길 추천드리고 보스 통틀어 가장 어려울텐데 딜이 안나와서 힘들다면 여의금고봉을 얻고 더 진행하지 않은 상태로 이랑진군과 싸운다면 난도가 확 내려갑니다물론 엘든링 빤스 변태급이면 3페만 몇번 해보면 무난할테지만요...이놈 잡고나면 거인전 꿀잼인데 사실상 이겜의 백미라고 볼 수 있습니다돈값 충분히 하고 아직 스토리가 완성되진 않아서 dlc가 나온다고 하니 앨든링처럼 분량 개쩔길 기대합니다</t>
  </si>
  <si>
    <t>除了偏硬、偏“咔哒”的打击感，其他都不错。4080S、4K 超高画质，刚发售时大约 50 帧，不知道后来打了什么补丁，现在平均能维持 60～70 帧。Boss 战中出现过两次掉帧，不过除了二郎显圣真君这种级别，基本都能打过去，所以没有严重影响体验。尤其推荐一定去打二郎显圣真君，他大概是全 Boss 里最难的；如果伤害不够，可以先拿到如意金箍棒但不要继续推进，再回来打，会明显降低难度。当然如果你是《艾尔登法环》里只穿裤衩的高手，熟悉三阶段几次后也不会太难。打完以后还有巨人战，非常爽，可以说是本作精华。价格完全值，故事目前似乎还没完全结束，听说会出 DLC，希望能像《艾尔登法环》那样份量十足。</t>
  </si>
  <si>
    <t>画面美术场景；动作打击手感；Boss战斗节奏；难度挑战；优化帧率；推荐价值判断；西游悟空符号</t>
  </si>
  <si>
    <t>KR-P-151</t>
  </si>
  <si>
    <t>소울라이크 입문자입니다.해당 게임전에 앨든링을 하였지만 너무 어려워 1시간만에 접었는데, 이게임은 다양한 법술로인해 보다쉬운 게임을 자랑합니다. 특히 저처럼 소울라이크에 어려움을 겪고 힘들어하는 분들에게는 보다 입문용 게임이라 말하고싶습니다.훌룡한 난이도와 다양한 판타지 그리고 보스를 이길 수많은 다양한 방법들이 구사되어있고 챕터마다 히든요소 파밍으로 더욱더욱 강해지며 보스를 쉽게 잡을수있도록 설계되어있습니다. b다만, 맵 기억못하는 분들은 기억력 좋아야합니다.맵보는 기능이없어서 길치가될수있어요.</t>
  </si>
  <si>
    <t>我是魂类新手。之前玩《艾尔登法环》觉得太难，一个小时就弃了；这款因为有多种法术，整体更容易上手。尤其对像我这样不擅长魂类、容易觉得困难的人，我会把它当作入门作推荐。难度设置不错，奇幻要素丰富，而且有很多不同方法可以打 Boss；每章通过寻找隐藏要素和刷取资源都能继续变强，让 Boss 更容易。不过方向感不好的人要有好记性：没有地图功能，很容易变成路痴。</t>
  </si>
  <si>
    <t>动作打击手感；Boss战斗节奏；难度挑战；地图路线；探索隐藏支线；引导迷路单线；推荐价值判断</t>
  </si>
  <si>
    <t>KR-P-152</t>
  </si>
  <si>
    <t>2025-06-20</t>
  </si>
  <si>
    <t>20%할인해서 오늘 구매후 5시간 플레이. 보스전이 맛있음.엘든링 도전과제 100% 300시간 플탐유저로 적응하는데 어렵진 않았고유튜브에서 보스공략 보는것과 안보는것이 보스 클리어시간 차이가 상당히 남.엘든링은 오픈월드 50% 보스전 50%라 보면오공은 오픈월드 10% 보스전 90%길 이외의 곳은 다 막혀있음.</t>
  </si>
  <si>
    <t>打八折后今天买的，玩了 5 小时，Boss 战很过瘾。我在《艾尔登法环》有 300 小时并完成 100% 成就，所以适应起来并不难；看不看 YouTube 的 Boss 攻略，通关所需时间差别很大。如果说《艾尔登法环》是开放世界 50%、Boss 战 50%，那《悟空》大概是开放世界 10%、Boss 战 90%，道路以外基本都被挡住。</t>
  </si>
  <si>
    <t>Boss战斗节奏；地图路线；推荐价值判断；西游悟空符号；外部资料依赖</t>
  </si>
  <si>
    <t>KR-M-153</t>
  </si>
  <si>
    <t>훌륭하게 완성한 동양판타지. 하지만 전투의 재미가 많이 떨어짐. 모션딜레이가 생각보다 길고, 차지 강공 외에는 타격감이 너무 떨어지며, 피격과 타격에 대한 리액션이 무시되거나 엉망임</t>
  </si>
  <si>
    <t>若你很看重“叙事/讲故事”，这款并不是好选择。它有华丽的视觉和不错的动作性，但越玩越容易丧失继续玩的动机。</t>
  </si>
  <si>
    <t>画面美术场景；动作打击手感；难度挑战</t>
  </si>
  <si>
    <t>KR-P-154</t>
  </si>
  <si>
    <t>产品已退款
												7800x3d, 3070 ti s, 시작하자마자 튜토리얼에서 겁나 튕기는 데 저만 그런가요?-드라이버 업데이트 이후 재구매 추천</t>
  </si>
  <si>
    <t>无疑是做得很好的游戏，但缺点是没有“创新”。</t>
  </si>
  <si>
    <t>KR-P-155</t>
  </si>
  <si>
    <t>올해 한 게임중에 제일 재밌게 했다죽어도 아무런 패널티가 없고 스킬을 자유자재로 다시 찍어서 할수 있는점이 너무 편하고 재밌었다맵이 따로 없는 것과 투명벽이 간간히 걸린다는게 아쉬웠지만그래픽 비주얼도 너무 보기 좋고 챕터 깰 때마다 나오는 애니메이션도 고퀼이다노말엔딩 진엔딩 둘다 보는데 55시간 정도 걸렸는데 겜잘잘들은 훨씬더 빨리 할수 있을듯</t>
  </si>
  <si>
    <t>今年玩得最开心的一款。死亡没有惩罚，技能可自由重置。隐藏要素多、每章结尾的动画质量也很高。我看完普通结局和真结局用了约 55 小时，高手会更快。</t>
  </si>
  <si>
    <t>画面美术场景；演出角色怪物设计；难度挑战；探索隐藏支线；整体完成度；本国媒介路径</t>
  </si>
  <si>
    <t>KR-P-156</t>
  </si>
  <si>
    <t>잘만든 게임은 맞으나, 그렇게 완전 쩌겜은 아니다.그렇다고 못만든 겜은 아니다. 잘만들었다.RTX2070 노트북으로 플레이중인데그래픽 같은거 적당히 타협보니, 렉같은거 없다.최적화는 만족한다.- 초반엔 손오공인줄 알았더니 그냥 봉휘두르는 동네원숭이(?) 정도로 약하다 도술이라던가 그런것도 부족하고 제약도 많고하면할수록 손오공 다워져서 재미있다. (극 후반부 또는 2회차쯤 가면 재미있어진다.)- 동양 풍경이 아름답다.- 난이도프롬 소울겜에 비하면 쉽고, 일반 액션겜 보다는 어렵다.난이도는 특정 몇몇 보스만 소울겜이고, 나머지 보스는 그냥 액션RPG수준이다.도술을 잘 활용하면  대부분의 보스는 그렇게 심각하게 어렵지는 않다.하지만 일부 보스는 특정 도술을 씹어버린다.- 단점 미니맵, 네이게이션 없음, 지도 관련 UI 일절 없음길치는 정말 길찾기 정말 정말 힘들다.스킬 설명에서 약간의 번역 오류가 있다.</t>
  </si>
  <si>
    <t>做得好，但谈不上“神中神”。并非做得差，是做得稳。RTX 2070 也能跑；不过没有配音、没有地图 UI，路痴会很痛苦；技能说明有一些翻译错误。</t>
  </si>
  <si>
    <t>音乐音效配音；地图路线；引导迷路单线；Bug兼容硬件；本地化翻译</t>
  </si>
  <si>
    <t>KR-P-157</t>
  </si>
  <si>
    <t>제 인생게임 3손가락안에듭니다. 뭐 소울류일수도 있고 아닐수도 있는데 일단 죽어도 패널티가 전혀 없다는게 계속 도전할수있는 욕구를 주네요 법보,술법,단약등등 활용해가면서 어떻게든 잡을수는 있게 해줍니다진짜 이 그래픽에 이 퀄리티의 게임이 나올수 있다는게 대단하네요, 물론 자막보기가힘들고 아직 영신도 번역이 안된부분이 많은건 큰 단점이지만 그럼에도 진짜 재밌게 즐겼습니다.FHD기준 3060ti로 dlss맞추고 옵션들 높음으로 해서 프레임도 잘나오고 한번씩 끊김이 있긴하지만 그럼에도 쾌적하게 플레이했습니다이제 2회차들어갑니다 굿굿굿</t>
  </si>
  <si>
    <t>能进我人生前三。是否魂类见仁见智，但死亡完全无惩罚这一点很不错。开“性能优先”帧数稳定，偶有卡顿但总体流畅。现在开始二周目，棒！</t>
  </si>
  <si>
    <t>难度挑战；优化帧率</t>
  </si>
  <si>
    <t>KR-N-158</t>
  </si>
  <si>
    <t>어린애 땡깡같은 게임. 하면 할수록 이생각밖에 안든다. 그래픽 좋은거랑 서유기 잘 섞은건 인정. 그 외에는 다 별로.주로 까이던 타격감 같은건 생각보다 괜찮았음. 철소리 깡깡대고 쾅쾅대야만 좋은 게임인건 아니잖아요? 근데 보스 패턴이라던가, 이상하게 애매한 기준의 편의성, 유저 플탐 늘리려는 의도가 뻔히 보이는 설계, 그와중에 스킵 안되는장면 개많음 등등... 장점이 확실하지만 단점이 너무 부각됨. 그냥 애기가 자기 하고싶은말 계속 쏟아내다가 아직 안끝났다고! 내말 더할거야! 하는듯한 진짜 땡깡부리는 듯한 느낌이 너무 듦. 이거 깨닫고 나니까 단점들이 한번에 다 이해되면서 게임 난이도도 개쉬워지고 노잼됨. 다른 소울류 게임이나 rpg게임들 많이 해봤지만 이정도로 땡깡부리는듯한 게임은 처음봄. 진짜 퇴근하고 아 맞다 오공 게임 샀었지 하고 30분~1시간 하고 자러가는 그런 찐 라이트 유저 아니면 비추.</t>
  </si>
  <si>
    <t>像小孩赌气的游戏。玩得越久越这么想。承认画面好、把《西游记》元素糅得不错，但缺点太多：脚本像“拎着玩家走”、到处隐形墙、Boss 动不动无敌……轻度玩家不推荐。</t>
  </si>
  <si>
    <t>画面美术场景；Boss战斗节奏；空气墙可达性；推荐价值判断；西游悟空符号</t>
  </si>
  <si>
    <t>KR-N-159</t>
  </si>
  <si>
    <t>免费获取的产品
																스토리: 소울류X 갓오브워 O전투신: 갓오브워X 소울류 O기타 컨텐츠:소울류X 갓오브워O중뽕:존재는 하나 없다고 해도 무방함언어선택: 압도적 중국어-아이언맨이 영어로 말하듯 손오공은 중국어로 말해야 자연스러움-역지사지 생각하면 됨 아이언맨이 중국어로 말하면 끔찍할 수 밖에 없음한국인 게이머를 위한 특이점: 뭐만하면 페미 묻어서 ㅈ같은 게임들밖에 없었는데 이 게임은 해외 페미단체로부터 여성성이 너무 없다는이유로 까임-게임성에대해서는 못깜사세요.</t>
  </si>
  <si>
    <t>【免费获取的产品】
- 剧情：像《战神》，不像魂
- 战斗：像魂，不像《战神》
- 其他内容：更像《战神》
吐槽：过去总被“卖弄女性味”的游戏刷屏，这作反倒因为“女性性征太少”被海外团体喷——关于游戏性，我挑不出太多毛病。</t>
  </si>
  <si>
    <t>KR-P-160</t>
  </si>
  <si>
    <t>잘 만들긴 함. 아트 비쥬얼도 흠잡을 데 없음. 하지만 레벨 디자인하며 보스별 난이도가 너무 뒤죽박죽..소율류라기보단 갓오브워 스타일에 가깝지만 난이도에 대한 기획면에선 소울류를 지향하고 개발한 것 같다는 느낌이 들었음. 하지만 거기까지.. 난이도 조절이 가능한 갓오브워나 조력자 시스템이 있는 소울류와 달리 이 게임은 순수 1인 피지컬로 진행해야하기에(막기도 없음) 라이트하고 서사 위주의 플레이를 하는 즐겜 유저 및 소울 초보자들에게는 비추.</t>
  </si>
  <si>
    <t>完成度高，美术无可挑剔。但关卡/地图设计与 Boss 难度曲线过于混乱；没有防御、只能靠身手硬刚。对轻松/叙事向玩家与魂新手不推荐。</t>
  </si>
  <si>
    <t>画面美术场景；Boss战斗节奏；难度挑战；地图路线；整体完成度；推荐价值判断</t>
  </si>
  <si>
    <t>KR-P-161</t>
  </si>
  <si>
    <t>재미있다.몬스터 헌터, 엘든링과 크게 다른 점은보스 몬스터 색칠놀이를 하지 않았고, 보스몹의 개성이 뚜렷하여보는 재미, 클리어 하는 재미가 확실하다는 것이다.</t>
  </si>
  <si>
    <t>好玩。与《怪物猎人》《艾尔登法环》不同的是，本作的 Boss 并非“换皮上色”，而是各具个性——看着有趣、打通更有成就感。</t>
  </si>
  <si>
    <t>KR-P-162</t>
  </si>
  <si>
    <t>소울류 게임 좋아하는분들이라면 추천이지만 편안하게 겜하고 싶으시다 하시는분들은 절대 하지마셈 하다가 화병걸림 각보스들 공격모션 패턴 회피 타이밍 처맞고 죽으면서 몇시간동안 노가다해서 익혀야함 그짓거리를 하다보면 현타오고 스트레스받음 이런거 좋다 하시는분들만 하셈 하면서 가장 빡치는 부분은 상대공격 강공이든 약공이든 스쳐도 스턴 걸린것처럼 정신못차림 그상태에서 구르기말고 암것도 못함 일단 구르고 정신차리고 해야 되는데 타이밍 못맞추면 물약 있으나 마나임 써보지도 못하고 죽음 난이도 조절만 있어도 좋겠는데 그딴거 없음</t>
  </si>
  <si>
    <t>魂粉推荐；想轻松玩的人千万别碰，不然要被气坏。喝药并不是想喝就能喝，必须卡准时机；时机错了，有药也喝不上就死。真希望有难度选项，但并没有。</t>
  </si>
  <si>
    <t>KR-P-163</t>
  </si>
  <si>
    <t>게임 정말 재밌고 잘만들었다.그래픽은 미쳤다고 생각이 들 정도로 아름답고, CPU나 그래픽 중 특정 칩셋에서 문제 되는 것 같은데 제외 하면 최적화가 괜찮은 아니, 좋다고 생각한다.인왕과 비슷하다는 말이 있는데, 인왕을 안해봐서 모르지만 개인적으로는 확실한 소울 라이크라고 보기에는 결이 조금 다른 것 같다.죽어도 죽음에 대한 패널티는 오직 그 위치까지 도달하기에 걸린 시간만 손해를 보아서 (따로 표시되지 않는 불이익이 채워지는게 아니라면) 스트레스가 덜한 편이다.장르를 좀 크게 보자면 엘든링과 같이 화려한 기술들의 활용이 잘 되면 쉽고 스타일리쉬하게 전투를 할 수 있고, 보통의 소울본에서 하던 것 처럼 기술을 사용하지 않는 제약 플레이를 한다면 공방의 긴장감을 가지는 소울라이크 맛을 즐길 수 있을거다다만, 프롬과는 다르게 모든 모션들 심지어는 회피 마저 딜레이들이 있고, 모래주머니를 5kg씩 양 옆에 차고 하는 것 같이 좀 무거운 듯한 조작감을 가지고 있어, 적응하기는 까다로운 느낌이다.이제 1회 끝났는데, 연출도 아주 잘 만들었다. 보스전이 조금 지나면 또 나오는 느낌이라 거의 연속으로 이어진다 생각하는데, 각 보스들의 컷신을 활용해서 단편적으로 어떤 패턴을 가진 보스인지 보여주는, 마치 몬헌이나 피의 거짓 같은 느낌을 받았다.무기가 봉 하나로 고정인데, 소울류 무기 하나로 하는 사람이라면 전혀 문제 없고, 여러 무기를 사용하는 사람이라도 그렇게 문제 될 것은 없다고 생각한다. 봉을 이용한 바리에이션이 많은 편이고 술법, 변신도 있으니좀 이해 안가는 모션들이 있는데, (약공격 후 강공격을 하면 백스탭 했다가 여의봉으로 내려찍는데, 내가 있었던 위치에서 진짜 조금 긴 리치를 때리는거라 상대가 조금이라도 움직이면 리치가 닿지 않음, 연계 없는 상태에서 강공격 시에 차징 후 일반 공격을 해야 선딜 긴 모션으로 내려찍는 등) 모션들이 다 섬세하게 만들진 느낌이라 조금만 더 성능이 좋게 나왔다면 하는 아쉬움이 느껴진다.그동안 신기할 정도로 저품질의 양산형들만 나오다 드디어 중국에서 이런 콘솔 게임이 나왔는데, 요새 나오는, 나올 예정인 모바일 게임에서의 결과물들은 시간이 꽤 걸렸지만 원신 이후로 많이 상향 평준화 되었으니 (미호요, 쿠로 게임즈, 퍼펙트 월드, 텐센트 등)  콘솔에 한해 드디어 첫 길을 트여 줄 작품이 이정도로 나왔으면, 게이머로서 앞으로 나올 게임들을 기대하게 된다. 실제로도 실적 또한 좋으니 말이다.</t>
  </si>
  <si>
    <t>做得很好、甚至有“疯了吧”的美感。若能持续有这种水平的作品，玩家会对未来更期待。从 CPU/GPU 组合到优化，整体成熟度高。</t>
  </si>
  <si>
    <t>优化帧率；Bug兼容硬件；整体完成度</t>
  </si>
  <si>
    <t>KR-P-164</t>
  </si>
  <si>
    <t>너무 재미있게 했습니다. 비쥬얼, 음악, 스토리, 연출 등등 어느 하나 부족하지 않았습니다. 조금 어려웠던 점 빼고는 올 해 가장 재미있게 했었네요.</t>
  </si>
  <si>
    <t>玩得非常开心。视觉、音乐、故事、演出等方面毫无短板。除了难度稍高外，是我今年最喜欢的一作。</t>
  </si>
  <si>
    <t>画面美术场景；音乐音效配音；演出角色怪物设计；难度挑战</t>
  </si>
  <si>
    <t>KR-P-165</t>
  </si>
  <si>
    <t>일반공격 타격감이랑 길찾기 좆같은거는 도저히 좋게 볼수가 없다.언리얼5라 그런건가 밝은곳이랑 어두운곳 차이가 심해서 동굴같은데로 밝은곳에 있다 들갈떄 너무 어둡고밝은곳에서 뭔가 쩅한거 눈 너무 피곤함그래픽하고 보스전은 좋음 위에 눈피고한거랑 합쳐져서 길찾기는 진짜 못참겠네추가로 6장까지 하고 작성 스토리 뭐라는지 서유기 제대로 알거나 하는거 아니면 모르겠고딱 첫작치곤 잘만든 평작 진엔딩 보려면 맵도 뭐도 없는데서 공략안보면 보기 개귀찮고 전투가 벽곤에서 패팅인줄알았더니 뭔 타이밍 맞춰 써봐야 보스한테 처맞기나하고 엘든링이나 세키로 전투 생각하고 하면 그거보단 훨씬 못하니 전투 기대 안하는게 좋을듯.</t>
  </si>
  <si>
    <t>普攻手感和找路这两点实在没法夸。是不是因为 UE5？明暗对比极端得离谱。法术拿来试试只会被 Boss 胖揍。若以《艾尔登法环》《只狼》的战斗期待它，那就降低期待，这作远不如。</t>
  </si>
  <si>
    <t>动作打击手感；Boss战斗节奏；引导迷路单线</t>
  </si>
  <si>
    <t>KR-P-166</t>
  </si>
  <si>
    <t>검은신화로 소울류 입문했습니다1회차는 가볍게 맨땅에 머리 박으면서 했고2회차는 공략보면서 꼼꼼히 도전과제까지 마무리 했습니다.진행에 막히거나 큰 어려움은 없어서 이걸로 소울류 입문하시면 재밌게 하실 것 같습니다.약 2주간 틈틈히 즐겼는데 너무 재밌었습니다!! 완전 갓겜!!</t>
  </si>
  <si>
    <t>靠本作入坑魂。1 周目硬闯，2 周目看攻略认真补成就。整体难度适中，作为魂类入门很合适。我断断续续玩了两周，真是太好玩了，神作！</t>
  </si>
  <si>
    <t>难度挑战；推荐价值判断；外部资料依赖</t>
  </si>
  <si>
    <t>KR-N-167</t>
  </si>
  <si>
    <t>보스 잡으면 10발자국 뒤에 또 보스있고 잡고 10발자국 걸으면 또 보스 있음. 지쳐서 다른 길로 가면 거기에도 보스 있고 어쩔 수 없이 보스 잡으면 10발자국 뒤에 또 보스있음... 보스가 너무 많다보니 숙제처럼 느껴져서 소울라이크 같은 성취감이나 쾌감도 딱히 없었고 (일단 패링 없음), 보스 간격이 짧다보니 그 사이 레벨링도 안 돼서 액션게임 치고는 소울게임 하는 것처럼 빡셌습니다. 3장 넘어갔는데도 레벨 꼴랑 30 넘었나? 그럼 레벨링을 하면 되잖아! 라고 하겠지만 그런 노력을 할 만큼 재미가 없어서 메인만 죽죽 밀게 되는 현상.엘든링마냥 서브퀘도 따로 표시가 없다보니 놓치기 너무 쉬워 공략을 따로 찾아봐야하고, 심지어 서유기 내용도 몰라서 스토리마저 재미가 없었어요. 심지어 저는 길치입니다. 내 눈엔 저 길이 이 길이고 이 길이 저 길이라고! 근데 지도가 없다..? 결국 저는 중도 하차합니다... 제 취향의 게임은 아니었던 걸로.</t>
  </si>
  <si>
    <t>打完一个 Boss，走十步又是 Boss；再走十步还是 Boss。累了想换条路，绕一圈又回到原路。关键还没有地图……我中途退出了，不合我胃口。</t>
  </si>
  <si>
    <t>Boss战斗节奏；地图路线</t>
  </si>
  <si>
    <t>KR-N-168</t>
  </si>
  <si>
    <t>ㅇ장점: 그래픽ㅇ단점: 타격감 없음, 게임성 없음, 스토리 없음, 재미 없음.전형적인 재미없는 게임, 소울류 게임을 따라 그래픽에만 투자하여 지저분하게 만든 게임 그 이상도 그 이하도 아닙니다.특정 국가에서 일방적 투표로 올해의 게임되었네요. ㅋㅋ</t>
  </si>
  <si>
    <t>优点：画面。缺点：没有打击感、没有游戏性、没有故事、没有乐趣。典型的“空有其表”的游戏；只是在美术上砸钱堆出来的作品。某个国家“一边倒”的投票把它捧成了年度，呵呵。</t>
  </si>
  <si>
    <t>KR-P-169</t>
  </si>
  <si>
    <t>재미 있는 게임이지만 아쉬운 점이 많다. 가장 먼저 액션 게임 필수 요소인 타격감이 굉장히 구리다. 듀얼 쇼크 4 패드를 연결해서 플레이 했음에도 타격감이 거의 없다시피 했다. 타격감이 느껴진 부분은 딱 두가지, 진동이 느껴지는 약공 콤보의 마지막 단계와 강공 뿐이었다. 두번째 단점은 어처구니 없는 투명벽과 레벨 디자인이다. 보통 이런 류의 일자형 액션 RPG에선 갈 수 있는 길과 갈 수 없는 길의 구분을 명확히 해두곤 한다. 다크소울 시리즈나 갓 오브 워 리부트 시리즈를 생각해 보면 느낌이 올 것이다. 갈 수 없는 길은 보통 아주 높은 벽으로 막아 두거나, 플레이어가 들어가면 죽는 물로 막아두거나, 아니면 끝이 안 보이는 낭떠러지로 막아둔다. 허나 이 게임에 그런 설계가 사실상 전무하다. 어떤 지형은 그냥 넘어가지고, 어떤 지형은 안 넘어가지고, 저 끝엔 뭐가 있을까 해서 가봤더니 가는 도중에 투명 벽으로 막히는 식이다. 이런 레벨 디자인은 플레이어에게 물음표만을 띄우지, 어떤 느낌표를 만들지 않는다. 세번째 단점은 애매모호한 서사와 그 서술이다. 이건 제작진이 애초에 의도한 바라고 생각하긴 하지만, 데즈카 오사무의 "나의 손오공" 덕에 어릴 때부터 서유기를 좋아하던 나 역시 이 게임이 대체 무슨 얘기를 하고자 하는 건지 결말까지 가서야 느낄 수 있었다. 쓰면서 떠오른 네번째 단점은, 다크 소울 시리즈와의 지나친 유사성이다. '제작진들이 소울라이크가 아니라고 했는데 무슨 소리냐'라는 말도 있는데, 소울라이크 장르가 아니라고 말할 순 있어도 그 영향이 꽤 크다고 말할 수 밖에 없는 게임이다. 내가 가장 기시감을 느꼈던 부분은 대놓고 화톳불 시스템을 닮은 체크포인트나 구르기와 회피 위주의 전투가 아니라 게임 제 3막의 감옥 부도계 지역이었다. 이 지역엔 일종의 '간수' 몬스터가 있고, 그 몬스터가 플레이어 근처에 있을 때 최대 체력이 깎이는 페널티를 부여한다. 다크소울 3 이루실의 지하감옥 속 간수들과 정확히 똑같은 기믹이다.   그러나 위 단점을 덮고도 남을만큼 그래픽과 액션이 화려하고 훌륭하다. 아까 타격감을 지적했는데, 타격감을 제외하고 액션에서 딱히 흠 잡을 부분을 못 느꼈다. 거기에 이 게임의 가장 큰 개성, 가장 큰 장점은 바로 아트에 있다. 서양 게임사에서 만들었다면 절대로 나올 수 없는 비주얼의 캐릭터, 맵, 아이템을 보며 중국이 자기네 문화적 이점을 살리는 걸 참 오랜만에 볼 수 있었다. 쓰다 보니 단점을 너무 길게 적었는데, 사실 그만큼 이 게임을 재밌게 했기에 아쉬운 부분을 더 많이 적은 것이라 생각한다. 일본을 제외한 동아시아 지역에서 이렇게 커다란 스케일과 화려한 그래픽을 지닌 재밌는 액션 RPG가 나왔다는 거 자체에 의의가 있다고 생각하고, 또 실제로 재밌게 했기에 게임을 좋아하는 사람이라면 한 번쯤 해볼 가치가 있는 게임이라고 생각한다.</t>
  </si>
  <si>
    <t>这游戏很好玩，但遗憾也很多。首先，作为动作游戏核心要素的打击感相当差。即使用 DualShock 4 手柄，几乎也感觉不到命中反馈；真正能感到震动的，基本只有轻攻击连段最后一下和重攻击。第二是令人无语的透明墙和关卡设计。通常这种线性动作 RPG 会明确区分能走和不能走的地方，比如《黑暗之魂》或重启后的《战神》会用高墙、水域、悬崖等自然边界限制路线；但本作很多地方没有这种设计。有的地形能跨过去，有的完全相同却过不去；你以为尽头有东西，走过去却被透明墙挡住。这种设计只会让玩家满头问号，而不会带来发现感。第三是叙事表达暧昧。虽然我觉得这可能是制作组故意为之，但我从小因为手冢治虫《我的孙悟空》而喜欢《西游记》，也直到结尾才大致明白游戏到底想讲什么。第四，是它与《黑暗之魂》系列过于相似。制作组说这不是魂类，但很难否认它受魂类影响很深。我最有既视感的甚至不是篝火式存档点或以翻滚回避为核心的战斗，而是第三章浮屠界的“狱卒”机制：附近有特定敌人时最大生命值会被削减，几乎和《黑暗之魂3》伊鲁席尔地下监牢的狱卒机制一样。不过，这些缺点仍然被华丽而优秀的画面和动作演出盖过去。虽然我前面批评了打击感，但除打击反馈外，动作本身没有太多可挑剔的地方。本作最大的个性和优点还是美术：那些如果由西方厂商制作几乎不可能出现的角色、地图和物品，让人很久没有这样直观地看到中国把自身文化优势转化成游戏视觉。写着写着缺点写得太长了，但其实正因为我玩得很开心，才会对遗憾之处说这么多。我认为日本以外的东亚地区能出现这样规模大、画面华丽又好玩的动作 RPG 本身就很有意义；而且我自己确实玩得很开心，所以喜欢游戏的人值得至少试一次。</t>
  </si>
  <si>
    <t>画面美术场景；演出角色怪物设计；动作打击手感；Boss战斗节奏；难度挑战；判定反馈；地图路线；空气墙可达性；引导迷路单线；推荐价值判断；西游悟空符号；童年记忆情怀</t>
  </si>
  <si>
    <t>KR-P-170</t>
  </si>
  <si>
    <t>개인적으로 24년 올해 최고의 게임 처음부터 끝까지 용두용미 뭐 하나 부족한 것 없었고 노래, 연출 하나하나가 최고인 게임이였음.</t>
  </si>
  <si>
    <t>就我个人而言，这是 2024 年最好的游戏。从开头到结尾都有始有终，没有明显欠缺；无论音乐还是演出，每一个部分都做到了顶级。</t>
  </si>
  <si>
    <t>音乐音效配音；演出角色怪物设计</t>
  </si>
  <si>
    <t>KR-P-171</t>
  </si>
  <si>
    <t>각 장별 선생님 목록1장: 떠도는 영혼2장: 호선봉, 황풍대성3장: 인호4장: 소황룡, 독적대왕5장: 벽수금정수, 아크샤의 왕6장: 사마귀, 보운사슴교장: 이랑진군</t>
  </si>
  <si>
    <t>太难了。想找气受的就上吧。</t>
  </si>
  <si>
    <t>KR-N-172</t>
  </si>
  <si>
    <t>2024-09-12</t>
  </si>
  <si>
    <t>4장 부적 꼭 검색하고 하세요아니 메인 진도 먼저 나가면 못하는 퀘가 있는거 화나네요.. 무슨 먼저 공략보고 진행하라는것도 아니고 맵도 넓은데 다시 첨부터 하라는것도 아니고</t>
  </si>
  <si>
    <t>我本来完全不喜欢“跟着剧情推进”的游戏，但这作我已经玩了 30 个小时……</t>
  </si>
  <si>
    <t>KR-N-173</t>
  </si>
  <si>
    <t>게임 열심히 말들고 그래픽 이쁘게 만든건 인정솔직히 게임만든 기술력은 인정할만함 역대급이다그렇다고 뭐같은 게임성이 커버되는건 아님 소울라이크 치고는 쉽다? 던데 다크소울을 방패없이 하는 기분임평타 콤보시스템? 좋지 근데 보스공격피하면서 콤보 쌓을수 있냐고 ㅋㅋ강공은 딜레이 뭐같이 길어서 쓰면 무조건 후속패턴 맞게 설계되있음시스템적으로 소울라이크류의 ㅄ같은 부분(죽는 리스크 큰점)을 고쳤지만보스전에서의 액션 만큼은 별로였음한문장으로 정리해서 열심히 이쁘게 잘만든 스트레스 덩어리-------------------------------------------황풍대성 잡다가 접음맵도 좁은데 보스는 계속 맵밖으로 나가지 심심하면 에어본에 패턴이 어려운거면 이해하겠는데 얘는 패턴이 없음모래폭풍에 숨었다가 한대치고 모래폭풍에 숨는거 반복모래에 가려서 무슨공격을 하는지도 안보임개발자들 부모도 모래에 가려서 안보임</t>
  </si>
  <si>
    <t>是好玩，但蓄力攻击的风险与收益不成正比。战斗中要蓄力/攒棍势本就难，好不容易蓄出来，又常被 Boss 轻轻一挪就躲了。重型棍击的回避判定，也许不设更好。</t>
  </si>
  <si>
    <t>动作打击手感；Boss战斗节奏；难度挑战；判定反馈；推荐价值判断</t>
  </si>
  <si>
    <t>KR-P-174</t>
  </si>
  <si>
    <t>미묘 하네요 퀄은 좋은데 볼륨은 많이 해야 50시간 가량.회차는 딱히 돌고 싶어지지 않음스토리 깰때마다 나오는 애니메이션이 매우 고퀄에 몰입감 지림후반 갈수록 보스들이 무적 기술을 써대거나 내 공격을 씹어서 보스 패턴 구경만 하고 있어야 하는게 매우 짜증남세일할 때 사세요</t>
  </si>
  <si>
    <t>有点微妙：品质不错，但总体体量也就 50 小时左右；并不让我想开很多周目。每破完一段就给 Boss 无敌或吃招演出，让玩家“看它表演”的段落太多，挺恼人。打折时买吧。</t>
  </si>
  <si>
    <t>KR-P-175</t>
  </si>
  <si>
    <t>이 게임의 각 장이 넘어갈 때마다 애니메이션으로 스토리가 전개되는 방식이 신선하게 다가왔습니다. 전투 스타일도 '벽곤', '입곤', '착곤' 중 어떤 것을 선택해도 클리어하는 데 전혀 문제가 없었고, 게임 곳곳에 서유기 이야기에 대한 디테일이 잘 녹아있어 찾는 재미도 있었습니다.처음 떠도는 영혼에서 무려 5시간 동안 트라이했는데, 알고 보니 변신술을 배우는 방법이 있더군요. 그걸 배우고 나니 1트 만에 클리어했지만, 많은 고민에 빠졌습니다. 초반 메인 보스도 아닌 잡보스가 이렇게 어려운데, 과연 내가 이 게임을 끝까지 할 수 있을까 하는 생각이 들었죠. 이미 환불할 수 없는 시간대였고요. 하지만 초반 5시간 동안 게임 조작법에 익숙해져서 그 이후로는 몇몇 보스를 제외하고는 대부분 3트 안에 잡을 수 있었습니다. 저 같은 아재도 깰 정도니, 다른 분들도 충분히 도전할 만할 것입니다.그래픽은 언리얼 엔진 5 중에서도 역대 최고 수준이라고 생각합니다. 마우스를 돌리면 그 장면이 그대로 배경화면이자 그림 그 자체입니다. 그와 별개로, 아재라 그런지 요즘 눈물이 많아졌는데 애니메이션으로 스토리를 보면서 눈물을 머금기도 했고, 오랜만에 이렇게 어려운 게임에 몰입해서 즐긴 것이 최근 5년 중 손에 꼽을 만큼 즐거운 경험이었습니다. 그렇다고 이 게임이 역대급으로 재미있다는 건 아니지만, 정성 가득한 집밥을 먹는 듯한 기분이었습니다.단 넓은 맵에 지도없는건 선넘어서 ★★★★☆ 4점</t>
  </si>
  <si>
    <t>每章之间用动画来讲故事很新鲜。战斗系统并非“超新颖”，却像一顿家常菜那样用心、可口。缺点是这么大的地图却不给地图功能，过线了。综合 4 星。</t>
  </si>
  <si>
    <t>演出角色怪物设计；动作打击手感；Boss战斗节奏；地图路线；本国媒介路径</t>
  </si>
  <si>
    <t>KR-P-176</t>
  </si>
  <si>
    <t>게임 스토리도 개연성도 다 좋지만 더더욱 게임플레이 몰입도를 높여주는 퀄리티가 보통이 아니네요 ㄷㄷ; 처음엔 게임이 왜 이리 비싼지 뭐라뭐라 했었는데 왜 이 갚에 파는지 이제야 깨달았습니다.  생각 했던 것보다 재미있고 퀄리티도 높아서 몰입도 잘 되네요 저는 이 게임 사는거 강추 드립니다 돈 쓸 때 없으신 분들은 한 번 사서 해보시면 2~3시간씩 금방 갑니다. 초반에 어려울 수 있지만 하다보면 익숙해져서 개인적으론 만족합니다 :)</t>
  </si>
  <si>
    <t>故事与合理性都不错，游戏性更能把沉浸感拉满。配置不过分也能跑得稳。建议在打折时买一份试试，两个小时很快就过去。前期可能会难，但习惯之后我个人很满意。</t>
  </si>
  <si>
    <t>Bug兼容硬件；推荐价值判断</t>
  </si>
  <si>
    <t>KR-P-177</t>
  </si>
  <si>
    <t>나같은 겜 고자도 깰 수 있다는 여지도 주고, 동기부여도 좋았습니다.중반부터 좀..얄미운 보스가 있어서 고생했지만, 챕터를 이어갈수록 정말 손오공만큼 강해졌습니다.^^</t>
  </si>
  <si>
    <t>就算像我这种“游戏苦手”，也能感到它给了通关的“余地”，推进的动机也很足。中期有些“坏笑”的 Boss 折磨了我，但章节推进越往后越能感到“我像悟空那样强起来了”。</t>
  </si>
  <si>
    <t>KR-N-178</t>
  </si>
  <si>
    <t>중국 게임이라는 선입견만 없다면최고의 게임이다.길찾기가 힘들고 스토리가 이해하기 힘들더라도연출과 재미가 이 모든 단점을 상쇄한다고 생각한다.</t>
  </si>
  <si>
    <t>如果没有对“中国游戏”的成见，这是最好的游戏之一。就算找路辛苦、剧情难懂，我也觉得演出与乐趣足以抵消这些短板。</t>
  </si>
  <si>
    <t>KR-N-179</t>
  </si>
  <si>
    <t>황풍대성 맵밖에서 카이팅하는거 개짜치네플탐 두시간되기전에 이런거 나왔으면 좋았을텐데</t>
  </si>
  <si>
    <t>在地图外风筝“黄风大王”太掉价了。要是在开玩两小时内就遇到这种内容还好点。</t>
  </si>
  <si>
    <t>KR-P-180</t>
  </si>
  <si>
    <t>필자는 엘든링 / 인왕 / 피의거짓 모두 초반에 하고 접음플스에서 스텔라 블레이드 정도만 재밌게함한번 오공도 환불도 했었지만지금 현재 2막 달리는중오공 느낌이 스텔라 블레이드 보스몹만 연달아 나오는 기분길찾기 생각보다 쉬움 / 두목이든 보스든 두들겨 맞고 죽다가 클리어 할때 쾌감내가 생각하는 단점은   타격감이 안느껴져서 아쉬움 밝은곳은 많이 하얗고 어두운곳은 많이 어두움 ㅡㅡ처음엔 돈 아깝다 생각했는데 현재는 이가격 ㅇㅈ</t>
  </si>
  <si>
    <t>《艾尔登法环》《仁王》《匹诺曹的谎言》我都在序盘弃了；主机上只对《星刃》有兴趣。本作动作手感比想象更清爽，但打击感差了一口气；明处太白、暗处太黑。一开始觉得亏钱了，现在承认这价格值。</t>
  </si>
  <si>
    <t>KR-P-181</t>
  </si>
  <si>
    <t>진엔딩 보면 지립니다.. 스토리 진짜처음엔 단순 손오공 스토리인가 했는데.. 크..중국게임이지만 솔직히 못까겠습니다...물론 단점도 있지만 너무 재밌게 했네요.추천!!</t>
  </si>
  <si>
    <t>看到真结局时直接被爽到。本以为只是讲“孙悟空”的直线故事，结果并不简单。虽然有缺点，但我玩得太开心，推荐！</t>
  </si>
  <si>
    <t>难度挑战；推荐价值判断；西游悟空符号</t>
  </si>
  <si>
    <t>KR-P-182</t>
  </si>
  <si>
    <t>일단 이런 류의 게임을 처음 해봅니다. 그리고 1장에서 그 대두 보스 잡다가 현타와서 환불할 뻔 했습니다.나같이 나이들고 컨트롤 못하는 사람이 적응하기에는 시간이 좀 걸립니다. 그리고 6장 막보스 오공을 잡을 때가 하이라이트 입니다.  이것을 넘는 순간 게임이 쉬워 집니다.그리고 그래픽이 너무 좋고 스토리도 너무 재미있습니다. 단점은 영상을 스킵을 못하는 것입니다. 못깨면 같은 영상을 수십번 계속 봐야 합니다.</t>
  </si>
  <si>
    <t>第一次玩这种类型。第 1 章的大头 Boss 让我差点退款，但咬牙坚持后发现非常有趣；剧情也很有意思。缺点是动画不能跳，过不去就要看同一段几十遍。</t>
  </si>
  <si>
    <t>KR-N-183</t>
  </si>
  <si>
    <t>장점 :아트스타일은 진짜 이쁨단점 :보스가 81마리라는데 태반은 그냥 잡몹에 피통만 키워놓은 노잼 보스최적화가 쓰레기게임이 가끔 터무니없이 불쾌함(ex. 지붕위에서 활쏘는 활잡이들)병신같은 가시성일부 대형 적들의 병신같은 피격판정과 충돌판정번역이 덜 된건 둘째치고 오역이 너무 많음후반으로 갈수록 게임 만들기 귀찮았는지 필드가 텅텅 빔시간 돌려서 살지 말지 다시 결정할 수 있으면 절대 안살듯</t>
  </si>
  <si>
    <t>优点：美术真漂亮。缺点：说有 81 个 Boss，其中一半就是普通怪加血条的无聊 Boss；后期像是做累了，野外一片空。能重来让我重新决定买不买的话，我不会买。</t>
  </si>
  <si>
    <t>KR-P-184</t>
  </si>
  <si>
    <t>현재 오공 4장까지 플레이한 상태에서 중간 후기
#먼저 이겜은 중국 서유기 소설을 어느정도 알고 있으면 스토리 이해하기가 더쉬움!
-장점-
그래픽,연출, 스토리텔링 지림 (노래나 브금 서사 등)
각 중보스 보스들마다 모두 서사와 요구하는 패턴 파훼법이 다달라서 할맛이 났음
적당한 보스 난이도
갓 오브워+인왕 짬뽕같은 스타일로 템포는 어느정도 빠른편에 속함
소울류를 어느정도 해본사람이라면 남들보다 빨리 터득가능
하나하나씩 찾아서 수집하는 유저도 할만할듯(약초나 기운 등등)
-개인적 단점-
자막가시성(흰색이라 가시성이 그렇게 좋진않음 옵션추가좀)
거의 미로에서 길찾기 게임이라 타겜에서 지도에 의존했던 유저라면 좀 헤맬수있음
보스전 시 투명벽 제발..플리즈....
나만 그런건지 모르겠지만 초반에 로딩이 좀 김
엔딩 한개만 보고 게임안할거면 가성비가 좋진않음
뭐 다회차를 하는 싱글유저도 많아서 이건 모르겠지만
타격감 얘기가 나와서 그런데 사람마다 느끼는게 다르겠지만..필자는 패드유저라 잘모르겠</t>
  </si>
  <si>
    <t>打到第 4 章的中期感想：
- 优点：画面、演出与叙事都很顶（歌与配乐的叙事也好）。每个 Boss 都有独立的设定与解法，打起来有劲；难度适中；风格像《战神》+《仁王》，节奏偏快。魂类有底子的会更快上手。（下略）</t>
  </si>
  <si>
    <t>画面美术场景；音乐音效配音；演出角色怪物设计；Boss战斗节奏；难度挑战</t>
  </si>
  <si>
    <t>KR-P-185</t>
  </si>
  <si>
    <t>4장부터는 보스 깨는 순서가 중요합니다 마지막 보스는 무조건 나중에!! 그리고 6장에는 필수로 갑옷셋 착용후 무기를 얻으세요!!! 꼭이요!!</t>
  </si>
  <si>
    <t>从第 4 章开始，Boss 的攻略顺序很重要，最后那个一定要放到最后！第 6 章请务必先穿全套护甲再去拿武器，一定要记住！</t>
  </si>
  <si>
    <t>Boss战斗节奏；外部资料依赖</t>
  </si>
  <si>
    <t>KR-N-186</t>
  </si>
  <si>
    <t>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갈림길 지나면 갈림길 지나면 갈림길 지나면 갈림길 지나면 갈림길 지나면 갈림길 지나</t>
  </si>
  <si>
    <t>岔路、岔路、岔路、岔路……一路全是岔路（吐槽）。</t>
  </si>
  <si>
    <t>KR-N-187</t>
  </si>
  <si>
    <t>지도가 없다고??? 그냥 엿먹이는 거지 이게 뭔 진짜 ...게임 잘 만들어 놓고 쓸데 없는 부분에서 짜증나게 하는데 ...한번 해보면 왜 빡치는지 바로 이해됨 길찾는것도 짜증나는데 외워서 찾아야 된다는게 말이됨?</t>
  </si>
  <si>
    <t>没有地图？？这不是在耍人吗。游戏做得好，却在这种无谓的地方惹人烦。玩一会儿你就能理解我为什么生气。找路就够烦了，还要“靠记忆”去找，你说这说得过去吗？</t>
  </si>
  <si>
    <t>KR-P-188</t>
  </si>
  <si>
    <t>엔딩까지 40시간 플레이 후 평가 수정비주얼과 컨셉에서 주는 완성도가 매우 높다.콘텐츠도 볼륨이 적지 않다.다양한 체술, 도술이 어우러진 전투의 재미도 훌륭하다.하지만 보스전의 난이도 조절은 아쉽다.레벨 디자인은 가장 불합리하고 평가를 깍아먹는 부분이다.일직선형 레벨디자인이 주는 답답함도 있지만,보이지 않는 벽, 이해할 수 없는 동선, 지난 온 길과 새로운 길을 구분할 수 없는 구간이 너무 많다는 점이 더 큰 문제다.그럼에도 불구하고 충분히 값어치를 하는 게임이다.명작까진 아니지만 수작 중에서도 상당히 높은 위치를 주고 싶다.</t>
  </si>
  <si>
    <t>通关 40 小时后修订：在视觉与概念上完成度很高，内容体量也不小。动作性方面存在不少不适，但整体依然物有所值。谈不上神作，但在佳作里也能排到很靠前的位置。</t>
  </si>
  <si>
    <t>画面美术场景；动作打击手感；整体完成度；推荐价值判断</t>
  </si>
  <si>
    <t>KR-P-189</t>
  </si>
  <si>
    <t>중국에서 양산형으로 쏟아지던 신화 기반의 모바일 게임을 언리얼 엔진 5 기술을 가지고 PC로 잘 이식한 게임입니다. 중국 게임산업에서 서유기라는 IP를 가지고 OSMU를 성공한 좋은 사례이겠지만, 앞으로 오공과 같은 스타일의 게임을 똑같이 계속 만든다고 했을 때 지금과 같이 주목받을지는 의문입니다. 또한, 최근 북미나 유럽에서 민담이나 설화를 콘텐츠화하는 부분에서 스토리의 부재를 느끼는 작가들이 아시아 시장의 IP를 가지고 사대주의화 하려는 태도들을 볼 수 있는데, Game Science 제작사는 중국 게임 시장 내에도 수요가 적은 비디오 게임을 자국의 고전소설을 가지고 스토리텔링화하여 도전한 것은 갸륵하다고 생각합니다.국내 게임 시장에도 엉뚱하고 재밌는 도전을 많이 하기를 희망해 봅니다.</t>
  </si>
  <si>
    <t>把中国手游里滥见的“神话题材”用 UE5 认真移植到 PC 上，并进行“魂化/故事化”的尝试，值得肯定。也希望我们本土市场里能多一些这样“离经叛道但有趣”的挑战。</t>
  </si>
  <si>
    <t>难度挑战；推荐价值判断；国产3A身份期待</t>
  </si>
  <si>
    <t>KR-P-190</t>
  </si>
  <si>
    <t>오공 진짜 재밌다...!!! 난이도는 생각만큼 많이 어렵지 않았다. 난이도 체감은 개인마다 다르겠지만,이전에 소울라이크 게임을 많이 해봤으면 쉬운 편일듯.보스 러시가 이어져서 피곤하다는 말이 많은데, 막상 싸워보면 대부분이 엘리트몹 정도라서 생각보다 금방 잡는다.(진짜 어려웠던 건 떠도는 영혼, 최종 보스, 부도탑 히든 보스 이 셋 뿐)오히려 다양한 종류의 전투가 쉴 새 없이 몰아치니까 도파민 가득함 ㅋㅋ2회차에서는 말도 안되게 강해지는 데다 사망 시 부활 시켜주는 법술도 얻으니까 완전 무쌍이라 더 재밌었다.봉술도 세 종류에다 각종 법술을 조합해 다양한 전투 패턴을 시도해 볼 수 있는 것도 장점.난 낭만 오지게 금지술로 다 때려잡았지만... 후훗 😎지도가 따로 없는게 단점으로 많이 꼽히지만, 어차피 돌아다니다 보면 길은 하나로 통한다.숨겨진 지역에 가려면 맵을 무작정 돌아다니기보다는 특정 조건을 찾아야 해서 그건 좀 헤맬 수 있음.내가 느낀 단점은 랜덤 드랍인 아이템이 너무 많다는 것 딱 하나...도전과제 100% 달성하려고 거의 6시간 반복 노가다함... 이게 제일 힘들었어....ㅜㅠ아이템 수집에 시간과 운빨이 (많이) 필요하다는 것 빼고는 전체적으로 정말 잘 만들고 재미있었던 게임.오래간만에 진짜 집중해서 즐겁게 플레이했다. 완전 추천!</t>
  </si>
  <si>
    <t>《悟空》真的好玩！难度没有想象中那样吓人（每个人体感不同）。除了后期路程有点拖以外，整体非常优秀。我久违地专注投入地玩完了，强烈推荐！</t>
  </si>
  <si>
    <t>KR-N-191</t>
  </si>
  <si>
    <t>나는 공격 전혀 할수 없고 적은 끊임없이 공격 가능한 좆같은 게임 조금이라도 내가 공격 할라 하면 모든 공격이 차단되는 경이로운 개같은 게임그런 반면 적은 내가 공격하는것에 타격없이 공격이 가능하고 내가 공격하려면 공격 자체를 할수 없음 대박 잘만들었다는데 뭐가 잘만든건지 모르겠음 더구나 나는 공격 당하면 HP가 존나 많이 달고 적은 개미 눈꼽만큼 에너지가 줄고 있는지도 모름</t>
  </si>
  <si>
    <t>一个“我几乎完全不能进攻、而敌人却永远连打不止”的烂体验。只要我刚想出手，对方就全都打断。我不觉得这叫“做得好”。更过分的是我被打掉一大截血，敌人才掉蚂蚁腿那么点。</t>
  </si>
  <si>
    <t>KR-P-192</t>
  </si>
  <si>
    <t>처음에는 투명벽이 있고, 타격감도 영 별로였고, 맨 첫 보스인 떠도는 영혼 20트하다가 바로 환불할 뻔했다.하지만 그 시기를 인내하고 견디면 행복이 찾아올 것이다.몇몇 보스는 1회차에 그냥 원트하는데, 호선봉(호랑이) 같은 보스는 패턴을 완벽하게 파악해야 깰 수 있었다.메모장에 패턴 적어가면서, 회피 타이밍 익히고 수십번 트라이 한 끝에 깻을 때 나오는 도파민은 말로 설명할 수가 없다. 이것이 소울라이크 게임의 묘미인 것인가?소울라이크 치고 어렵지 않다면 평가도 있지만, 이런 류의 게임을 처음 접한 나는 난이도가 처음부터 빡세서 오히려 좋았다. DLC 나오면 바로 구입할 예정이다</t>
  </si>
  <si>
    <t>一开始有透明墙、打击感也一般，开场的“游魂”我打了 20 次差点直接退款。但是继续玩下去才发现，它很有沉浸感、战斗也相当紧张。对我这种第一次接触此类的人来说，这样的难度反而不错。DLC 出了我会立刻买。</t>
  </si>
  <si>
    <t>动作打击手感；Boss战斗节奏；难度挑战；空气墙可达性；推荐价值判断</t>
  </si>
  <si>
    <t>KR-M-193</t>
  </si>
  <si>
    <t>보스 잡는데 난이도 조절이 필요한듯.... 게임못하는 사람들에게도 기회를 줘야 하지 않겠는가..</t>
  </si>
  <si>
    <t>也许应该提供“难度选项”，给不擅长的人一个机会。</t>
  </si>
  <si>
    <t>KR-P-194</t>
  </si>
  <si>
    <t>서유기라는 우수한 IP를 훌륭히 잘살리고 두근거리게 재해석한 멋진 작품내 게임 경험 다섯 손가락 안에 꼽을 수 있는 작품입니다.서유기 원전의 지식이 있다면 재미가 배가 되겠지만, 없더라도 동양인의 정서에서 본능적으로 느껴지는 재미가 있다.</t>
  </si>
  <si>
    <t>把优质 IP《西游记》发挥到极致、并做出了令人心跳的再解读，是能进我“游戏体验前五”的一作。懂原著当然更有趣，不懂也能从“东方人的情感里”本能地获得乐趣。</t>
  </si>
  <si>
    <t>KR-N-195</t>
  </si>
  <si>
    <t>보스전에서 적에게 데미지를 입힐 타이밍이 거의 없음. 하드코어. 악몽까지 꿈</t>
  </si>
  <si>
    <t>Boss 战里几乎没有让我能造成伤害的“窗口”。太硬核，简直像做噩梦。</t>
  </si>
  <si>
    <t>KR-P-196</t>
  </si>
  <si>
    <t>6만원, 내 지불했다 도전과제도 내 전부 달성했다도내SS급 그래픽 수준, 라이트한 난이도서유기 배경으로 잘 풀어낸 게임 스토리단점은 단 하나, 송구합니다..송구합니다..</t>
  </si>
  <si>
    <t>6 万韩元，我付了；成就我也全拿了。SS 级的画面、偏轻的难度、把《西游记》讲得很好。唯一的缺点，只有一句话：对不起……对不起……（梗）。</t>
  </si>
  <si>
    <t>画面美术场景；难度挑战；西游悟空符号</t>
  </si>
  <si>
    <t>KR-P-197</t>
  </si>
  <si>
    <t>한국게임들은 넘볼수 없다..."검은신화: 오공"을 플레이하고 정말 감탄했습니다. 언리얼 엔진 5로 구현된 그래픽은 그야말로 차원이 다릅니다. 동양 판타지 세계에 빠져드는 듯한 몰입감은 게임을 멈출 수 없게 만들었습니다.게임 플레이도 훌륭합니다. 오공의 72변신과 구름 타기 등 다양한 스킬을 활용한 전투는 단순한 버튼 누르기가 아닌 전략적인 접근을 요구합니다. 적의 패턴을 파악하고 적절한 스킬을 사용하는 재미가 쏠쏠합니다.스토리 또한 깊이 있고 매력적입니다. 서유기를 재해석한 독특한 세계관과 서서히 밝혀지는 비밀들은 게임의 흥미를 더해줍니다.장점:놀라운 그래픽과 비주얼다양한 스킬과 전략적인 전투깊이 있는 스토리와 세계관단점:일부 최적화 이슈초반 진입 장벽이 있을 수 있음총평: 액션 RPG를 좋아하신다면 "검은신화: 오공"은 반드시 플레이해보시길 추천드립니다.</t>
  </si>
  <si>
    <t>韩国游戏暂时比不过它。我对《黑神话：悟空》充满敬意。UE5 的表现震撼，但内容并非只有“技术秀”。强项：演出与战斗的合体、东方神话的美学、稳定的整体完成度。弱项：解释/引导不足，新手有门槛。总评：喜欢 ARPG 的一定要试。</t>
  </si>
  <si>
    <t>演出角色怪物设计；Boss战斗节奏；引导迷路单线；整体完成度；推荐价值判断；西游悟空符号；中国文化宗教语言审美</t>
  </si>
  <si>
    <t>KR-P-198</t>
  </si>
  <si>
    <t>74s년생 아재인데... 인생 최고의 게임일듯...ㅜ.ㅜ 와.. 진짜 ..게임으로 이런 감동을 준다니.. 진짜  진심 무섭다. 중국 게임 수준.. 한국은 분발해야 할듯.. 아놔..</t>
  </si>
  <si>
    <t>74 年生的大叔——可能是我人生最爱的游戏。没想到游戏能给我这样的感动。说真的，中国游戏的水平让我害怕；韩国要加油啊……</t>
  </si>
  <si>
    <t>KR-P-199</t>
  </si>
  <si>
    <t>어... 처음 도전하는 RPG 장르라 갠적으로 어렵긴 하지만, 이거 그래픽도 멋지고 재밌네요 ㅎㅎ 강추!!</t>
  </si>
  <si>
    <t>第一次挑战这种 RPG，难度对我而言有点高，但画面酷、乐趣足。强推！</t>
  </si>
  <si>
    <t>画面美术场景；难度挑战</t>
  </si>
  <si>
    <t>KR-M-200</t>
  </si>
  <si>
    <t>압도적인 그래픽 미친 연출캐릭터들 모션도 너무 자연스러웠고 숨겨진 요소 찾는 재미도 있었다 다만 길찾기가 좀 어지러웠음</t>
  </si>
  <si>
    <t>压倒性的画面、疯狂的演出。角色动作自然，找隐藏的乐趣也足。就是找路稍微让人头晕。</t>
  </si>
  <si>
    <t>画面美术场景；演出角色怪物设计；动作打击手感；探索隐藏支线；引导迷路单线</t>
  </si>
  <si>
    <t>KR-M-201</t>
  </si>
  <si>
    <t>2024-09-25</t>
  </si>
  <si>
    <t>스토리텔링을 중요하게 생각하는 사람이라면 이 게임은 좋은 선택이 아닙니다.화려한 비쥬얼에 괜찮은 액션성을 갖추고 있지만 하면 할 수록 이 게임을 하는 동기를 잃어버리기 쉽습니다.</t>
  </si>
  <si>
    <t>如果你非常看重“叙事/讲故事”，这款并不是最好的选择。它有华丽的视觉与不错的动作性，但越玩越容易失去继续下去的动机。</t>
  </si>
  <si>
    <t>KR-P-202</t>
  </si>
  <si>
    <t>1장 : 뭐야 손오공 겜 아니었나? 저 대머리 새끼는 뭔데2장 : 호선생님 엇박 리듬 좀 타시네3장 : 볼륨 쩌는건 알겠는데 부도계도 볼륨이 쩔었어야만했냐4장 : 팔계야 ㅠㅠ5장 : 팔게 씹새야 ㅠㅠ6장 : 진입부터 최종보스전까지 멈추지 않는 낭만과 치사량의 뽕맛보이지 않는 벽만 너그럽게 이해해주면 여태껏 했던 게임 중 가장 재밌는 게임이었음 ㅊㅊ</t>
  </si>
  <si>
    <t>第1章：咦？不是孙悟空的游戏吗，这光头是谁？
第2章：猴哥您这反拍节奏挺多啊？
第3章：……
结论：只要能宽容看待“隐形墙”，这是我玩过最有趣的几款之一，强推。</t>
  </si>
  <si>
    <t>空气墙可达性；推荐价值判断；西游悟空符号；角色期待意义偏移</t>
  </si>
  <si>
    <t>KR-P-203</t>
  </si>
  <si>
    <t>2024-09-29</t>
  </si>
  <si>
    <t>간만에 다회차 즐겼던 게임입니다.
최상의 그래픽은 몰입하기에 좋았고
익숙한 배경과 스토리가 오히려 신선했다고 느껴집니다.
게임 줄거리는 제천대성 이후의 이야기지만
내용상 등장인물과 사건들은 대부분 서유기에 근거를 두고 있습니다.
스토리도 크게 벗어나지는 않습니다.
일단 미니멀리즘한 구성이 좋았습니다.
조작/UI 전부 간결하고 간편했습니다.
소울 라이크 보다는 훨씬 유저 친화적입니다.
소심한 배려들이 많이 깔려 있습니다.
파밍 귀찮을까봐 씨앗을 심는다던지
헬퍼들 한곳에 모아둔다던지
장신구들 조합으로 약점을 찾는다던지
다회차부터는 원코인 시스템도 있구요.
이 게임의 가장 큰 장벽은
작은 공격은 연속기로 이어지고
큰 공격은 즉시 발동이 아닙니다.
피할 타이밍 잡기와
때릴 타이밍 잡는게 기존의 게임이랑 달라서
여기서 큰 벽을 느끼고 재미를 못붙이게 되는거 같습니다.
이 또한 익숙해지면 그러려니 하게 되고
요령 생기고 손에 붙으면
그때부터 참 재미를 느끼시게 될 듯 합니다.
6만원대 가격으로 고민없이 구입하셔도 괜찮을듯 싶습니다.
자 그럼 단점 몇가지 적겠습니다.
1. 사운드
버그인지 제작진 실수인지
후반으로 갈수록 타격감이 이상해 집니다.
맞을때 아무런 사운드 이펙트가 없는 친구들이 있습니다.
그냥 소리없이 피가 빠져 있는 경우도 있구요.
생각보다 몰입감을 깨는 요소입니다.
가끔 허공에 칼질하는 느낌들이 좀 짜칩니다.
2. 다회차에 대한 발란스와 배려
시스템상 3회차까지는 해야 모든 컨텐츠를 경험할 수 있습니다.
근데 2회차 이상 부터는 득템의 재미는 사라집니다.
뭔가 뭔가 아쉽습니다.
3. 최적화
나름 최적화를 잘 하긴 했습니다.
현 최고의 그래픽을 보여줍니다.
다만 몇몇 챕터는 좀 과해서
프레임 드랍이 심합니다.
화질 저하 없이 줄일 수 있는 요소들이 많은데
좀더 신경 써주면 좋을 듯 합니다.
이상 DLC를 기다려 보며..이만.</t>
  </si>
  <si>
    <t>久违地刷了多周目的游戏。顶级画面带来沉浸，熟悉的背景反而显得新鲜。剧情虽然发生在“大闹天宫之后”，人物与事件多基于《西游记》，并未大幅偏离。极简的操作/UI很好用。（下略）</t>
  </si>
  <si>
    <t>画面美术场景；动作打击手感；西游悟空符号</t>
  </si>
  <si>
    <t>KR-P-204</t>
  </si>
  <si>
    <t>2회차까지 완료 후 후기그래픽이며 스토리며 정말 잘 만든 게임...보스 또한 색깔 놀이가 아니라 특색이 있어서 보스 마주 칠때마다 기분이 좋아짐...6장으로 나누어져 있으며 볼륨또한 상당히 큼...단 지도가 없어서 헤메이는 경우가 많음...소울라이크 게임이지만 죽으면 페널티가 없어서 괜찮음...아쉬운점이라면 타격감이나 임팩트가 많이 부족함... 후반가서 어느정도 적응되서 그렇지, 처음엔 허공을 휘두르는 것 같아서환불하고 싶을 정도였음..모든 도전과제는 2회자 5장까지 해야 완료가 됨...우마왕 강화 아이템이 회차에 나눠 나와서 끈기가 필요함...다시 한번 느꼈지만 잘 만든 게임이며 눈이 호강할 정도로 수작임...</t>
  </si>
  <si>
    <t>通关到二周目的感想：画面、剧情都做得极好；Boss 不是“换皮上色”，而是各有特色。缺点是隐藏元素分布到各周目，需要耐心与毅力。总之完成度很高、养眼的佳作。</t>
  </si>
  <si>
    <t>画面美术场景；Boss战斗节奏；探索隐藏支线；整体完成度</t>
  </si>
  <si>
    <t>KR-N-205</t>
  </si>
  <si>
    <t>소울류 중에는 난이도가 낮은 편이라 접근성이 좋고 스트레스도 많이 받지않는편이다. 단점이라면 히든보스가 좀 많은데, 길을 여기저기 찾아다니다보면 완전 못찾을정도도 아니다. 완전완전 히든보스는 2회차때나 할수있을것같다. 무협지 좋아하는사람이면 남녀노소 개추. 혼백빨아들여서 도술쓰는게 일품임</t>
  </si>
  <si>
    <t>在魂类里属于“较低难度”，因此门槛低、压力也小。缺点是隐藏 Boss 的进入条件过于苛刻，不看攻略几乎找不到。爱看武侠的人，无论男女老少都可推荐；吸魂施法的设定很妙。</t>
  </si>
  <si>
    <t>Boss战斗节奏；难度挑战；探索隐藏支线；推荐价值判断；外部资料依赖</t>
  </si>
  <si>
    <t>KR-N-206</t>
  </si>
  <si>
    <t>작동키 엄청 씹힙니다.키가 자꾸 씹혀서 죽으니까 게임하면서 너무 화가나네요.</t>
  </si>
  <si>
    <t>按键经常“吃指令”。因为按键没反应而死，让人非常生气。</t>
  </si>
  <si>
    <t>KR-N-207</t>
  </si>
  <si>
    <t>2024-10-02</t>
  </si>
  <si>
    <t>产品已退款
												정말 재미 없습니다. 배경그래픽만 좋을 뿐 손오공의 달리기 모션, 동작 어색합니다.</t>
  </si>
  <si>
    <t>【已退款】真的不好玩。除了背景画面，悟空的跑步等动作都很别扭。</t>
  </si>
  <si>
    <t>KR-P-208</t>
  </si>
  <si>
    <t>50시간 이후 1회차 클리어와 팁들
개인적으로 정말 별점 10점 만점에 만점을 주고 싶은 게임 연출,서사 모두 거를데없고 동양풍의 자연관경을 아름답게 풀어내여 플레이 내내 아쉬울게 없었음
-타격감 문제
여러 영상이나 리뷰에 나왔던 타격감? 개인적으로 문제없었음 와 진짜 타격감 미쳤다 라는 수준은 아니지만 플레이 하는데 지장없고 무난 무난 깔끔하게 뽑힘 (10점 만점에 7-8)
-미니맵 부재
미니맵이 없다에 불편함을 겪을 수 있지만 없서 말했던 풍경들도 감상하면서 천천히 도는 맛도 있었고 히든보스들도 간혹 만나서 크게 물리는 느낌은 없었음 영 찾기 힘든 길은 깔끔히 올려놓은 영상들 보면서 쉽게 찿을 수도 있으니 너무 스트레스 받지 말길
굳이 꼽는 단점들도 2가지인데 타격감은 생각보다 좋으니 진짜 추천하는 게임
-소소한 팁들
1.보스가 너무 어려워요
무작정 박치기 하기보단 스펙업이나 적 패턴에 맞춰서 봉술 교체를 추천해드림 굳이굳이 붙어가며 패는 봉술 말고도 법술,변신,다른 봉술 체제 등등 선택 가능한 방법이 많음 이외에도 특수한 도구를 얻어 특정 패턴을 파훼하거나 무력 할 수있는 기믹이 있음 맵과 관련 퀘스트를 꼼꼼히 둘러 볼것
2.길을 못 찾겟어요
길치들은 아마 선뜻 이 게임을 사지 못하는 이유가 미니맵이 없기 때문일거임 그럴때는 맵을 천천히 돌아다니며 스토리만 무조건 밀어야지 보단 서브 퀘나 수집에 집중하는것도 좋음 스토리에 연관되는 소재도 많기에 딱 눈이 떠지는 시기가 옴 영 힘들다면 고인물들이 깔끔히 정리 해놓은 영상도 많으니 너무 스트레스 받지 말것
3.단약 및 부적 칸 활용
단약은 초반에는 효능이 별로라 거들떠도 안보는 이들도 많겠지만 보스를 잡을때 변수가되기도함 피 1상태에서 못잡을 놈을 단약빨로 이길 수도 있음 후반가서도 얻을 단약들의 효능은 점점 사기가 되니 밀기가 힘들땐 단약 활용도 고려할 것 (본인은 전투중에 피하는데 급급해서 단약 쓰지도 않고 미련하게 최종장 까지감....) 단약 칸에 축지 부적이라는 빠른 이동 아이템을 저장해두면 굉장히 유용한데 일일이 가방에 꺼내서 쓰지말고 단축칸에 넣으셈 ㅇㅇ
4.영롱내단
밀기에 집중하다가 영롱내단의 존재를 까먹을 수 있는데 이는 스펙업 아이템이고 성장에 무조건 도움이 되는 아이템임 스토리를 진행하다보면 이를 제련해서 주는 npc를 만나는데 자주 들러 얻을때마다 스펙올릴것 (이걸 중반에 알아서 똥줄탐)
5.난 똥손인데 어캄?
본인도 똥손임 보스잡을려고 수십 번 도전해서 간신히 잡는데 힘든 만큼 카타르시스는 지림 마지막 히든보스 잡을때는 잡고나서 손이 덜덜 떨렸음 ㅋㅋ 닥소,엘든링보다는 쉽다는 평이 많으니 이번 기회에 입문작으로 해보는 것도 좋을듯
-정가를 주고 사도 후회하지 않을 게임 인건 확실한듯 고민하던 사람들이면 이 글보고 사는걸 추천한다 (시간 삭제되더라 주말에해라....)</t>
  </si>
  <si>
    <t>50 小时、一周目通关的感想与小窍门：
— 演出/叙事无可挑剔，东方自然景观被表现得很美。
— 打击感：并不是视频里说的那样糟，我给 7~8/10，足够支撑游玩。（后略）</t>
  </si>
  <si>
    <t>画面美术场景；演出角色怪物设计；动作打击手感</t>
  </si>
  <si>
    <t>KR-M-209</t>
  </si>
  <si>
    <t>2024-10-05</t>
  </si>
  <si>
    <t>이게임이 구리다는놈들이랑 평론가들은 나가죽어야한다. 중국딱지 떼고 반다이같은데서 냈어봐라 ㅋㅋㅋㅋ 핥다못해 헤진 가삿자락 붙잡고 엉엉울거임.</t>
  </si>
  <si>
    <t>说这游戏烂、那些评论家也好，都可以退散了。如果把“中国标签”撕掉，换成万代来发，你们早就抱着它的裙角哭着求夸了吧，哈哈。</t>
  </si>
  <si>
    <t>KR-M-210</t>
  </si>
  <si>
    <t>세키로 초회로 진엔딩 50시간걸렸었는데이건 46.7 시간 걸렸네요맵이 없는거자막이 작은거 빼고는 최고인듯합니다.메타점수가 낮다구요? 낮은이유가 다 있습니다...동양감성 없는 서양놈들이 점수를 다 조져놓은 것일뿐게임은 보스러쉬라는 리뷰가 되게 많았는데전 잘 모르겠습니다... 보스전투가 훨씬 재밌었을뿐 길찾기도 나쁘지 않았던거 같아요(맵이 없는게 좀 별로고 숨겨놓은게 많긴 한데...다크소울등등 극악한거랑 비교해보면 또 그렇게 어거지 수준까진 아니라고 생각함미다.)무엇보다 서유기 근본에서 오는 불교,도교적 물음이라던가 이야기도 너무 재밌고스토리도 꽤 괜찮습니다.일반엔딩 보고 진엔딩 나중에 보러갈때, 엔딩이 바뀔곳이 있나 했는데...여운이 남는 엔딩이었네요....작년에 P의거짓 하면서 와 이제 한국도 이렇게 고퀄리티 게임 만들수 있구나 했는데...이게임 하고나니 P의거짓이 조금 초라해 보입니다...(물론 P의거짓도 잘 만든 게임은 맞습니당)</t>
  </si>
  <si>
    <t>《只狼》一周目真结局我花了 50 小时，这个 46.7 小时。除了没地图、字幕太小以外几乎一切都完美。……玩完这作后，《匹诺曹的谎言》显得有些单薄（当然《匹谎》也是好游戏）。</t>
  </si>
  <si>
    <t>KR-P-211</t>
  </si>
  <si>
    <t>초반 2장 깰때 까지는 뭔 중국겜이 그렇지 졸 노잼이라고 생각했다. 맵없음, 타격감 구림, 심심한 브금, 기괴한 기믹 등등등 구린 요소가 많아서 이딴게 무슨 압도적 긍정적 갓겜이란 말인지 수긍 안됐는데.. 공략 보면서 비밀 퀘스트 깨고, 3장 깨고 4장 부터 갓겜 스멜 나면서 재미나기 시작함 ㅋ4장 저팔계 스토리는 꽤나 봐줄만 했음.. 4장은 컷신 스킵하지 말고 보는 걸 추천함몹종류 다양하고 아이템 종류도 꽤 되는데다가 변신, 요괴화 등등 게임 여러가지 요소가 해금되기 시작하면서 와 신경 많이 썼구나. 잘 만들었다는 생각이 든다.. 비추 박았다가 추천으로 평가 바꿉니다~근데 맵 없는건 진짜 개 애바고, 회피랑 간파 판정이 너무 짜서 스트레스 받아 이것 때매. 무슨.. 쏘울류 아니고 액션겜이라면서? 좀 후하게 만들지 아쉽다 이건맵이 있고 회피 간파 판정 후하게 줬으면 화려한 액션 만끽하면서 즐겜 했을거 같음노잼이라는 분들 3장 까지 버텨봐 그때부터 인정하기 시작함 이 겜 압긍이 구라가 아니라는 걸</t>
  </si>
  <si>
    <t>前期打完第 2 章之前我一直觉得“这不就是中式无聊吗”：没有地图、打击感差、配乐寡淡……但真正耐心玩下去、掌握系统之后会变得很好玩。觉得无聊的人请撑到第 3 章——从那时起你就会承认好评并非瞎吹。</t>
  </si>
  <si>
    <t>音乐音效配音；动作打击手感；地图路线；推荐价值判断</t>
  </si>
  <si>
    <t>KR-M-212</t>
  </si>
  <si>
    <t>두반장 냄새 풀풀나는 갓오브워입니다.서양식 파인다이닝을 두고중식요리 코스를 맛보고 싶은분들에게 추천하지만xbox gamepass에서 즐길 수 있기때문에 그쪽을 이용해주세요</t>
  </si>
  <si>
    <t>一股“豆瓣酱味”的《战神》。想把西餐放下、改吃一套中餐的人可以尝试；不过既然 Xbox Game Pass 有，就在那边玩吧。</t>
  </si>
  <si>
    <t>KR-P-213</t>
  </si>
  <si>
    <t>진짜 중국겜 수준시 ㄹ화냐? 가스미미 웅장해지ㅣㄴ다.내가 알던 그 찐ㄸ짜 같ㄱ던 ㅜ중국이 맞냐?진짜 근래ㅐ에 해봤던 AAA급 게이,ㅁ 중에 제일 재밌겍ㄷ 했다. 그래피긱 개ㅣ지ㅣㅣ이리네 근데 수ㅢㅣ;ㅣ벌거 조ㅓㅏ작감 왜ㅑ 이러냐ㅐ?하ㅏ다보면 원숭이새ㅢ기ㅢ 대까리ㅣ ㄲ때ㅔ고싶다.뭐ㅓ 이건ㅓㄴ 그래픽이랑 조작감을 등가교환했냐???진짜 마음같으면 바ㅣ추 주는데 그래픽이 좋아서 개추ㅜ준다.하지만 명심해라ㅏ 이거 안ㄱ로치면 비추로 바꾼다</t>
  </si>
  <si>
    <t>中国游戏的水平真要“实化”了吗？气势磅礴。真的是我认知里的那个“土味中国”吗？最近几年飙升到这程度了吗？如果不是靠打补丁撑起来的，那就再好不过。就凭画面我给好评——但记住，如果后面崩了我会改差评。</t>
  </si>
  <si>
    <t>画面美术场景；整体完成度；国产3A身份期待</t>
  </si>
  <si>
    <t>KR-P-214</t>
  </si>
  <si>
    <t>기대 했던것 - 제천대성 다크소울직접해서 느낀것 - 그래픽만 좋은 타격감 제로 수준의 중궈소울엘든링, 닼소 생각했으면 안사는게 맞음미니맵 지원x 이거부터 마음에 안듬게임의 계획 의도라는데 난 이해 안감오죽하면 반필수 모드 리스트중에 미니맵 모드가 있겠나 싶은 생각길치인 나로썬 1시간 헤매다가 꺼버림다음에 미니맵 모드 넣고 할까 말까 고민 할 정도 평가는 좋아보이지만대 따거 물량 공세로 인한 압도적인 긍정적이 강제로 찍힌 느낌언리얼 엔진5가 어떤지 느끼고 싶으면 살만 할지도난 불호</t>
  </si>
  <si>
    <t>预期：大圣×魂。实际：画面漂亮、打击感稀薄的“中国魂”。喜欢《艾尔登法环》《黑魂》的，未必会喜欢它。靠流量与数量轰炸出的“压倒性好评”感。想体验 UE5 的话可以试，我个人不喜欢。</t>
  </si>
  <si>
    <t>KR-P-215</t>
  </si>
  <si>
    <t>2024-10-22</t>
  </si>
  <si>
    <t>수백년동안 이어진 중국의 대표적인 소설 서유기를 명성 부끄럽지 않게 정말 잘 만든 중국 현대인의 산물이라 생각합니다. 사실 몇 년전 중국 3D애니메이션을 봤을때부터 기술력이 심상치 않다고 생각했는데 현재와선 기세가 상당한거 같습니다.  그래픽 퀄리티와 아트웤 디자인 제 취향은 아니지만 연출이 너무 좋고 이 게임에 들어간 공의 정도가 저를 엔딩보는데 까지 계속 사로잡았네요. 개발진들이 살아 있기는 하나 생각해봅니다.  프롤로그 근두운타고 사천왕과 천계 병사들 앞으로 가는 제천대성 컷신1장 복숭아2장 맞깔나고 중독적인 기타리스트3장 최종보스의 전기이펙트4장 눈호강하는 거미눈나들 &amp; 백안마군과 첫 배틀 떄 거미와 협공 연출 &amp; 저팔계 애니메이션5장 마무리 컷신 6장 진엔딩 애니 너무나도 훌륭했습니다.아쉬웠던건 크게  1. 길찾기  2. 스토리 전달력입니다.1. 메인만 보면 길찾기는 크게 어렵지 않고 선형적이지만, 저같은 샅사치 플레이어들은 꽤나 애를 먹지 않았을까 싶네요. 아무래도 세계관 설정상 인공물이 많이 없고 자연배경이 많아서 마크할만한 구조물같은게 없더군요. 지도라도 있었으면 어땠을까 생각해봅니다.2. 전투 시스템도 맛깔나게 뽑았지만 저는 이게임의 진가는 스토리에도 있다고 생각합니다. 기존 서유기의 배경지식을 갖춘상태에서 스토리를 본다면  정말 완벽에 가깝지만, 아무래도 한 게임내에서 배경지식을 세세하게 전달해야한다는건 게임을 하면서도 비중조절이 힘들었을거라고 생각합니다.  그래서 장 마무리마다 나오는 애니메이션에서 전에 있었던 사건들을 짧게나마 보여주는건 좋은선택이였다고 생각합니다. 이를 제외하면 나머지는 Good올해 할만한 게임이 별로 없어서 아쉬웠는데 좋은 게임이 나와서 만족합니다.</t>
  </si>
  <si>
    <t>作为延续数百年的国民 IP，《西游记》的名号并未被玷污，这是中国现代人的一件好作品。遗憾：帧数波动、找路与 UI 不够友好。除此之外很不错。今年好玩的不多，这款让我满意。</t>
  </si>
  <si>
    <t>引导迷路单线；优化帧率；推荐价值判断；西游悟空符号</t>
  </si>
  <si>
    <t>KR-N-216</t>
  </si>
  <si>
    <t>2024-10-28</t>
  </si>
  <si>
    <t>진짜 ㅈㄴ재밌음 근데 굳이 디럭스는 사지마셈 무기랑 갑바 주는데 2, 3스테이지에 만들 수 있는 것보다 ㅆㄺ임</t>
  </si>
  <si>
    <t>真的贼好玩。但别买豪华版——送的武器与护甲还不如 2、3 章自己做的。</t>
  </si>
  <si>
    <t>KR-N-217</t>
  </si>
  <si>
    <t>2024-11-04</t>
  </si>
  <si>
    <t>겨울에 난방이 따로 필요가 없습니다. 이 게임 30분이면 본체가 난로가 되는 매직을 경험하실 수 있습니다.</t>
  </si>
  <si>
    <t>冬天不需要暖气。玩 30 分钟，主机就变身暖炉（误）。</t>
  </si>
  <si>
    <t>KR-P-218</t>
  </si>
  <si>
    <t>2024-11-09</t>
  </si>
  <si>
    <t>멋진 풍경에 개성적인 보스들 환상의 타격감말이 필요없는 최고의 게임이다. 반면 K게임은? 후.....</t>
  </si>
  <si>
    <t>绝美风景、个性十足的 Boss、上瘾的打击感——无需多言的顶级游戏。反观 K-Game？唉……</t>
  </si>
  <si>
    <t>画面美术场景；动作打击手感；Boss战斗节奏</t>
  </si>
  <si>
    <t>KR-P-219</t>
  </si>
  <si>
    <t>2024-11-14</t>
  </si>
  <si>
    <t>"검은신화: 오공" 리뷰 – 전설 속으로 뛰어드는 예술적 연출과 강렬한 액션의 향연"검은신화: 오공"은 전통적인 중국 신화를 현대적 기술과 감각으로 재해석한 걸작입니다. 이 게임은 몰입감 넘치는 연출과 강렬한 액션성으로 게이머들에게 환상적인 경험을 선사합니다.환상적인 연출: 전설이 살아나다게임의 모든 순간은 영화처럼 연출됩니다. 빛과 그림자의 활용, 세세한 캐릭터 표현, 그리고 장대한 전투 장면은 단순한 게임을 넘어선 예술적 작품으로 느껴집니다.배경과 스토리텔링 요소가 완벽히 조화를 이루며, 고대 신화 속 이야기를 생생하게 전달합니다. 특히 보스 전투의 연출은 플레이어를 그야말로 게임 속 전설의 무대에 서 있는 듯한 기분으로 몰입시킵니다.강렬하고 깊이 있는 액션성전투 시스템은 전략성과 속도감이 적절히 결합되어 있습니다.다양한 스킬과 변신 능력을 통해 플레이어는 자신만의 스타일로 전투를 펼칠 수 있습니다. 특히, 원숭이왕 오공의 능력을 활용한 액션은 독특함과 시각적인 쾌감을 동시에 제공합니다.보스 전투는 도전적이면서도 공정하게 설계되어, 성공했을 때 성취감이 큽니다.그래픽과 퍼포먼스: 현대 기술의 정점언리얼 엔진 5를 기반으로 제작된 그래픽은 놀라운 디테일을 자랑합니다. 자연스러운 캐릭터 애니메이션과 초현실적인 배경이 어우러져 환상적인 게임 세계를 만들어냅니다.사운드 디자인 또한 게임의 분위기를 완벽히 보조하며, 특히 전투 중 효과음과 배경음악의 웅장함은 게임의 몰입도를 극대화시킵니다.결론: 현대적 신화의 재탄생"검은신화: 오공"은 몰입도 높은 연출과 다채로운 액션성을 통해 전통 신화를 현대 게이밍 기술로 완벽히 구현한 게임입니다.시각적인 감탄과 손에 땀을 쥐는 전투를 동시에 경험하고 싶은 게이머라면, 이 작품은 반드시 플레이해야 할 게임입니다.평점: 8.5/10"오공과 함께 전설의 중심에 서보세요. 이 여정은 잊지 못할 것입니다." 🎮</t>
  </si>
  <si>
    <t>评测：《黑神话：悟空》——潜入传说核心的艺术演出与强烈动作盛宴。整体需要动脑、值得一试。评分 8.5/10。</t>
  </si>
  <si>
    <t>演出角色怪物设计；动作打击手感；推荐价值判断；西游悟空符号</t>
  </si>
  <si>
    <t>KR-P-220</t>
  </si>
  <si>
    <t>난 회피 위주의 좆 푸씨 겜은 하지 않는다난 닼소 엘든링에서도 패링 위주로 했는데 이 겜은 가드 자체가 없다</t>
  </si>
  <si>
    <t>我不玩“翻滚流”的游戏。在《黑魂》《艾尔登法环》我都主打招架；这作压根没有防御。</t>
  </si>
  <si>
    <t>KR-M-221</t>
  </si>
  <si>
    <t>여러모로 잘 만든 게임이다! 전투도 맛있고 컷씬이나 엄청난 그래픽 디테일, 연출들 보면 제작자들이 이 게임에 엄청난 애정을 쏟아 부었다는게 확 와닿음. 난이도도 적당히 도전적이면서 슴슴하지 않게 적절했다!다만 약공 타격감과 맵 디자인 (그래픽 요소 제외)은 좀 단점이라 할 수 있는데 추후에 개발사가 이 점 보완해서 신작낸다면 정말 대단한 게임이 나올듯..</t>
  </si>
  <si>
    <t>方方面面都做得很好！战斗过瘾，过场与画面细节能看出制作组是把命投进去了。缺点是“找路/地图”的体验（尤其隐藏要素）偏差。若续作补上，这会是不得了的系列。</t>
  </si>
  <si>
    <t>画面美术场景；演出角色怪物设计；Boss战斗节奏；地图路线；探索隐藏支线；引导迷路单线</t>
  </si>
  <si>
    <t>KR-N-222</t>
  </si>
  <si>
    <t>스토리 진행방식의 게임을 전혀 좋아하지 않는데 이 게임을 30시간째 하고 있다...</t>
  </si>
  <si>
    <t>我并不喜欢“跟着剧情推进”的游戏，但这款我已经玩了 30 个小时……</t>
  </si>
  <si>
    <t>KR-N-223</t>
  </si>
  <si>
    <t>재밌긴 한데 차지 공격이 리스크에 비해 리턴이 너무 없음.전투중에 차지를 하거나 곤봉치를 모으는 것부터가 어려운데 그렇게 어렵게 모아서 쓰면 스윽 피해버림.보스들의 무거운 곤봉 회피는 없는편이 낫지 않았을까 싶네요.</t>
  </si>
  <si>
    <t>有趣，但蓄力攻击的风险与回报严重不对等。战斗里要蓄力/攒棍势本就难，好不容易蓄出来，Boss 往旁边一挪就空。重型棍击的回避判定，也许不设更好。</t>
  </si>
  <si>
    <t>KR-P-224</t>
  </si>
  <si>
    <t>1. 중국에서 만들어서 편견을 가질 수 있지만, 정말 잘 만든 액션 게임2. 서유기에 대한 기본 지식이 없으면 스토리의 깊은 재미와 감동을 느끼기는 조금 어려움3. 다크 소울과 같은 방식으로 전투에 임하면 금방 죽기 쉬움4. 언리얼5 특유의 발적화가 아쉬운 게임</t>
  </si>
  <si>
    <t>1）因为“中国出品”可能会带偏见，但它是做得非常好的动作游戏；2）若没《西游记》常识，理解 NPC 与故事会难些；3）按《黑魂》的思路去打会很容易死；4）UE5 式的“反优化”遗憾。</t>
  </si>
  <si>
    <t>动作打击手感；难度挑战；优化帧率；西游悟空符号</t>
  </si>
  <si>
    <t>KR-N-225</t>
  </si>
  <si>
    <t>2024-11-29</t>
  </si>
  <si>
    <t>잘만들긴했음 실제플레이전에는 타격감이 없어보였지만 해보니 또 그런것은 아님불편한점은 맵... 보이지않는 맵으로 가려져있고 일관성이 없어서 간혹 길찾기가 힘들어짐(점프되는곳등등)DLC및 후속작이 기대되는 게임임</t>
  </si>
  <si>
    <t>确实做得好。上手前我以为“没打击感”，玩了才发现不是这么回事。不便之处在于地图/隐形墙的不一致，偶尔找路很难（比如能跳/不能跳的地方）。期待 DLC 与续作。</t>
  </si>
  <si>
    <t>动作打击手感；难度挑战；地图路线；空气墙可达性；引导迷路单线</t>
  </si>
  <si>
    <t>KR-N-226</t>
  </si>
  <si>
    <t>이 게임은 씨발 하지마세요이 게임은 좆병신인게 왜 씨발 평타에 연속기를 쳐 넣어서 그동안 회피도 쳐 안되게 만든지도 모르겠고액션게임이라고는 그저 삐까뻔쩍하기만 하면 될줄 알았는가 본대 씨발 그것때문에 적이 뭐하는지도 쳐 안보이고이 게임은 소율류니 갓오브워니 이딴 소리 한다는 것 자체가 소율류랑 갓오브워 게임에 대한 모독임이 게임은 상 못받았다고 하는대 아주 합당한 조치라고 생각함제발 이 게임 사지말고 걍 딴 겜 사든가 치킨 사먹든가 하슈 이게임은 개 병신겜임</t>
  </si>
  <si>
    <t>别玩这破玩意儿（情绪化吐槽）。把连段塞进普攻，导致回避也不灵、判定也奇怪。总结：不买它，买别的游戏或去吃鸡吧。</t>
  </si>
  <si>
    <t>动作打击手感；判定反馈；推荐价值判断</t>
  </si>
  <si>
    <t>KR-P-227</t>
  </si>
  <si>
    <t>2024 GOTY라는 명칭을 받을 자격이 있는 게임.중국산 게임이라는 거 편견 갖고 시작해도 감탄의 연속이 나온 게임. 서유기에 대해 배경지식이 많지 않았아 스토리가 명확히 이해되지 않았다는 것이 단점이지만, 보스를 공략해가면서 게임을 진행하는 것 자체가 매력이었다.보스들도 일부 쉬운, 개성이 옅은 경우도 있지만 중간중간 강렬한 인상을 남기는 보스들이 정말 매력적이었다. 레벨 디자인, BGM, 연출, 그래픽, 게임성 등 정말 수려한 게임.</t>
  </si>
  <si>
    <t>配得上“2024 年度最佳”的提名。就算带着对“中国制造”的偏见开玩，也会一路惊叹。个性鲜明、留下深刻印象的 Boss 很有魅力；关卡、BGM、演出、画面与可玩性都很出色。</t>
  </si>
  <si>
    <t>画面美术场景；音乐音效配音；演出角色怪物设计；Boss战斗节奏；地图路线</t>
  </si>
  <si>
    <t>KR-P-228</t>
  </si>
  <si>
    <t>3장 맵 디자인만 빼면 깔게 없는 게임 타격감: 타격감으로 까이긴 했다만 막상 해보니 타격감이 별로라는 생각은 안들었음 연출:  갓오브워 이래로 감탄한 적은 없었는데 후반부로 갈수록 루즈해질 틈도 없이 수준급 애니메이션 + 연출이 즐비해서 몰입감이 지속됐음 맵 디자인 :  초반에는 선형적인 맵 디자인으로 미니맵이 없어도 쉽게 플레이 가능한 수준이었는데 개발자가 3장 개발할 때 스꼴라에서 영감을 받았나  갑자기 악랄한 맵디자인으로 급격하게 드리프트함 의미 없이 넓은 맵+ 악랄한 몹배치+ 강제로 반피만드는 디버프    이 게임하면서 유일하게 쌍욕 내뱉은 부분 스토리: 서유기 잘 몰라서 해설본 찾아보면서 플레이 했음. 각 장마다 옴니버스 형식으로 구성되어 있는데 후반에 정보를 확 풀어버리는데 서유기 잘 모르는 사람으로서는 내용 이해하기 힘들었음. 근데 해설본 보니까 확실히 서유기 아는 사람들한테는 굉장히 와닿는 스토리일거라 생각함.총평: 단점 감안해도 장점이 단점 씹어먹는 수준이라 이번년도 GOTY 수상해도 이상하지 않을게임</t>
  </si>
  <si>
    <t>除第 3 章地图设计外几乎没啥可挑。打击感被人吐槽，但真玩起来并不差。剧情与演出非常棒，估计继续做下去会成为一个“靠演出说故事”的系列。总评：即便考虑了缺点，优点仍能把它们吃掉——拿 GOTY 也不奇怪。</t>
  </si>
  <si>
    <t>演出角色怪物设计；动作打击手感；地图路线；推荐价值判断</t>
  </si>
  <si>
    <t>KR-M-229</t>
  </si>
  <si>
    <t>동양 경치의 아름다움이 돋보이는 게임영신도 보는 재미가 있음대신 길찾기가 어려워서 숨겨진걸 놓치기가 쉬움</t>
  </si>
  <si>
    <t>能凸显东方风景之美的游戏，看“影神”的乐趣也有。但找路很难，容易错过隐藏内容。</t>
  </si>
  <si>
    <t>画面美术场景；难度挑战；探索隐藏支线；引导迷路单线</t>
  </si>
  <si>
    <t>KR-P-230</t>
  </si>
  <si>
    <t>[손오공이 되고자 서천으로 떠난 한 원숭이의 비장한 이야기]‘손오공(孫悟空)이 죽었다’. 이 짧고도 충격적인 내용으로 시작하는 한 원숭이의 여정을 그려낸 게임이 여기 있다. 아니, 사실상 서유기를 다시 쓴 셈이다. 원전의 81가지 고난을 본 따 81마리의 요괴들과 싸우며 그의 마지막 이름, ‘투전승불(鬪戰勝佛)’을 다시 부활시키려 떠나는 장대한 서사시이다. 놀랍게도 제작진은 원본 서유기의 결말을 사실상 부정했다. 부처의 경지에 이른 손오공을 더러 감히 어울리지 못하다고 지적한 것이다. 그러면서 원래의 화과산 돌원숭이 시절의 향수를 자극하며, 되려 거꾸로 돌아가는 행보를 보인다.스팀 최대 동접자 220만명을 기록한 화제의 이 게임은 현재 올해의 가장 유력한 GOTY 수상 후보작 중 하나가 되었다. 그것도 중국에서, 콘솔 게임과 인연이 존재는 할까 싶던 나라에서 사상 처음으로 발매되었다는 사실은 비디오게임 역사에 회자될만한 엄청난 화제를 불러모았다. 20,000,000장. 그 어떤 비디오게임도 꿈에서나 그릴만한 판매량을 단 한달 만에 달성한 기록은 이 게임이 단순한 유행으로 치부될 수 없음을 몸소 증명하고 있다. 그렇다면 어떤 점이 과연 이 작품의 대흥행으로 직결되었을까.첫째는 아무래도 이야기다. 동아시아권에 사는 누구나 한 번씩은 들어보았던 서유기(西遊記)를 모티브로 만들어졌으니, 적어도 한중일에 거주하는 어떤 유저든 손오공이라는 캐릭터를 모를 리 만무했다. 현재 한중일 세 나라의 구매력만 생각해보아도 어떻게 보면 제작진의 개발 모험은 사실상 성공을 담보했던 셈이다. 심지어 원작을 이름만 들었지 내용을 전혀 몰랐다 하더라도 스토리 이해에는 지장이 없을 정도다. 오히려 이 게임을 입문작으로 삼고 역으로 원전을 찾아보는 것이 낫다는 의견도 나올 지경. 이는 바로 뒤에 다룰 요소와 맞물려 긍정적 시너지를 내고 있기 때문이다.그 다음은 바로 장르. 출시 직전까지도 이 게임이 과연 소울라이크인가 아닌가에 대한 논쟁이 상당히 많이 오갔었는데, 개인적 의견으로는 제작진이 공언한 ‘갓오브워(God of War)’ 기판 위에 ‘세키로(隻狼)’라는 양념을 묻힌 느낌이랄까. 일단 앞서 언급했듯, 본작은 보스 숫자만 무려 81종이다. 소울 명작으로 분류되는 ‘세키로’가 50여종 안팎인 것을 비교하면 상당히 많은 양이다. 게다가 팔레트 스왑 같은 ‘복사 붙여넣기’식 보스도 거의 없이 매우 다채로운 로스터를 자랑한다. 그러니 비록 플레이어는 누구와 싸우는지 영문을 모르지만, 이 다음 누구와 싸우게 될지 자연스럽게 기대감이 증폭된다. 바로 이 점이 원작을 몰라도 크게 단점으로 작용하지 않은 이유이다. 하지만 매력의 이유는 또 있다.그것은 세번째로 다룰, 그래픽이다. 현 시점으로 ‘Unreal Engine 5’를 사용해 만든 게임은 본작을 제외하고는 거의 없다. 후문에 따르면 원래 4.0 엔진으로 개발했으나 좀 더 깊이 있는 입체감을 살리고자 5.0 엔진으로 과감히 갈아탔다고 한다. 그리하여 이 결정이 게임의 대흥행에 결정적인 공신이 되었음을 누구도 부정할 수 없는 지경에 이른 바. 중국 본토의 광활한 대자연을 장점으로 삼아 빗어낸 인게임 풍경은, 그 어떤 타국에서도 범접할 수 없을 만큼 압도적인 인상을 남기기에 충분했다. 숲속, 사막, 한겨울, 동굴 등 각기 6개 챕터가 주는 색다른 배경은 과거 손오공이 어떤 고난을 이겨내 왔는지를 자연스레 연상시킨다. 동시에 플레이어의 몰입감과 호기심을 자극하는 것은 두말하면 잔소리.허나 호불호의 요소 역시 없지는 않은 데, 가장 많이 나오는 얘기가 유저 편의성이다. 알다시피 이 게임은 지도가 없다. 그래서 내가 지금 어디에 있는지, 어디로 가야 하는지 아무것도 모른 채 진행해야 한다. 특히 3장의 ‘부도계(浮屠戒)’같은 경우는 길치라면 상당히 헤맬 각오를 해야 할 정도. 거기다 갈림길은 많기 그지없는데 투명벽 또한 상당히 많다. 그래서 갈 수 있을 것 같은 길은 막혔고, 못 갈 것 같은 길은 되려 갈 수 있는 경우가 부지기수. 허나 개인적으로는 내게 큰 단점이 되지는 않았다. 어떻게 보면 작품 내 ‘미륵보살’ 캐릭터의 말마따나 자신의 마음 닿는 곳에 길이 있다는 철학을 반영한 것으로 여겨진다. 진행방식조차 게임의 한 컨텐츠로 인식되는 요즘 세상에서 다소 독특한 접근법을 시도했음은 분명한 바.또 편의성과 더불어 타격감 역시 많이 나오는 얘기다. 아무래도 비슷한 시기 ‘스텔라 블레이드’ 게임이 출시돼 비교된 감이 적지 않다고 생각된다. 나 역시 평타는 다소 임팩트가 약함에 크게 반대하지 않는다. 다만 이어지는 4가지 동작 후, 5번째 내려찍는 효과(스턴&amp;컷)의 맛까지 거부하기란 쉽지 않다고 느끼는 바. 거기다 차지 수가 올라가는 만큼 나오는 역동적이고 또 과장스럽기까지 한 곤봉 액션. 이것을 맞췄을 때의 쾌감은 오직 겪어본 사람만이 알 수 있을 만큼 매우 강렬하다. 원작의 여의봉이 사용자의 뜻대로 무한히 늘었다 줄었다 하는 특징을 매우 잘 살린 제작진의 디테일에 또 한번 감탄하는 바이다. 추가로 저스트 회피 시 ‘휘릭’ 하는 소리와 함께 원숭이 특유의 장난기 있는 구르기 역시 중독적이긴 마찬가지다.“네 눈 똑똑히 뜨고 보거라, 이 몸이 지금 이걸 떼어주마!” 게임 내에서 히든엔딩 조건을 맞췄을 때만 들을 수 있는 대사이다. 긴고아(緊箍兒). 우리가 손오공하면 가장 먼저 떠올리는 아이템이자, 소위 ‘족쇄’의 대명사로 매우 유명하다. 이것을 제작진은 손오공의 ‘육근(六根)’ 중 ‘뜻(意)’으로 해석했다. 무슨 뜻일까. 이 부분은 플레이어가 달성하는 두 가지 엔딩에 따라 해석이 극명하게 나뉜다. 허나 제작진의 의도는 사실상 전용 애니메이션까지 존재하는 히든엔딩에 숨겨놓은 것으로 풀이된다. ‘자유(自由)’. 아무리 부처의 경지에 오를지라도 천명에 속박당한다면 그것은 진정한 삶이 아님을 여러가지 경로로 간접 시사하고 있다.“난 여태껏 공덕을 쌓고 신선의 반열에 오르면, 그들이 나랑 당신들을 놓아줄 거라 생각했소.” 손오공이 ‘우마왕(牛魔王)’에게 단말마와 같이 남긴 말이다. 즉, 서유기의 결말을 비튼 제작진의 의도는 플레이어의 여정이 부처가 되기 위해서가 아닌, 바로 자유를 찾아 떠난 여정이었음을 내포한다. 그래서 다시 맨 처음 ‘검은 신화(黑神話)’라는 말을 돌아본다. 그저 멋져 보이려고 지은 것 같은 용어가 사실은 열린 결말을 위해 열어놓은 뜻임을 깨달았을 때 비로소 난 소름이 돋았다. 그렇기에 6장의 제목이 ‘미완(未完)’인 것 역시 어렵지 않게 이해할 수 있을 터. 이 정도로 심오한 해석을 가미한 중국 개발사의 손오공을 향한 진심 어린 애정은 가히 경이로울 수준이다.내 생애 처음으로 모든 스팀 도전과제를 마친 게임으로서 본작이 나에게 전하는 의미는 결코 작지 않다. 아름답고 장엄한 동양미를 소울라이크 장르와 녹여낸, 엄연한 하나의 작품으로써 160시간이 넘게 지칠 줄 모르고 즐기는 중이다. 이 점은 요즘 들어 소비자와의 기싸움과 맹독성 결제상품으로 점철된 한국 게임계에 크게 시사하는 바라고 생각한다. 우리는 왜 게임을 하는가. 어떤 부분이 재미있고 인상적인지를 논하기 보다, 어떤 BM 모델이 나왔는가를 논하는 우리의 현실 속에 옆나라의 대성공이 눈에 띄는 건 나만 그런 것일까. 과금이라는 이름으로 몇 십, 몇 백의 돈이 순식간에 거래되는 유행 속에서, 단돈 64800원이라는 가격은 순수해보이기까지 하다.. 최종점수 : 9.2/10</t>
  </si>
  <si>
    <t>[立志成为悟空而西行的一只猴子的悲壮故事] “孙悟空死了。”这短短一句开场就足够震撼。……在“热度即刻被买卖”的时代，6.48 万韩元的定价竟显得纯粹。最终评分：9.2/10。</t>
  </si>
  <si>
    <t>KR-P-231</t>
  </si>
  <si>
    <t>마치 오래 끓일 수록 맛있는 사골 같은 느낌이랄까..맵기도 하지만 그렇다고 화학적 매운게 아닌 무언가 여러가지 맛있는 재료들이 매움을 일궈내는 느낌신기하게도 이것 저것 새로운 조합의 재료들을 곁들이면 또 그만의 맛이 나는 아주 즐거운 맛이다.물론 단점 또한 정확해서 아쉬움이 많은것도 사실이나 이번 새로운 패치들로 조금씩 개선되는 느낌이 있어매우 즐거웠다. 꾸준한 패치로 더욱 맛있는 게임이 되기를 바란다.그리고   DLC에서 빈육체의 기술들을 많이 차용해서 더욱 제천대성 플레이를 알차게 보냈으면 좋겠다는 바램이다.수많은 모드로 신선한 콤보나 액션을 해보지만 불안정하고 찝찝함이 남는달까....조작감이 조금 더 커맨트로 다양하게 나와서 빈육체와 같은 진짜 멋진 액션을 플레이 할 날을 기다리며 또 달린다.</t>
  </si>
  <si>
    <t>像久熬的老汤，越煮越有味儿。虽然也辣，但不是化学香精那种。希望日后能把操作指令做得更丰富、有“真·空身”的帅气动作，我会继续肝下去。</t>
  </si>
  <si>
    <t>KR-P-232</t>
  </si>
  <si>
    <t>소울류만 보면 복날에 개장수 보듯 하는 복실이 같은 나도 그나마 맛이라도 볼 수 있는 라이트한 게임11시간 일하고 푹 고아 늘어진 돼지수육처럼 되서 집에 돌아와도 게임을 켤 용기를 갖게 해주는 게임그렇게 일하고 여가시간이 2시간 밖에 안되도 자기 전까지 하게 만드는 게임갑툭튀 싫어하는데 정직하게 좁은 실내에는 몬스터 잘 안넣어놓는 게임중국 좆극혐해도 적어도 이 게임에서만큼은 호감을 갖게 해주는 계기를 주는 게임보스전만 하면 연장근무 한 것 같이 존나 피곤한 게임그래픽 때문에 피아식별이 잘 안되서 강제 노안을 주는 게임공격 피한다고 서커스단 원숭이 마냥 구르기만 하다보면 몬스터가 다시 스폰 영역으로 돌아가 체력 풀피 채우는 좆같은 게임 그냥 ㅈㄴ 못하는 건데 공격만 하지 말고 스킬도 쓰라고 로딩창에 꼽 주는 게임그럼 시바려나 스킬 남발했다가 보스 나오면 어쩌라고 마나 물약도 안주잖아게임 끄면 행복해지는 게임 하지만 나중엔 다시 키게 되는 게임재밌는 게임</t>
  </si>
  <si>
    <t>就算像我这种一看魂就躲着走的人，也能“尝出味道”的轻量作。到了 11 小时“你确定要做这种设计吗”的地方也不少，比如全靠背板的路段，或者刚开门就来 Boss 又不给补给……关掉游戏时更快乐，但后来又会把它打开——好玩就是好玩。</t>
  </si>
  <si>
    <t>KR-P-233</t>
  </si>
  <si>
    <t>24년에서 만난 게임 중 가장 최고의 게임!숨겨진 맵, 숨겨진 아이템들이 많고 그걸 찾아가며 도전과제를 깨는 맛도 일품이네여소울 게임 입문자에게 강력추천합니다!</t>
  </si>
  <si>
    <t>2024 年我遇到的最佳游戏之一！隐藏地图、隐藏道具很多，探索与解成就的过程非常带感。作为魂入门作强烈推荐。</t>
  </si>
  <si>
    <t>地图路线；探索隐藏支线；推荐价值判断</t>
  </si>
  <si>
    <t>KR-N-234</t>
  </si>
  <si>
    <t>맛있는 탕수육인데 소스가 맛이 없음 맛있게 먹는데 아 쉬발 여기에 이 소스만 더 있으면 더 맛있겠는데 하~ 하는 리뷰를 남길 수 밖에 없는 게임</t>
  </si>
  <si>
    <t>好吃的糖醋肉，可惜酱不好吃。吃着吃着总会想：哎，要是再来点“这味酱”，那就完美了——本作给我的感觉正是如此。</t>
  </si>
  <si>
    <t>KR-P-235</t>
  </si>
  <si>
    <t>2024-12-17</t>
  </si>
  <si>
    <t>버그가 랜덤으로 겜 시작시 안켜지는 버그겜시작할때마다,로딩 시작할때 게임화면이 서브모니터로 이동하는 버그적 락온 안되는 버그적 피통 표시안되는 버그 상호작용 안되는 버그이런데 고티요? 제정신임?븅신겜 koty나 처먹어라----------------------------------------------------------------텍스처 깨지는 버그하고 색깔별로 빛의선이 화면에 미친듯이 뜨는 버그추가다 새끼들아</t>
  </si>
  <si>
    <t>随机开不了、启动时画面跑到副屏、黑屏后崩溃等 Bug；此外还有纹理破碎、屏幕上出现彩色光线狂闪的 Bug。拜托都修一修吧。</t>
  </si>
  <si>
    <t>画面美术场景；崩溃闪退；Bug兼容硬件</t>
  </si>
  <si>
    <t>KR-M-236</t>
  </si>
  <si>
    <t>소울라이크 첨이신분, 손 재주 없고, 순발력 떨어지는 분은 하지 마세요. 초반 나오는 떠도는 영혼 30트 이고 렙15여도 피 반피깎은게 고작입니다.. 스트레스 받으면서 더 하고 싶지 않고, 손에 물집도 잡혔음.유튜브 보고 어려운가 싶어서 도전했는데 저한텐 초반 보스부터 난공불락이라서 도저히 할맘이 안생기네요.  '여자 유튜버도 깨는데 설마 내가?' 라고 오만한 생각을 한 벌을 받았습니다 .  그들은 저에겐 프로게이머 수준입니다.환불하고 싶었는데 2시간 넘어서 열받지만 7만원짜리 교훈 얻었다고 생각하렵니다. 앞으론 쉬운 소울라이크라도 절대 쳐다도 안봅니다 내 손목가지 잘라버리고 싶은적은 첨 입니다. 그냥 턴제 알피지 쉬운 겜이나 살걸 ㅠ 제가 과욕을 너무 부렸습니다.--------------------75 시간 태웠는데 도저히 6막 이랑, 돌원숭이  유튜브 공략보고도 못깨겠네요. 똥손도 꺨수 있다는데 그건 똥손이 아니라서 그런겁니다. 돈아까워서 여기까지 했는데  손재주 없고 순발력 없으면 하지 마세요. 성격만 나빠져요. 하 공부나 해야지 재능이 존나게 없네</t>
  </si>
  <si>
    <t>魂类新手、手部操作不灵活或反应速度较慢的人，我不建议玩。前期的幽魂我打了大约 30 次，即使 15 级也只能削到半血。继续这样受折磨让我完全不想玩，手上甚至磨出了水泡。本来因为看 YouTube 觉得自己也许能挑战，结果从前期 Boss 起就像无法攻破的城墙。原本还自负地想“女主播都能过，我总不至于不行吧”，结果发现她们对我来说简直是职业选手。因为超过两小时不能退款，只能把这七万韩元当作一次教训，以后再简单的魂类也不碰了。后来硬着头皮玩了约 75 小时，但第六章和石猿即使照着 YouTube 攻略也过不了。别人说‘手残也能过’，那只是他们根本不算真正的手残。手部操作和反应真的不行的人，还是别玩，最后只会让脾气变差。</t>
  </si>
  <si>
    <t>KR-M-237</t>
  </si>
  <si>
    <t>2024-12-18</t>
  </si>
  <si>
    <t>리부트를 죽인 신창섭을 잡으러 가는 쌀숭이의 여정근데 이제 130기가짜리</t>
  </si>
  <si>
    <t>去抓“把《重启》杀死的新昌燮”的稻米猩猩之旅——只是这回是 130GB。</t>
  </si>
  <si>
    <t>KR-P-238</t>
  </si>
  <si>
    <t>전투는 잡몹은 약공 구르기 약공 막타 강공게이지 쌓고 강공 해주면 다 잡을 수 있고 좀 쎈 네임드 잡몹들은 정지 분신 이런거 써주면 쉽게 잡음개빡치는 낙사+화살 구간은 은신으로 넘길 수 있는것도 씹 호감인 부분전투방식이 다양하게 있긴 한데, 정지술+분신+은신+착곤 만 엔딩 끝까지 써서 다른 방식들은 잘 모르겠음내가 잡은 몹으로 변신하는것도 있긴한데 지속시간이 그리 길지 않아서 그냥 저냥 이었음디자인과 분위기는 동양의 불교 + 장엄한 맵 + 서유기 + 요괴 인데 일본풍이 아닌 중국풍이라서 이게 호불호가 갈릴 수 있겠음  나한테는 서유기 1도 모르는데도 아름답고 매력적인 그래픽, bgm도 맘에 들어서 즐겁게 플레이 했음 특히 좌선으로 자연풍경 볼때 참 기분이 좋았음스토리도 요즘 게임치곤 맛있는거 같음엔딩 보고나서 서유기 원본이랑 본편 등장인물 찾아보면서 비교해보고, 영신도 설명도 읽어보면 재밌는거 많았음저팔계도 귀여웠고단점으로는 보스전은 몇몇 페이즈 변경할때 때리지도 못하고 시간 끄는 패턴들 제외하면 피로감이 덜 한데, 필드가 길찾기 존나게 힘들고 맵이나 방위 표시해주는 ui도 없어서 거기가 거기인거 같은 느낌이 심하게 들었음 내가 여기에 왔었나 ? 처음 와보는덴가 ? 존나게 헷갈림다시는 잡몹 구간에서 길 찾기 싫을 정도로 길 찾는건 정말 직관적이지 않음지금도 맵 파악 1도 안되서 다회차는 안돌렸음안써본 빌드 + 놓친 아이템 + 스토리 + npc 즐기기 위해 다회차 vs 좆같은 잡몹 구간 또 지나면서 길찾기걍 다회차 안하고 말았음그래도 1회차 기준으론 재밌게 할만했음장점이 정말 많지만 단점은 딱하나 병신같은 길찾기잡몹이 빡센것도 아님 다굴 구간이나 화살 구간들 다 은신으로 회피가 되는데도 길찾는게 진짜 빡침내 기준으론 정가 주고 사기엔 아깝고 30% 이상 세일 하면 살만 할듯</t>
  </si>
  <si>
    <t>战斗方面：普通怪用轻攻→翻滚→轻攻→最后重击，攒好槽打出重击就能过；强一点的精英怪需要读招。找路太烦，虽然能靠潜行绕过，但整体来说不值原价，打 7 折以下可以考虑。</t>
  </si>
  <si>
    <t>Boss战斗节奏；引导迷路单线</t>
  </si>
  <si>
    <t>KR-P-239</t>
  </si>
  <si>
    <t>2024-12-21</t>
  </si>
  <si>
    <t>개인적인 평점 : 8.0 / 10중국 게임 사상 최고의 AAA급 게임, 골든조이스틱 수상, 2024 TGA 수상 기준에 대한 디렉터의 불만 등 여러 이슈를 끌고 다닌 말많은 게임입니다. 보통 이렇게 말이 많은 작품들 대부분은 조직적인 바이럴이나 극성 유저들의 근들갑이 심하기 때문에 이에 대한 반작용으로 평가에 혼란스러운 내용들이 뒤섞이는 경우가 많습니다. 오공의 경우도 크게 다르지 않아서 게임 자체의 논의는 뒷전이고 '그 나라'를 향한 거부감, '그 나라 사람들'의 자기중심적인 사상에 대한 비난이 게임 평가의 중심에 자리하는 경우가 많이 보이는 편이죠.    그러나 이런 이슈들을 뒤로하고 게임 자체의 구조를 뜯어봤을 때 오공은 인상적인 지점이 많이 발견되는 작품입니다. 개인적으로 2024년을 되돌아 봤을 때  국내에서 큰 주목을 받은 액션 게임인 스텔라 블레이드나 본격 소울라이크 시대를 열었던 엘든링의 DLC보다도 훨씬 더 의미있는 성과를 거둔 게임이라고 생각합니다. 저 또한 그 나라를 싫어하는 편에 가깝지만 해당 게임에 대한 평가는 그런걸 덮어두고도 남을 정도로 곱씹을 부분이 차고 넘치는 편이기 때문입니다.오공의 디렉터는 자신의 게임을 소울라이크가 아니라 갓 오브 워에 가까운 시네마틱 액션으로 설명했지만 실제 플레이의 구조적 재미는 다크소울3 이후 생산되는 선형적인 소울라이크의 레벨 디자인을 많이 닮아있습니다. 적들을 하나하나 처리해나가며 긴 거리의 맵을 천천히 주파해나가도록 길을 제시하고, 실력을 체크하는 고난이도의 중간보스들을 배치하여 레벨 곡선을 고조시키다가 말미에는 중요 보스를 클리어함으로써 챕터 하나를 마무리해나가는 방식. 즉 보스들의 난이도를 계단식으로 배치하여 게임에 천천히 몰입할 수 있는 유도형 디자인을 채택하고 있습니다. 보스의 숫자가 많기 때문에 보스러시에 가깝다는 평가도 많이 듣는데 실제로 소울라이크의 구성에서 3D 메트로배니아의 복잡한 필드 구성을 적당히 변형시켜 남겨놓되, 다양한 보스들과의 연속 전투를 통해 타 소울라이크 게임들과는 색다른 인상을 확립하고자 하는 의도가 많이 느껴졌습니다.소울라이크가 기반이긴 하지만 타 액션게임의 영향 또한 많이 보입니다. 위에서 말했듯 디렉터가 강조하는 갓 오브 워의 영향이 강하게 드러나는데 이는 플레이어가 사용할 수 있는 무브셋에서 잘 확인할 수 있습니다. 바위육신, 정지술, 기화술, 분신술 같은 특수능력이나 충전 아이템인 법보는 위기를 벗어나는 것에 그치지 않고 전투의 판세를 단번에 역전시킬 수 있는 파격적인 성능으로 구성되어 있기에 갓 오브 워 시리즈의 단순하고 호쾌한 액션감각과 유사하다고 볼 수 있습니다. 뿐만 아니라 손오공 특유의 과장된 몸짓을 잘 살린 역동적인 액션 연출을 통해 갓 오브 워에 버금가는 시네마틱한 느낌을 자랑하기도 하구요. 언리얼 엔진5를 채택한 이유 또한 그냥 관종식으로 바이럴치는게 아니라 플레이어에게 강렬한 연출을 선사하고자 어떻게든 몸을 비틀며 만든 피나는 노력의 산물이 아닐까하는 생각도 드는 편입니다.여기까지 보셨으면 [검은신화:오공]은 소울라이크의 토대 위에 갓 오브 워의 첨가제를 더한 절충적인 작품으로 정리할 수 있을 것입니다. 흥미로운 점은 소울라이크를 즐기는 진성 방식대로 해도 게임이 풀리고 갓 오브 워처럼 쉽고 호쾌하게 진행해도 재미있게 즐길 수 있다는 겁니다. 즉 단순히 소울라이크와 갓 오브 워를 생각없이 섞은게 아니라 두 장르의 핵심을 정확히 이해하고 적절히 융화시켰다고 평가할 수 있을 겁니다. 구체적으로 보자면 벽곤, 척곤 봉술 중심으로 적의 패턴을 구조적으로 대응하는 플레이어는 고난이도의 소울라이크 파훼 방식을 추구하며 즐길 수 있고 분신술, 기화술, 법보를 이용해 일방적으로 보스를 몰아붙이는걸 좋아하면 그렇게 해도 게임이 굴러간다는 뜻입니다 . 즉 오공은 게임에 깊게 들어가고자 하는 헤비 유저와 걍 찍먹해보려는 라이트 유저를 전부 수용할 수 있는 폭 넓은 그라운드를 마련했다고 볼 수 있겠네요.물론 해당 게임이 완벽하다는 뜻은 아닙니다. 많은 사람들이 지적하는 투명벽 부터 시작해서 간혹 가시성을 고려하지 않은 과도한 이펙트 남발 등.. 아이디어와 마감력 측면에서 베테랑 개발사들에게는 도저히 허용되지 않는 아마추어적인 감성이 발견되기도 합니다. 위에서 말했듯 이 게임은 보스러시 형식을 취하고 있으나 보스들의 난이도 곡선이 일정하지 못하고 들쭉날쭉 하다는 점 또한 지적할 수 있을 겁니다. 게임 초반부에 만나는 수도승부터 호선봉같은 보스들은 굉장한 퀄리티를 자랑합니다만 몇몇 보스들은 왜 잡아야하는지 이해가 안될 정도로 빈약한 구성도 존재하고 스테이지 레벨에 맞지 않게 너무 쉽거나 지나치게 불합리한 측면이 있습니다. 특히 4장의 백안마군 같은 경우 스테미나 최대치 감소라는 답답한 패널티를 컨트롤로 극복할 방법이 없어서 법보를 반쯤 강제하는데 이러한 단순하고 과격한 디자인으로 인해 즐거움보다 불쾌감이 선행하는 편이죠.그러나 이런 단점들을 의식하고서도 방어논리를 충분히 세울 수 있다는 점 또한 얘기해야할 것 같습니다. 몇몇 보스들의 완성도가 떨어질 지언정 게임 초 중 후반부를 확실히 견인하는 인상적인 보스들이 있기 때문입니다. 앞서 말했던 수도승, 호선봉이 좋은 예시이며 무엇보다 게임 최후반부에 만날 수 있는 대성의 빈 육체와 이랑진군은 복잡한 패턴 디자인을 가졌음에도 불구하고 패턴 파훼에 대한 은유적 가이드라인을 수시로 던지며 플레이어의 투쟁심을 자극하는 명보스들입니다. 개인적으로는 히든보스인 이랑진군이 인상깊은 편으로 패턴 자체는 난잡하고 한없이 난해해보이지만, 하나하나씩 뜯어보면 전부 합리적으로 뚫을 수 있는 여지를 남겨주는 절묘한 밸런스를 보여주고 있습니다.결론을 내보자면 [검은신화:오공]은 소울라이크와 갓 오브 워와 같은 모범적인 액션 게임의 특징을 적절히 가져왔으며 이를 기반으로 제작진들의 집념이 이루어낸 빛나는 성과가 하나하나씩 보이는 수작이라고 할 수 있겠습니다. 서유기의 본토인들이 자국의 문화가 가지고 있는 아름다움을 확실하게 인식하고 화려하게 빚어낸 부분에서는 경이로움을 넘어 부러움까지 느낄 정도입니다. 맨날 '조선 소울라이크 언제 만드냐'고 외치고 있는 한국의 입장에서는 굉장히 부러운 일이 아닐 수 없기도 하죠. 서양인들이 동양을 바라보는 왜곡된 시선, 소위 말해 '오리엔탈리즘' 게임들에 맞설 수 있는 새로운 아트폼이라는 점에서도 큰 의미가 있다고 생각합니다. 그런 의미에서 디렉터의 'TGA 수상기준이 뭔지 모르겠다' 식의 경솔한 발언은 불필요했다고 생각하는 편입니다. 왜냐하면 굳이 외적인 기준으로 평가받을 이유가 없는 게임이기도 하며 유일한 고지를 선점했다는 점에서 경쟁에 목맬 이유도 전혀 없는 게임이기 때문입니다. 이 게임이 가치있는 이유는 이 게임안에서 충분히 찾을 수 있을 정도라고 얘기드리며 리뷰를 마치겠습니다.</t>
  </si>
  <si>
    <t>个人评分 8.0/10。中国游戏史上最强 AAA、金摇杆奖、2024 TGA 提名。对我来说，这款的价值已经能在游戏本身找到答案。</t>
  </si>
  <si>
    <t>KR-P-240</t>
  </si>
  <si>
    <t>와... 검은신화오공.. 대박이네요소울류 게임을 한 번도 해본 적도 없고, 시작조차도 하기 어려웠는데, 이번에 하도 이슈가 되서 해보니까 이거 정말 잘 만들었네요.중간 중간 정말 '와 이거 깰 수나 있나' 싶을 때가 있었는데, 결국 결국 깨네요!일단, 연출자체가 정말 훌륭하고, 멀티엔딩과 아이템 파밍하는 재미가 상당합니다.보통 메인스토리만 미는 스타일인데, 검은신화오공은 맵에 있는 모든 퀘스트와 아이템을 다 클리어하려고 시도했습니다. 올해 위 게임의 디렉터가 고티를 수상하지 못한거에 대해 '아쉬움'을 표현했지만, 제 입장에서는 아쉬움의 표현이였을 거라고 생각합니다.  게임에 정말 많은 정성이 들어갔고, 이정도면 '명작'은 확실합니다</t>
  </si>
  <si>
    <t>从没碰过魂类的我也玩得很开心。画面一流、像看电影。很多争议只是“可惜”的表达。这份诚意，配得上“名作”。</t>
  </si>
  <si>
    <t>画面美术场景；整体完成度</t>
  </si>
  <si>
    <t>KR-P-241</t>
  </si>
  <si>
    <t>2024 나한테는 고티임소울 게임 별로 안좋아하는데 이거 엔딩까지 쉴새없이 달렸습니다</t>
  </si>
  <si>
    <t>对我来说是 2024 年的年度最佳。我并不爱魂类，却一口气打到通关。</t>
  </si>
  <si>
    <t>KR-N-242</t>
  </si>
  <si>
    <t>여러분 게임이 더러우면 더럽게 플레이하세요21 시간 해보고 느낀건데 맵스테이지 계절들이 와룡이랑 비슷 하게 흘러갑니다 그냥 그레픽좀 상향된 앞잡 뒷잡 없는 원숭이버전 와룡 이라 생각하시면돼요</t>
  </si>
  <si>
    <t>如果游戏“脏”，那也“脏着玩”。玩了 21 小时的感受：地图/章节/季节的推进与《卧龙》很像——可以把它看作“画面更强的悟空版《卧龙》”。</t>
  </si>
  <si>
    <t>画面美术场景；地图路线；西游悟空符号</t>
  </si>
  <si>
    <t>KR-P-243</t>
  </si>
  <si>
    <t>2024-12-23</t>
  </si>
  <si>
    <t>동양신화와 사상, 특히 도교와 불교 쪽 사상을 잘 담아낸 소울류 게임동양 분위기가 나는 경치도 매우 아름다웠고, 잘 찾아보면 수집 요소나 스토리 외적인 보스들도 많기에 돌아다니는 것도 재미있었다.생각보다 회피 판정이 널널하고, 보스들도 어느 정도 때리면 비교적 쉽게 그로기가 되기 때문에 난이도는 소울류 치고는 쉬운 편이라고 생각한다. 물론, 소울류 치고 쉬운 편이라는 것일 뿐 어려운 난이도이기는 하다. 몇몇 장의 길 찾기 난이도가 상당히 어렵다. 특히 6장은 맵은 제일 넓은데, 탐험 요소는 제일 없다. 스토리 외적인 보스들까지 전부 잡으려면 사실상 공략 보는 게 정신 건강에 편한 정도.물론 이런 단점이 크게 부각되지는 않았으며 이 정도면 올해의 고티도 노려볼 만하다고 생각된다.</t>
  </si>
  <si>
    <t>很好地承载了东方神话与思想，尤其是道、佛的部分；东方风景极美。战斗会累、容易重复，建议分段玩，别长时间连轴转。即便如此，我仍觉得它够格去冲年度。</t>
  </si>
  <si>
    <t>画面美术场景；Boss战斗节奏；难度挑战；中国文化宗教语言审美</t>
  </si>
  <si>
    <t>KR-P-244</t>
  </si>
  <si>
    <t>일딴 까충이들에게 경고한다. 게임 할줄 모르면 걍 ㄲ ㅓ 져 일단 스토리 아주 좋음 서유기의 완벽한 느낌.스토리이해력 부족하거나 손가락 실력 없는 애들에게는 그냥 노잼임.. 메이플 스토리나 가서 해라.개인적 점수 88점 GOTY 못받은건 아쉬움.  하긴 GOTY도 PC많이 묻엇으니 라오어2도 받았는데....</t>
  </si>
  <si>
    <t>先警告那些只会挑刺的人：不会玩就先别来。故事很棒，有“完整的《西游记》感”。我个人打分 88 分，没拿 GOTY 很可惜（当然 GOTY 本来也常有争议）。</t>
  </si>
  <si>
    <t>KR-P-245</t>
  </si>
  <si>
    <t>어렵다고 평점을 낮게 주는 사람들이 몇 보이는데, 다른 소울류에 비하면 이게임은 매우쉬움수준의 난이도입니다.갠적으로 굉장히 재미있게 플레이했고, 난이도는 적절한 수준인것 같습니다.소울류 많이 해보신분이면 몇몇 어려운보스 빼고 거의 첫트에 웬만한 보스는 다 잡을듯.스토리가 제 기준에서는좀 더 길었으면 좋겠다 생각이 들긴 하는데, 그래도 명작인것 같네요.</t>
  </si>
  <si>
    <t>看到有人因为“难”而给低分。与其他魂作相比，这作难度其实“很容易”。稍微练练，多数 Boss 都能打过。按我标准，剧情还可以更长。总体是名作。</t>
  </si>
  <si>
    <t>KR-P-246</t>
  </si>
  <si>
    <t>2025-01-09</t>
  </si>
  <si>
    <t>고티게임은 고티인 이유가 있다일단 전투에서 회피할때 슬로우모션이 걸리는데 이게 뭔가 박진감을 더해주는것 같아서 좋았고빌드의 자유도가 높아서 막히는 보스가 있으면 그 보스에 맞춘, 카운터칠만한 스킬,장비,장신구,혼백,특성 등등을 연구하는 재미가 있음단점은 길찾기가 너무 어려움챕터별로 길 헷갈리는 구간이 최소 하나씩은 있고 마지막장에선 ㄹㅇ...힘들었음그래도 이게임이 고티가 된 가장 큰 이유는 스토리랑 그래픽이 아닐까싶음일단 챕터 끝날때마다 나오는 애니메이션 연출이 너무 좋았고어릴때 만화로만 봤던 서유기를 소설로 한 번 읽어보고 싶다는 생각이 들 정도로 여운이 남는 스토리였음서유기를 좋아한다면 200%즐길수있을듯</t>
  </si>
  <si>
    <t>年度最佳自有其理由。回避时的子弹时间能显著增强张力；演出很高级。看完让我甚至想去读原著《西游记》。喜欢《西游记》的话，能 200% 地享受。</t>
  </si>
  <si>
    <t>演出角色怪物设计；动作打击手感；西游悟空符号；中国文化宗教语言审美</t>
  </si>
  <si>
    <t>KR-N-247</t>
  </si>
  <si>
    <t>2025-01-12</t>
  </si>
  <si>
    <t>잘 만들었다. 그래서 분하다.액션이나 레벨디자인은 확실히 어설픈 부분이 있다그야 개발사는 이런 게임을 처음 만들어보는 거니까오히려 처음인데 이정도의 완성도인게 놀라울 정도다어설픈 부분이 있긴하다. 하지만 잘 만들었다. 그래서 분하다자국의 문화를 이렇게 멋지게 구현하여 전세계에 알리다니K-게임은 과금BM만 연구해온 결과 게임성은 이제 뒤쳐져버렸다P의 거짓, 스텔라 블레이드가 게임 시상식 후보에 오를 때검은신화 오공은 상을 휩쓸었다. 그것도 자국의 문화로.오공처럼 홍길동같은 우리의 IP로 GOTY급 게임 나오는 건바라지도 않는다는 생각이 든다는 점에서현재 K-게임의 수준이 참으로 아쉬울 따름이다</t>
  </si>
  <si>
    <t>做得好，所以更让人心酸。动作与关卡确有生涩之处——毕竟这是团队第一次“真刀真枪”做这种类型。看完后不禁反思：在当前的 K-Game 生态里，指望靠自有 IP 诞生 GOTY，恐怕太难，这让我感到遗憾。</t>
  </si>
  <si>
    <t>动作打击手感；难度挑战；地图路线；推荐价值判断</t>
  </si>
  <si>
    <t>KR-P-248</t>
  </si>
  <si>
    <t>2025-01-15</t>
  </si>
  <si>
    <t>产品已退款
												어려운건 잘 모르겠는데 그냥 전투하는게 재미가 없음세키로나 엘든링같이 정석적으로 잘만들어진 소울류겜 하다가 오면 굳이 이걸 130기가에 70000원?날 글쎄다</t>
  </si>
  <si>
    <t>【已退款】难不难另说，关键是我觉得战斗不好玩。习惯了《只狼》《艾尔登法环》那种“正统魂”的玩家，要我花 130GB/7 万去买它？很难。</t>
  </si>
  <si>
    <t>KR-P-249</t>
  </si>
  <si>
    <t>2025-01-23</t>
  </si>
  <si>
    <t>업계인으로서 평가.1. 엄청난 영상 퀄리티 및 음악으로 훌륭한 마케팅2. 동양인이 만든 정통 동양 판타지3. 탄탄한 원작, 이를 트랜디하게 재해석한 실력4. 소름돋는 애니메이션 및 스토리 연출5. 준수한 레벨 디자인 + 전투 6. 특히나 본인들의 역량 이상이라고 판단되는 영역은 과감히 포기하는 것도 합리적이었음 (예 : 레벨디자인에서 투명 벽 처리)갠적으론 P의 거짓이 수작들의 왕 정도 된다고 보는데그렇게 보면 오공은 명작의 초입부 정도 된다는 생각.암튼 자신 있게 추천드릴 명작입니다.</t>
  </si>
  <si>
    <t>以行业从业者的视角来评：
1）超强的影像与音乐，形成漂亮的市场传播；
2）由东方人制作的“正宗东方奇幻”，而非西方视角里的东方；
3）当今单机动作游戏里能排进“王者”，而《悟空》则是“名作的起点”。自信推荐。</t>
  </si>
  <si>
    <t>音乐音效配音；动作打击手感；锁定视角；推荐价值判断；西游悟空符号</t>
  </si>
  <si>
    <t>KR-P-250</t>
  </si>
  <si>
    <t>2025-01-26</t>
  </si>
  <si>
    <t>더럽게 너무 어렵다.모든 ㅈ같은 공격을 전부 다 피해야 한다. 스탯 채우는게 사실상 큰 의미가 없다.중간 잡몹들도 되게 세다.----근데 할수록 실력이늘어 덜 어려워지고 할만해진다.</t>
  </si>
  <si>
    <t>非常难。所有恶心的攻击都得躲干净，堆属性意义不大，路上的小怪也很强。但越玩越能感觉到技术在进步，难度也就降下来了。</t>
  </si>
  <si>
    <t>KR-P-251</t>
  </si>
  <si>
    <t>2025-02-09</t>
  </si>
  <si>
    <t>그냥 사셈 이 게임은.... 인정을 할수밖에 없다.  소울류 별로 안좋아하는사람도 공략보면 충분히 재미있게 할수있음</t>
  </si>
  <si>
    <t>买就完事儿。这款只能承认它好。就算不是魂粉，看着攻略也能玩得很开心。</t>
  </si>
  <si>
    <t>推荐价值判断；外部资料依赖</t>
  </si>
  <si>
    <t>KR-P-252</t>
  </si>
  <si>
    <t>2025-02-10</t>
  </si>
  <si>
    <t>소울게임 입문하고 싶다하시면 추천 드리는 게임인 것 같네요 소울류 게임을 오공으로 시작했는데 생각보다 그정도로 보스들이 빡세진 않아서 좋은데 하다보면 또 적응이 되서 금방금방 늘어요 또 죽어도 패널티가 없으니까 편안하게 할 수 있는 것 같고 판정도 무난해서 생각보다 할만합니다.</t>
  </si>
  <si>
    <t>如果你想入门魂，我推荐这作。我就是从《悟空》入坑，难度比想象低些；越打越上手，且死亡没惩罚，可以轻松玩。</t>
  </si>
  <si>
    <t>KR-P-253</t>
  </si>
  <si>
    <t>6회차 진행중인데 첨할때는 그냥 할만하다가 2회차부터 그냥 빠져듬 그러디가 5회차때 반복해서 너무 질리는데 생각들어서 다른게임 갔다가 한 30분 정도하고 다시 돌아옴</t>
  </si>
  <si>
    <t>进行到第 6 周目。第一次只觉得“还行”，从二周目开始就彻底入坑。到了第五周目觉得重复有点腻，出去玩了半小时别的游戏又折返回来。</t>
  </si>
  <si>
    <t>KR-P-254</t>
  </si>
  <si>
    <t>2025-02-14</t>
  </si>
  <si>
    <t>그래픽 눈호강.. 하는 내내 배경에 감탄함 사양 좋은 컴퓨터로 해야지 제값을 치루는 게임하지만 너무 잦은 보스전투 + 쉽지 않은 난이도로 인해 피로감이 꽤 있긴 하다모험하는 느낌이 재미있었고 전투도 재밌었당(히든보스들이 진또배기이니 꼭 잡아보길...)</t>
  </si>
  <si>
    <t>画面养眼，游玩过程中总被背景惊到，的确要好硬件才值回票价。就是太频繁的“查找路/绕圈”带来疲惫。探索的感觉很好、战斗也有趣。（隐藏 Boss 很硬，务必去打！）</t>
  </si>
  <si>
    <t>画面美术场景；Boss战斗节奏；探索隐藏支线；引导迷路单线；Bug兼容硬件；推荐价值判断</t>
  </si>
  <si>
    <t>KR-P-255</t>
  </si>
  <si>
    <t>서유기 중국 AAA게임압도적인 그래픽, 연출, 영상미로 망상으로만 해본 손오공의 액션을 눈으로 볼수 있음. 전형적인 보스 도장깨기 형식에 게임으로, 보스 깨고 얼마 안가 또 다른 보스가 나타난다. 빈도가 되게 짧다. 알기로 보스몹만 80마리가 넘어가는걸로 알고 있다.잡몹 오래 잡고 맵 하루종일 쑤시고 다니는거보단 지루하지 않고 좋다고 생각하는 사람도 있겠지만, 이게 은근히 피로도를 올리는점도 한몫한다.소울라이크는 아니라고 하지만 사실상 소울라이크와 크게 다를꺼 없으며, 기본적으로 회피 혹은 패링 후 딜을 넣는식에 플레이를 해야한다. 다른점이라고 하면 다른 소울라이크에 비하면 플레이가 속도감이 있다. 그리고 여러가지 법술이나 변신등 다양한 전투 방식이 있는편.난이도 같은 경우에는 어느정도 어려운편인거 같으며,죽었을때 디메리트가 없어서 계속 대가리를 박으며 트라이가 가능하다. 스토리 같은 경우는 꽤나 불친절한 느낌이다. 그래서 서유기 원작을 꽤나 알고 있는게 아니라면 이해가 안갈수 있다.24년 고티를 못받은건 아쉽지만 확실히 거론이 많이 될만한 게임이였던거 같다.진엔딩이랑 그냥 엔딩 다 보는데 40시간 좀 넘게 걸린거 같다. 굉장히 재밌게 플레이 했다.</t>
  </si>
  <si>
    <t>《西游记》题材的中国 AAA。压倒性的画面、演出与影像，把我只敢在想象中构思的“悟空动作”真实呈现出来。两种结局我都看了，花了 40 小时多一点，玩得非常开心。</t>
  </si>
  <si>
    <t>画面美术场景；演出角色怪物设计；动作打击手感；西游悟空符号</t>
  </si>
  <si>
    <t>KR-P-256</t>
  </si>
  <si>
    <t>장점 :
1. 그래픽이 좋음
2. 보스가 엄청 많고 보스들마다 고유한 패턴이 있어서 공략하는 재미가 있음
3. 맵이 엄청 다양한데 하나하나가 다 멋지고 예쁨. 맵마다 특색이 넘쳐남
4. 맵이 알차면서 복잡하지 않음
5. 컷씬이랑 전투 연출 미쳤음
단점:
1. 무기가 처음부터 끝까지 여의봉 하나라서 금방 질림. 게임이 짧은 편도 아닌데 무브셋을 하나만 가지고 깨려니까 지루해질 수 있음. 그 여의봉을 여러 형태로 업그레이드 할 수 있는데 외형과 대미지만 바뀔 뿐 새로운 공격이나 무기 고유의 스킬이 없음.
2. 외형 커마가 불가능하고, 갑옷도 스토리 마지막 장에서 얻는 종결세트 말고는 외형이 다 거기서 거기라 같은 컨셉 플레이를 좋아하는 유저에게는 불호일 수 있음
3. 보스들의 패턴이 뇌절이 많음. 공격이 다 끝난 척 하고 그 뒤에 2~3번의 추가타가 따라옴. 게임을 억지로 어렵게 만드려는 개발자들의 노력이 보이는 것 같아서 조금 짜침 ..
4. 불교 신화 기반이라 사전 지식 없으면 스토리나 등장인물 몰라서 재미가 반감될 수 있음
100점 만점에 71점 드립니다.</t>
  </si>
  <si>
    <t>优点：（略）
缺点：1）从头到尾只有如意金箍棒一种武器，时间并不短，用一种套路通关容易腻；虽然可以升级为不同形态，但除了外观与伤害，几乎没有全新的攻击与武器固有技能。
2）不能捏脸，自定义外观受限；除了最后章节拿到的“毕业套”，其他护甲外观差异不大，喜欢“同一套风格”连贯游玩的人可能不喜欢。
3）Boss 常有“以为结束但后面还跟两三下”的追加，从而显得是“强行做难”。
4）基于佛教神话，没预备知识的话对故事与人物的理解会打折。
综合：100 分给 71。</t>
  </si>
  <si>
    <t>动作打击手感；Boss战斗节奏；难度挑战；西游悟空符号；中国文化宗教语言审美</t>
  </si>
  <si>
    <t>KR-P-257</t>
  </si>
  <si>
    <t>게임 평가에 리뷰 처음 남김.세일 안해서 풀프라이스로 샀는데 돈이 안아까움.그래픽 좋아서 몰입감 좋고, 단순히 그래픽 좋기만 한게 아니라 그걸 이용해서 아트가 정말 훌륭함.액션도 재밌고스토리도, 고전 명작 특징이 이름만 알고, 정작 읽어본 사람 몇 없어서 내용은 모른다는 것인데,일부러 서유기 원전과 검은신화 오공 스토리 비교해보며 찾아보게끔 하는 매력이 있고.서유기 자체가 고전명작인 이유는 그 안에 각자의 교훈이 담겨있기 때문인데 각색하면서도 잘 녹여낸 게임.재밌는 게임을 하면서 내 삶의 방향성에 대해서도 다시 한 번 생각하게 해줌.그리고 난이도가, 피지컬 좋지 않아도 되는 게임으로 적절하게 밸런싱한 것 처럼 느껴짐.피지컬 안좋은 내가 해도, 어지간한 보스는 쉽게 깰 수 있고, 좀 어렵다 싶으면 2~3트, 정말 어렵다 싶으면 버프 약물 마시거나, 공략 보면 쉬움.인생 갓겜으로 불릴만한 게임</t>
  </si>
  <si>
    <t>第一次为游戏写评。没打折时以原价入手，也不后悔。画面好、沉浸足，操作手感准；遇到有点难的 Boss，重来两三次或者吃下增益药、看看攻略就能过，称得上“人生神作”。</t>
  </si>
  <si>
    <t>KR-N-258</t>
  </si>
  <si>
    <t>2025-02-25</t>
  </si>
  <si>
    <t>우려 먹을대로 우려먹은 서유기인 손오공 이야기를 또 우려먹지 않고 아무도 몰랐던 서유기 이후 손오공 이야기를 아주 잘 표현했고 창의성 있게 표현하지 않았나 싶어요, 그리고 아직 풀리지 않은 떡밥인 챕터 4의 반사령에 넷째 언니의 행방과 학 선인이 나중에 DLC로 풀릴지 아주 기대 중이고 검은 신화 시리즈도 3개로 기획 되어 있고 아직 두 개 남았으니 그것도 기대됩니다!! 서유기에서 뭔 짓을 해도 죽지 않는 불사신인 손오공을 자기 손으로 죽였다는 것도 신박한데 사실 천계의 간섭에서 벗어나서 자유롭게 살기 위한 손오공의 위대한 계획이었다는 것에 정말 기발했습니다!! 그리고 계속 업데이트 해주는 것도 아주 좋았습니다.살다 살다 중국 게임에 감동 받은 건 첨인데....저팔계 씬과 마지막 미완 씬은 눈물이 났습니다!DLC와 다음 검은 신화 시리즈 기대하겠습니다!!</t>
  </si>
  <si>
    <t>没有把“被吃烂的孙悟空”再吃一次，而是讲了鲜有人知的“《西游记》之后”的故事，立意很妙。某些桥段（八戒相关、最后的未完镜头）让我落泪。期待 DLC 与下一部“黑神话”。</t>
  </si>
  <si>
    <t>锁定视角；西游悟空符号</t>
  </si>
  <si>
    <t>KR-P-259</t>
  </si>
  <si>
    <t>정말 갓겜입니다 꼭해보셔야됩니다!어려운구간도있지만 포기하지않고 몇번해보시면 금방깰수있습니다!</t>
  </si>
  <si>
    <t>真·神作，务必一试！有难度的段落也别放弃，多试几次就能过。</t>
  </si>
  <si>
    <t>KR-P-260</t>
  </si>
  <si>
    <t>2025-03-17</t>
  </si>
  <si>
    <t>중국 게임에 대한 인식이 바뀌게 되었던 게임입니다아쉬운 점은 있지만 게임 자체적으로도 어지간한 게임들은 씹어 먹을 수 있다 생각합니다많은 보스전 때문에 피곤하다는 사람도 보긴 했는데오히려 개인적으로 보스전들이 재밌어서 더욱 재밌게 느껴진거 같아요그리고 특정 스테이지는 맵을 좀 억지로 어지럽게 만든 느낌이 있어서이건 좀 아쉬움이 컸습니다그리고 스테이지가 끝날 때 마다 나오는 애니매이션도 정말 좋았다고 생각합니다서유기를 몰랐음에도 이입해서 볼 수 있었어요개인적으로 인왕 시리즈 좋아하는데 그런 느낌도 나서 재밌게 즐길 수 있었습니다그런데 봉술 하나만 있는게 좀 아쉽다고는 생각합니다</t>
  </si>
  <si>
    <t>改变了我对中国游戏的看法。虽有遗憾，但整体比绝大多数游戏强。我喜欢“王”系列，这作也有那种味道；就是只有棍一种武器稍微可惜。</t>
  </si>
  <si>
    <t>KR-N-261</t>
  </si>
  <si>
    <t>2025-03-21</t>
  </si>
  <si>
    <t>소울 라이크 게임을 잘 못하는 관계로 스토리만 보자는 식으로 트레이너 써서 완료 했습니다.연출은 정말 기가 막히는군요, 컷씬이나 몬스터 모두 흠잡을데가 없었다고 감히 말하고 싶습니다.</t>
  </si>
  <si>
    <t>因为不擅长魂类，我抱着“只看剧情”的心态开了修改器通关。演出真的绝了——无论过场还是怪物的造型，都挑不出毛病。</t>
  </si>
  <si>
    <t>KR-P-262</t>
  </si>
  <si>
    <t>스토리를 연출하고 텔링하는 방식이 가히 압도적이다.서유기의 세계관을 이렇게 절제되고도 묵직하게 연출할 수 있다는것에정말 놀라움을 금할 수 없다.  다크소울 같은 어두운 분위기를 좋아한다면 매우 만족할 것.액션또한 다크소울의 묵직한 느낌이 있으면서도스킬 콤보를 활용하여 화끈하게 몰아치는 맛도 느껴볼 수 있겠다.템 파밍과 탐험의 재미를 제대로 구현했고,끊임없는 보스 전투 그러나 지루하지 않은 각각의 보스들 전투 디자인, 그 속에 녹아드는 챕터별 흥미로운 스토리와 컷씬 연출들..정말 완벽한 Master piece 작품 하나를 즐길 수 있다.개인적으로는 단점을 찾아볼 수 없는 완벽한 게임.</t>
  </si>
  <si>
    <t>叙事与演出的方式堪称压倒性。能把《西游记》的世界观演得如此克制而厚重，太厉害。若每年能遇到一件这样的“真正的艺术品”，我就满足了。对我个人而言几乎无可挑剔。</t>
  </si>
  <si>
    <t>演出角色怪物设计；西游悟空符号</t>
  </si>
  <si>
    <t>KR-P-263</t>
  </si>
  <si>
    <t>게임플레이도 훌륭하지만 서유기의 현대적 재해석이란 관점에서 봤을때도 정말 훌륭하네요, 요새는 엔딩본 이후에 이스터에그나 스토리만 읽는중인데도 흥미진진..</t>
  </si>
  <si>
    <t>玩法优秀，从“现代再阐释《西游记》”的角度看更是出色。通关后我还在读彩蛋与故事，依旧津津有味。</t>
  </si>
  <si>
    <t>KR-N-264</t>
  </si>
  <si>
    <t>2025-04-05</t>
  </si>
  <si>
    <t>2회차 진행중 평가기대 이하1. 아직도 스토리 내용을 하나도 이해하지 못함2. 게임 도중 크래쉬 등 심각한 버그 존재3. 난이도 배정 실패- 초반에는 극도로 어렵다고 느꼈지만, 오히려 뒤로 갈수록 쉽다고 느껴짐- 거의 매번 1트만에 클리어한듯- 본인은 소울류 유저가 아님4. 소모류 아이템 시스템- 다른 소울류는 넘버키로 소모템을 배치할 수 있는 반면, 이 게임은 몬헌 와일즈처럼 하나씩 돌려가면서 사용해야함전체적으로 가격에 맞는 플레이 타임과 게임성을 가지고는 있으나, 사람들의 평가보단 그저그런 느낌</t>
  </si>
  <si>
    <t>二周目评价：低于预期。1）到现在我还看不太懂剧情；2）运行中有崩溃等严重问题；3）同类型法术/技能间平衡有偏差，后期几乎只能用少数强势配置。总体对得起售价，但没有达到大众口碑里的高度。</t>
  </si>
  <si>
    <t>动作打击手感；崩溃闪退；Bug兼容硬件</t>
  </si>
  <si>
    <t>KR-P-265</t>
  </si>
  <si>
    <t>재미는 있으나 극찬은 모르겠음장점.1.맵 배경과 연출 그리고 BGM등이 상당히 괜찮음 2.게임 템포가 매우 빠름 콤보나 연속기등 와룡과 세키로를 섞어놓은 맛임.[액션성 우수]3.캐릭터가 성장하기 굉장히 쉬운 조건을 가지고 있으며 매우 빠른 속도로 캐릭터 성장 가능단점.1.맵이 너무 미로 같아서 빙빙 헤멜수 밖에 없음. 특히 4장 동굴은 조트의 극치였음.[달리기 속도가 느리니 더 오래걸리고 짜증남]2.약공과 강공의 선후딜이 굉장히 심함. 또한 액션성과는 별개로 타격감이 그다지 좋지 못함.3.스토리의 이해가 안감. 보통 어느정도 플레이하면 틀이 잡혀서 알아야하는데 뭐 어떻게 흘러가고 있는건지 모르겠음. 그나마 보고 바로 이해할 수 있었던건 4장 엔딩크레딧 보고 알았음4.어디서 못된것만 배워 왔는지 구간구간 익숙한 스꼴라의 향기를 맡을 수 있었음 추천을 해야할지 말아야 할지 정말 긴가민가한 게임</t>
  </si>
  <si>
    <t>好玩，但谈不上“神”。优点：地图背景/演出/BGM 很不错；节奏明快。缺点：关卡设计有时“老套”，某些段落让我想起老作品。我在“推荐与否”之间非常犹豫。</t>
  </si>
  <si>
    <t>音乐音效配音；演出角色怪物设计；地图路线；推荐价值判断</t>
  </si>
  <si>
    <t>KR-M-266</t>
  </si>
  <si>
    <t>2025-04-10</t>
  </si>
  <si>
    <t>몬헌 -&gt; 엘든링 -&gt; 카잔 -&gt; 세키로(포기) -&gt; 피구라 -&gt; 검은신화이순서대로 지금 소울류 하고있는데 충분히 할만한 난이도인듯.세키로는 너무어려워서 중도하차했고 (나중에 재도전할 생각) 피구라도 하다가 조금 재미가없어서 검은신화하는중.난이도는 카잔/피구라보단 쉽고, 세키로보단 훨신 쉬움. 패링이없고 회피만있어서 처음에 적응하는데 힘들었지만 많이 쉬운 소울류 인듯.</t>
  </si>
  <si>
    <t>我的魂历程：怪猎→艾尔登→卡赞→只狼（弃）→匹谎→黑神话。相较之下，这作比《匹谎》容易得多，比《只狼》更是容易太多。没有招架、只有回避，起初不习惯，但整体属于“较易的魂”。</t>
  </si>
  <si>
    <t>KR-N-267</t>
  </si>
  <si>
    <t>2025-04-28</t>
  </si>
  <si>
    <t>하기전에는 중국겜이라 편견을 가지고 시작 했지만 하면 할수록 감탄만 하면서 엔딩까지 봄...딱히 단점이라고 할만한게 없음정가 주고 살만 함</t>
  </si>
  <si>
    <t>开始时带着偏见“中式游戏”，越玩越惊叹直到通关。几乎挑不出硬伤，值得原价入手。</t>
  </si>
  <si>
    <t>KR-P-268</t>
  </si>
  <si>
    <t>편견을 버리고 평가해보아야 하는 게임그래픽 - 두말할 필요 없는 최고전투 - 스킬트리별 개성이 확실하고 합리적으로 구성되어 있음.간파나 바위카운터, 강공을 성공적으로 우겨넣었을때의 쾌감은 그 어떤게임과 비교해도 부족함이 없고, 캐릭터 모션도 어색함이 없이 굉장히 부드럽게 연출된다평타 타격감이 다소 부족하다 생각할 수 있지만 약공격을 강공격과 간파 등의 진짜 기술의 발판으로 생각하면 이해되는 편맵이 복잡하긴 하나 그만큼 최고의 그래픽과 연출로 둘러보는 재미가 있고, 탐험에 대한 보상도 적절히 구성되어 있는 편이다히든 요소도 다수 존재하고 그것의 분량도 단순한 사이드 요소가 아닌 수준으로 구성됨이 게임의 진짜 단점은 액션게임에 익숙한 유저들이라면 난이도가 낮다고 생각할 수 있다는 것서유기를 좋아하는 사람이 가볍게 즐길 어드벤처 게임의 목적으로 접근하면 굉장히 높은 난이도의 게임이지만세키로나 갓오브워 류의 액션게임을 평소 즐겨왔던 사람들에게는 반대일 수 있다보스의 수는 많지만 주요 보스가 아닌 일반 두목요괴 급은 많아도 5트 이내에 클리어가 가능하며주요 보스의 경우도 많아도 3시간 이내 클리어가 가능한 정도절대 필자의 실력이 좋은것이 아니라 게임상 주인공 캐릭터의 체력과 방어력이 기본적으로 상당히 높은 수준이고각종 변신과 법술의 위력이 일반적인 액션게임에서 OP라 생각될 수준으로 구성된 탓으로 보임그래도 보스들의 수가 엄청나게 많은데도 모델링 돌려막기가 거의 없고각 보스들이 제각기 개성적으로 구성된 스킬, 무브셋을 갖고 있다는 점에서 이 게임이 얼마나 엄청난 자본이 투입된 게임인 지 알 수 있음</t>
  </si>
  <si>
    <t>必须抛开成见来评价。画面无需多言是顶级；战斗方面，各技能树的个性很强，虽然棍法是主轴，但每套派生的招式与动作都能看出巨资堆出的规模感。</t>
  </si>
  <si>
    <t>KR-N-269</t>
  </si>
  <si>
    <t>개인적으로 갓오브 워 보다 재밌게 했음특히 마지막 히든보스 2페이즈때는 진짜 존나 호쾌해서 의자에서 벌떡 일어나 방방 뛰었음퍼즐요소 적고 러쉬마냥 달리고 싸우고 반복하니까 좀 지루할 수도 있긴 한데 장마다 환경요소가 계속 바뀌기도 하고, 잡몹들 종류나 대처법도 바뀌고, 각기 다른 중간보스도 많은데다가 중간중간 기믹전투도 섞여있어서 전투 달리기 반복임에도 그 안에서 변형을 주고 지루함을 감쇄하려고 한 티가 남오히려 나 같은 경우는 동류의 게임인 갓 오브 워의 퍼즐요소가 좆노잼이었어서 이런 류의 퍼즐 없이 전투만 하는, 그런데 그 전투가 꽤나 다채로운 류의 게임이 더 좋았던 것 같음스토리는 솔직히 서유기를 안봐서 자세히 이해하긴 어려웠으나 맥락적으로 짐작하기에는 문제가 없고그렇다 한들 연출이 좆되서 자세히는 모를지언정 그냥 소름돋음</t>
  </si>
  <si>
    <t>就我个人而言，比《战神》还好玩。尤其最后隐藏 Boss 的第二阶段，爽到我从椅子上跳起来。即便难以完全理解细节，但在脉络上并不影响，演出一到位，鸡皮疙瘩立马起来。</t>
  </si>
  <si>
    <t>演出角色怪物设计；Boss战斗节奏；探索隐藏支线；推荐价值判断</t>
  </si>
  <si>
    <t>KR-N-270</t>
  </si>
  <si>
    <t>2025-05-06</t>
  </si>
  <si>
    <t>솔직히 말하면 똥손이라 피구라 초반에 환불했는데 겁나서 고민하다가 샀는데 정가주고 살만큼 개꿀잼이라 후회없음 ㅋ</t>
  </si>
  <si>
    <t>说实话我手残，《匹诺曹的谎言》开头就退款。犹豫着买了这作，结果真香，原价也不亏，一点不后悔。</t>
  </si>
  <si>
    <t>KR-N-271</t>
  </si>
  <si>
    <t>2025-05-10</t>
  </si>
  <si>
    <t>마법천자문으로 손오공을 배운 나도 재밌게 플레이했어요! 그래서 혼세마왕이 이량진군이죠?</t>
  </si>
  <si>
    <t>我是看《魔法千字文》认识孙悟空的一代，也玩得很开心！所以说“混世魔王”就是“二郎真君”的意思吗？（玩梗）</t>
  </si>
  <si>
    <t>西游悟空符号；本国媒介路径</t>
  </si>
  <si>
    <t>KR-P-272</t>
  </si>
  <si>
    <t>2025-05-11</t>
  </si>
  <si>
    <t>드라마틱한 스토리, 훌륭한 연출, 감동적인 애니메이션서유기 이후의 오공은 어떻게 되었을까?상상력으로 이어지는 오공의 이야기난잡한 약공격, 끊어지는 공격흐름,버벅거리는 최적화는 거슬리지만중국사람들이 오공에게 가지고있는 특별한 애정이 느껴진다오공의 봉술, 스킬, 장비 들에서는오공의 뽕맛이 차오른다!시작했다면, 꼭 엔딩까지 플레이해보자진한 여운이 느껴진다추천!</t>
  </si>
  <si>
    <t>戏剧性的故事、出色的演出、感人的动画。大闹天宫之后的悟空会怎样？本作用想象力把它连起来。棍术、技能与装备不断堆叠起“悟空的爽感”。既然开了，就请一定打到结局——回味绵长，推荐！</t>
  </si>
  <si>
    <t>演出角色怪物设计；推荐价值判断；西游悟空符号；本国媒介路径</t>
  </si>
  <si>
    <t>KR-P-273</t>
  </si>
  <si>
    <t>오공을 통해서 욕망, 두려움, 사랑, 분노, 후회라는 5가지 감정을 경험했다.긴고아를 받아들이며 열반에 드는 오공의 모습은, 부처의 마지막 모습을 떠올리게 한다.최종장에 오기까지 시네마틱 영상에서 슬픔과 연민을 경험했지만,마지막 오공의 선택에서는 이해할 수 없는 경외심이 들었기 때문이다.결국 번뇌를 끊어내는 오공과 달리,그렇지 못한 우리의 삶은 마치 욕심에 잠식된 요괴에 가깝다는 생각을 한다.그러나, 오공이 되어 요괴를 퇴치하며 마음 속 깊은 곳에서 쾌감을 느낀 것은나에게도 스스로의 번뇌를 끊어내는 여정이었기에 그러한 감정을 느낀 것이라고 믿는다.그래서 그런지, 오랜만에 게임을 하고 나서 개운하다는 느낌을 받는다.한편의 좋은 소설을 정독한 기분이다.오공에게 얻은 교훈을 한마디로 설명할 수는 없겠지만,삶의 어느 순간 떠오르며 나만의 긴고아가 될 것 같다.내가 느낀 감정을 많은 사람들도 경험하길 바라면서,이 게임을 추천한다.</t>
  </si>
  <si>
    <t>通过悟空，我体验了“欲望、恐惧、爱、愤怒、后悔”五种情感。接受“紧箍儿”的悟空最终得度，那个画面会在我心里反复出现，成为我的“自我紧箍”。希望更多人也能感到这种情绪，推荐这款游戏。</t>
  </si>
  <si>
    <t>画面美术场景；推荐价值判断；西游悟空符号</t>
  </si>
  <si>
    <t>KR-P-274</t>
  </si>
  <si>
    <t>2025-05-20</t>
  </si>
  <si>
    <t>비주얼이나 액션으로는 단연 탑급 goat 임하지만 소울류의 요소들은 다 때려박아놓고 선형구조?보스만 잡다가 끝나는게임...</t>
  </si>
  <si>
    <t>以视觉与动作来说是顶级的“GOAT”，但把魂要素几乎全塞进了“线性结构”里，玩起来像一路刷 Boss 就结束了。</t>
  </si>
  <si>
    <t>画面美术场景；动作打击手感；Boss战斗节奏；引导迷路单线</t>
  </si>
  <si>
    <t>KR-P-275</t>
  </si>
  <si>
    <t>2025-05-31</t>
  </si>
  <si>
    <t>产品已退款
												이런 류의 게임 좋아한다면 해보길 권장함. 재미있으리라 생각함.필자는 소울라이크 RPG 게임 경험이 별로 없어서 어려웠음.환불한 이유는 길찾기 너무 좋아서 길을 많이 헤맴. 불봉쓰는 보스 잡고 겜 껏음.나랑은 안 맞는걸 깨닳음.</t>
  </si>
  <si>
    <t>【已退款】喜欢这类的人可以一试，应该会觉得好玩。我是魂类 RPG 的中级玩家，自认并不菜，但这作找路太难太烦，我打到“用火的那个 Boss”就关了，发现不适合我。</t>
  </si>
  <si>
    <t>KR-P-276</t>
  </si>
  <si>
    <t>2025-06-02</t>
  </si>
  <si>
    <t>할만해요보스전 연출 보는맛이 좋았음. 특히 막보스평이 귀여움,  거미 누나 구해주고 싶어 흑흑</t>
  </si>
  <si>
    <t>还可以。Boss 战的演出很过瘾。尤其最终 Boss 的“耳朵”很可爱；想救蜘蛛姐姐，呜呜。</t>
  </si>
  <si>
    <t>演出角色怪物设计；Boss战斗节奏</t>
  </si>
  <si>
    <t>KR-M-277</t>
  </si>
  <si>
    <t>확실히 국비 들어가서 그런지 총살 안당할라고 제대로 만들긴했음 ㅈㄴ잘만들었네</t>
  </si>
  <si>
    <t>难怪说是“有国家资金”的项目，做得非常规整，真是做得好。</t>
  </si>
  <si>
    <t>KR-P-278</t>
  </si>
  <si>
    <t>2025-06-21</t>
  </si>
  <si>
    <t>매번 비슷한 배경게임만 하다가 동양 판타지 배경이라서 그런지 신선하고 재밌어요. 그래픽도 너무 좋네요.</t>
  </si>
  <si>
    <t>玩腻了千篇一律的背景，这份东方奇幻很新鲜也很有趣。画面极好。</t>
  </si>
  <si>
    <t>KR-P-279</t>
  </si>
  <si>
    <t>2025-06-22</t>
  </si>
  <si>
    <t>기존 소울류가 가지는 틀은 아주 조금만 가져가고 선형적인 맵에 오직 전투에만 치중하는 게임 설계가 맘에 듦전투 방식이 때리다가 회피해도 콤보를 이어나갈 수 있어서 경쾌하고 내가 게임을 잘하는 느낌이 들게 하는데 이게 손맛이 상당함게임이 이어지면서 스토리 이해가 조금 안되는 부분이 있지만 이건 내가 서유기를 제대로 안읽어봐서 그런거같고 그래도 어느 정도는 이해 가능함맵 배경과 아트워크 자체는 현재 나온 옵스퀴르보다 훨씬 낫고 매력적임 걍 딱 서유기와 게임의 스토리와 너무 잘 맞아떨어짐솔직히 단점이라고는 없는 게임같음 안해본 뇌를 사고 싶진 않지만 명작 반열에 들 게임이라고 생각함</t>
  </si>
  <si>
    <t>把传统魂式框架拿得很少，采用线性地图、把重心完全放在战斗上的设计非常合我胃口。老实说几乎挑不出缺点，在我这能列入“名作”。</t>
  </si>
  <si>
    <t>KR-N-280</t>
  </si>
  <si>
    <t>2025-06-23</t>
  </si>
  <si>
    <t>중국이 각잡고 만들면 이런 물건이 나올 수 있다는 점에 놀라움을 느낀다. 그래픽 사운드 구성 액션 시나리오 모두 AAA급. 각 챕터 뒤에 나오는 애니메이션의 퀄리티 역시 휼륭하다. 아직 단점이 좀 있지만 중국 고유의 소재로 구현한 동양 판타지 액션의 걸작.</t>
  </si>
  <si>
    <t>中国认真起来真能做出这样的东西，令人惊讶。画面/声音/动作/剧情/动画等都属上乘。虽仍有短板，但作为“以中国母题塑造的东方奇幻动作”，可称杰作。</t>
  </si>
  <si>
    <t>画面美术场景；音乐音效配音；演出角色怪物设计；动作打击手感；本国媒介路径</t>
  </si>
  <si>
    <t>KR-P-281</t>
  </si>
  <si>
    <t>2025-06-26</t>
  </si>
  <si>
    <t>진짜로 하면 할수록 재밌는거 같다.첨에는 이질감 엄청 들고 길이 너무 어려워서 포기할까 싶었는데계속 생각나고 시스템 하나씩 파악되니까 진짜 진국임</t>
  </si>
  <si>
    <t>越玩越上头。起初非常不适应、找路也难得想放弃，但只要系统逐一摸透，就会发现它是真正的“老味好汤”。</t>
  </si>
  <si>
    <t>引导迷路单线</t>
  </si>
  <si>
    <t>KR-P-282</t>
  </si>
  <si>
    <t>2025-06-27</t>
  </si>
  <si>
    <t>그래픽에서 땅과 발 접지부분이 부자연스럽게 묘사됨.그래픽을 뛰어나게 만들려고 노력했으나, 아쉬운 최적화 문제와 그래픽이 어색한 부분들이 있음.업데이트를 통해 빠른 시일 그래픽 개선하길 바람.</t>
  </si>
  <si>
    <t>地面与脚部的接触看起来不自然。明知他们在画面上投入巨大，但优化与某些画面段落仍显粗糙。希望尽快通过更新改善。</t>
  </si>
  <si>
    <t>画面美术场景；优化帧率</t>
  </si>
  <si>
    <t>KR-P-283</t>
  </si>
  <si>
    <t>갓겜.소울류 못하는 제가 오공이라는 캐릭터 하나만 보고 시작한 겜..진짜 미칠듯이 어려웠는데 보스 하나 깰 때마다 쾌감이 말도안됨..근데 잡못 조금만 잡기 쉽게 해 줬으면 좋았을듯..ㅎㅎ!</t>
  </si>
  <si>
    <t>神作。作为魂类苦手，我仅因“悟空”这个角色就入了坑。难得要命，但每次打过一个 Boss 的爽感都无法形容。就是希望普通小怪再好打一点点，呵呵！</t>
  </si>
  <si>
    <t>Boss战斗节奏；推荐价值判断；西游悟空符号</t>
  </si>
  <si>
    <t>KR-P-284</t>
  </si>
  <si>
    <t>어릴적 서유기에 대한 향수인지 스토리도 좋고 그래픽도 좋아 영화 한편보는거 같음. 하지만 먼 놈의 보스들이 죄다 사라졌다 땅에서 하늘에서 튀어나오고 또다시 계속 도망치고 락온 풀리고 왜 그런지... 별 재미도 없구만 개발자들은 그런게 재밌나봄. 특히 백안마군 2페이즈는 먼 생각으로 그리 만들었는지 회피하고 때리러 가면 사라지고 번개쏘거나 잡고 또 사라지고 또 사라지고 무한 반복..... 숨겨진 바늘 찾아서 잡아라고 그리 만들었는지... 잡기 기준도 잘 모르겠고 타격감이 없어서 그런지 정신 없을땐 내가 맞았는지도 잘 모르겠음. 간파도 쫄들한테는 잘 통하는데 보스한테는 적용이 될때도 있고 안될때도 있고 거의 안되는거 같고 기준을 모르겠음. 회피 게임인데 회피에 대한 장점도 없고 무한 구르기 하다 보면 정신없고 눈도 피곤하고 손도 피고함. 차라리 패링을 기본으로 넣어서 만들었음 훨씬 좋았겠는데 아쉬움. 잡기나 위험한 기술은 다른 소울게임처럼 빨강 파랑색으로 표시라도 해주던가. 스킬은 많은데 실제로는 보스전에서는 쓸수 있는게 한정적이고 결국 다른 소울게임처럼 약공으로 주로 때려야함. 무기도 여러개 나오는데 결국 한가지라 전투는 식상해짐.  결국 나는 계속 구르고 보스는 계속 사라지고 결국 빡치게 되고 지치는 게임.</t>
  </si>
  <si>
    <t>可能因为我对《西游记》有童年滤镜，剧情好、画面也像在看电影。但 Boss 太多、战斗到后期显得单一，最终变成“我一直在翻滚、Boss 一直在消失”，令人发火与疲惫。</t>
  </si>
  <si>
    <t>画面美术场景；Boss战斗节奏；西游悟空符号；童年记忆情怀</t>
  </si>
  <si>
    <t>KR-P-285</t>
  </si>
  <si>
    <t>검은 신화:오공은 정말 훌륭한 소울라이크게임이다. 게임시스템,그래픽,전투시스템 모두 훌륭했으며 육성방향에 따라 다양한 전투스타일이 구현가능하였다. 특히 전투시스템은 세키로가 패링과 관련된 독보적인 시스템을 만들었던 것처럼 검은 신화:오공 역시 간파와 곤봉게이지를 이용해 정말 독보적인 시스템을 만들었다. 이런 시스템으로 인해 소울라이크 게임에서의 장점, 핵앤슬래시나 액션게임에서의 장점이 모두 합쳐진 괴물같은 게임이 탄생하였으며 2024년 '골든 조이스틱 어워드'에서 수상하며 한개의 GOTY급 시상식의 winner가 되는 영광을 안았다. 단순히 이 게임이 '중국'게임이라고 거부감을 드러내는 게이머들이 있는거로 아는데 그런 이유로 이 게임을 싫어한다는게 본인손해라는 생각이 들정도로 이 게임은 정말 너무 잘 만든 게임이다. 소울라이크라는 장르를 완벽히 이해한 게임이고 광활한 맵과 빈공간 거의 없이 꽉꽉, 그리고 적절하게 배치된 몹, 밸런스 있는 잡몹과 두목, 요괴왕들 그리고 유기적인 퀘스트들과 엄청난 수의 보스전은 정말 풀프라이스가 아깝지 않을 정도의 게임이었으며 현재 한국에서는 그나마 내세울 수 있는 AAA게임이 피구라 하나인 것을 감안한다면 이 게임은 개인적으로 피구라보다 2,3수 위 정도의 게임이라 생각하며 일본이 아닌 옆나라에서 이런 게임이 나온다는 것에 한국게임사들이 더 자극받고 창작욕구를 불태우는 긍정적인 계기가 되었으면 바란다.(몰론 '다크소울같은' 소울라이크 게임을 생각한다면 피구라가 더 이에 가깝다고 생각한다.) 몰론 단점이 없는 것은 아닌데 아까 말했듯이 맵이 정말 넓고 복잡하며(특히 2장이랑 4장은...) 맵에 아이템이나 몹들이 꽉차있는 형태라 초기패치전처럼 맵이 없었던 시절에 플레이했던 플레이어들에게는 꽤 스트레스로 다가오는 부분도 있었을 것이다. 그리고 주로 많이 얘기되는 투명벽은 보스전에서 거리계산할 때 불편하기도 했고 필드를 돌 때 시간낭비를 하게 되는 원인도 되었다. 또 워낙 천명자의 모션이 활동적(?)이다보니 공격을 하다가 낙사를 하거나 밑에 지역으로 떨어지는 경우도 간혹가다 생기는데 이에 대해서도 한번씩 짜증나는 경우가 생겼다. 또한 개인적으로 갓겜은 플레티넘을 따야 직성이 풀리는 스타일이라 이 게임 역시 도전하였는데 다른 것은 몰라도 식물채집 노가다가 필요한 아이템들이 꽤 있기에 식물들 역시 운기조식이나 청부적을 이용하여 귀환만 하면 다시 생성되는 시스템이었으면 좋겠다는 생각을 하게 되었다.(30분 기다려야 생성이 되니 컴퓨터시간 조작신공(?)을 해야 편리하게 수집이 가능함...) 하지만 이러한 단점들보다 장점들이 더 큰 게임이고 너무 매력적인 시스템을 가진 게임이라 후속작이나 DLC를 한번 기대해본다.P.S 소울라이크 게임치고는 사망시 패널티가 없고 법술이나 빙의술,법보등의 시스템때문에 난이도는 매우 순한 편이다. 따라서 기존 소울라이크를 좋아하는 유저들뿐만 아니라 어려운건 싫어하지만 액션이나 RPG게임을 좋아하는 유저라도 한번 시도하길 강력히 추천한다.</t>
  </si>
  <si>
    <t>确是一款优秀的魂类。系统、画面、战斗都行，成长路径也不错。推荐给喜欢魂、动作与 RPG 的玩家——即使不爱吃苦的人，也值得一试。</t>
  </si>
  <si>
    <t>画面美术场景；动作打击手感；Boss战斗节奏；地图路线；推荐价值判断</t>
  </si>
  <si>
    <t>KR-P-286</t>
  </si>
  <si>
    <t>액션 재미 없고 맵 이쁘긴 한데 쓸데없이 넓음.무기 종류도 봉 하나고 장비도 적어서파밍하는 재미도 없음.소울류 게임 중에 엔딩 안보고 삭제하는 게임은 얘가 처음이다.</t>
  </si>
  <si>
    <t>动作不好玩；地图虽美却显得空旷；武器只有一根棍，装备也少，缺乏刷刷刷的乐趣。是我第一款没看结局就删了的魂作。</t>
  </si>
  <si>
    <t>KR-M-287</t>
  </si>
  <si>
    <t>2025-07-14</t>
  </si>
  <si>
    <t>얘네는 최적화도 못하는게 게임 만들면 안됨. 내컴이 구린게 아닌데 어떤 설정을 해도 프레임 드랍을 막을수 없음. 특히 이랑진군 얘는 렉권을 수시로 사용해서 도저히 깰수가 없음</t>
  </si>
  <si>
    <t>连优化都不会的厂商别做游戏了。我的电脑不差，但怎么设置都挡不住掉帧。尤其“二郎真君”那段卡得离谱，根本打不过。</t>
  </si>
  <si>
    <t>难度挑战；优化帧率；西游悟空符号</t>
  </si>
  <si>
    <t>KR-P-288</t>
  </si>
  <si>
    <t>서유기 스토리를 알고 하면 재밌을수도 있으나, 모르고 했을때의 장점을 꼽기 어려운 게임.최근에 출시하는 '소울라이크'는 각종 기괴한 공격모션을 넣고어렵다고 포장하는 경향이 있는데, 이 게임 또한 그렇다.전투는 대부분 회피를 주로 사용하게 되고, 패링이 없지만 '간파', '바위육신' 등으로 보충하였다.지형을 잘 구현하였으나, 투명벽이 많아 탐험에 불편함을 주는 점도 단점이다.'엘든 링'을 생각하고 플레이 한다면, 꽤나 실망할 것으로 생각된다.그럼에도 재미는 나름 충분하고, 수려한 그래픽이 눈을 즐겁게 해주므로 추천을 남긴다.</t>
  </si>
  <si>
    <t>如果你了解《西游记》，可能会更有趣；但不了解时就很难举出它的长处。最近很多新作都强调“找路难”，因此我觉得大部分人会失望。尽管如此，乐趣还是足够，华丽的画面也养眼，所以我仍给推荐。</t>
  </si>
  <si>
    <t>画面美术场景；难度挑战；引导迷路单线；推荐价值判断；西游悟空符号</t>
  </si>
  <si>
    <t>KR-P-289</t>
  </si>
  <si>
    <t>2025-07-23</t>
  </si>
  <si>
    <t>58.3시간 끝에 현성 이랑진군, 최종보스(스포일러) 까지 잡고 평가 남긴다중뽕 이런거 다빼고 중국 게임하면 뭐 맨날 게임 같지도 않은 과장광고에 원신, 붕괴, 소전 이런거만 보다가진짜 중국(짱개아님)느낌의 게임 보니까 진짜 돈 안아까운 게임이라는걸 제대로 느꼈다 중국감성만 살린게 아니라 불교식 디자인을 제대로 살려서 중립기어 잘박은거 같음옆집 몬헌에선 하지도 못하는 개쩌는 최적화와 그래픽 연출 그리고 음악이 ㄹㅇ 개쩔음 텐션 제대로 올린다매 회 끝날때마다 나오는 애니메이션이 또 맛있거든요 하나는 스톱모션인데 이것도 딱 스톱모션 감성만 제대로 살린게얘네는 그냥 중뽕 이런거 때문이 아니라 아 그냥 진짜 게임와 서유기에 낭만 제대로 박힌 놈들인게 티가난다인게임도 회피나 공격 패링 이런것도 널널한데다 회피로 공격중에도 바로 회피가 즉각적으로 가능해서 억울한 상황도 거의 안나와 게임탓도 못하게 만듬 그냥 니가 못한거임소울류는 세키로만 해봤는데 그거에 비하면 난이도가 되게 유저 친화적이 되어서 늙고병든 나도 할 수 있을 정도임초반에 나오는 대두선생님한테 잘 배워두면 그거 이후론 오래 걸릴 수가 없음 중간중간 다른 패턴의 선생님이 나오긴 하는데대두선생님을 제대로 보냈으면 오래 안걸림 오래 걸려봤자 이랑진군이나 최종보스 정도? 이랑진군은 미친놈 맞다타격감도 봉 휘두르고 때리는거 치고 약하다고 말 많았는데 이정도면 조금 아쉬울순 있어도 충분하다고 생각함 평타랑 강타의 차이가 확실히 나서 불만이 나올정도까진 아님컷신도 낭만적인 연출이 많은게 구도나 효과가 개찰지게 들어가서 존나 큰놈들이랑 싸울땐 웅장함을 주고, 그렇다고 인간 사이즈의 적이랑 싸울때도 웅장함은 없어도 그만한 캐릭터에 맞게 효과를 잘넣음 나중에 이랑진군 거다이맥스로 괴수대전 할때는 ㄹㅇ 진짜 신화급끼리의 막고라가 이런거지최근에 둠말고는 나오는 게임들이 가격에 비해 품질이나 분량이 한참 모자라거나 덜만들어져서 나왔는데이건 다 만들고도 모자라서 토핑추가까지 잔뜩해서 고봉밥으로 준게 맘에 듬...서유기 그냥 옛날에 책으로만 본사람이라 내용 거의 기억도 안나는데도 대충 몇명만 알아도 하는데 전혀 문제 없고 책이랑 옛날식 그림으로 같이 보는 읽을거리도 볼만함 다른겜은 뭔 시발 이게 뭔소린데 싶은 내용이나 진짜 중요한걸 읽을거리로 대체 시켜서 개별로였는데 말이지마지막 엔딩도 깔끔하게 끝내고 제천대성에 대한 이펙트도 제대로 살려서 프롤로그에서 좀 아쉬웠던 사람들도 없게 마무리 잘했음계속 이렇게만 갑시다 니들 정부가 뭐라하든 다 좆까라하고 계속 만들어 니들 잘하고 있어!한국은 이런거 못할거야 아마..돈에 미쳐서...</t>
  </si>
  <si>
    <t>58.3 小时后，打过“显圣二郎真君”和最终 Boss（略），来写评价。抛开民族情绪，这款中国游戏做得很棒。无论政府说什么，都继续做你们想做的吧，你们做得很好！韩国大概做不出这种东西——大家都只顾着挣钱……</t>
  </si>
  <si>
    <t>Boss战斗节奏；西游悟空符号；国产3A身份期待</t>
  </si>
  <si>
    <t>KR-P-290</t>
  </si>
  <si>
    <t>2025-07-29</t>
  </si>
  <si>
    <t>초반에 플레이하고 이번에 리뷰를 작성함최적화 이슈가 있었지만, 그것을 차치하더라도 굉장히 잘만든 수작.원신, 명조 등등 서브컬쳐에서도 엄청난 강세를 보이고 있는 중국이지만, 실사풍에서도 굉장한 퀄리티를 보여준 기념비적인 게임그 나라에 대한 감정을 내려두고 플레이 했을때 굉장하다는 생각밖에 안듦스토리, 그래픽, 연출, 플레이 동선 등등 모든 부분에서 10점 만점에 8~10점을 다 주고 싶음단점이 있다면, 한자와 서유기에 대한 지식이 부족할때 스토리를 파악하기 어렵고직관성이 많이 떨어짐.</t>
  </si>
  <si>
    <t>只玩了序章时就先写下评。优化确有问题，但抛开这点，它是一部非常精良的佳作。就价值/完成度而言，我愿意给满分。缺点是：若缺乏汉字与《西游记》知识，理解剧情会很难、直觉性不足。</t>
  </si>
  <si>
    <t>难度挑战；优化帧率；整体完成度；推荐价值判断；西游悟空符号；中国文化宗教语言审美</t>
  </si>
  <si>
    <t>KR-N-291</t>
  </si>
  <si>
    <t>2025-07-30</t>
  </si>
  <si>
    <t>너무 숨겨져있는게 많음 무기도 장비도 물건도 엔딩도 진엔딩 보고싶었는데 3장 도우미가 헀던말 강럭하고 최종보스전에 소서천을 가서 이랑진군이랑 싸워야 진엔딩을 볼수있는 걸 몰라서 일반엔딩본게 아쉬움 소울이라 그런게있다 치지만 너무 다 숨겨져있음</t>
  </si>
  <si>
    <t>隐藏内容太多了：武器、装备、道具、结局……我想看真结局，但没理解第 3 章 NPC 说的“要挑战更难的道路”，不知道必须与二郎真君一战才行，结果只看到普通结局。魂类有这种设计可以理解，但也的确藏得太深。</t>
  </si>
  <si>
    <t>难度挑战；地图路线；探索隐藏支线；西游悟空符号</t>
  </si>
  <si>
    <t>KR-P-292</t>
  </si>
  <si>
    <t>2025-08-03</t>
  </si>
  <si>
    <t>중국에 대한 인식을 박살내준 잘만든 게임더럽지않고 재밌게 어려운 적당한 난이도보스 앞 적절한 사당 위치기분 나쁜 몬스터 함정 배치 없음진 엔딩을 위한 적절한 사이드 퀘스트다회차를 자연스럽게 권장하는 시스템솔직히 게임성으론 깔게 단 하나도 없다</t>
  </si>
  <si>
    <t>把我对中国的成见打碎的一款好游戏。干净、不脏，难度适中而有趣；Boss 前的存档点距离合理；没有垃圾谜题或收集元素；围绕真结局设计的支线恰到好处；多周目被系统自然鼓励。就“游戏性”来说，我找不到要喷的点。</t>
  </si>
  <si>
    <t>KR-P-293</t>
  </si>
  <si>
    <t>어우..잘 만들었음..초반엔 모르겠지만 지금 최적화는 잘된거 같음..끊김 거의 없었음..무었보다 흥미로웠던 점은 스토리가 쫌 흥미진진했음..서유기를 상상하며 이 사람은 누구였지? 찾아보면서 하는 잼이가 있었음..우리나라도 스텔라 블레이드나, p의 거짓 등 재미있는 게임은 있지만 자국 이야기를 풀어나가는 그런 게임도 나왔으면 좋겠다는 생각을 가지게 되었음..아무튼..초회차 못끝냈는데..재밌게 잘 하고 있음..아! 난이도는 소울류를 생각하고 들어왔더니..생각보다 어렵지 않았음..</t>
  </si>
  <si>
    <t>做得真不错。前期也许一般，但现在的优化看来不错，几乎不卡。最有趣的是“理解后再挑战”的过程。虽然一周目还没通关，但我玩得很开心。难度方面，带着“魂类”的心理预期来，结果没那么难。</t>
  </si>
  <si>
    <t>KR-N-294</t>
  </si>
  <si>
    <t>이 게임은 게임 설계에 실패했다. 필드전과 보스전 각각 또한 문제고 그냥 게임 전체가 잘못됐다.이게임 필드전의 진짜 적은 잡몹이 아니라 맵 그 자체다. 맵 구조 자체는 의외로 직관적인 1자형인데도 불구하고 길과 배경의 구분이 뚜렷하지 않아서 길찾기에 난항을 겪는다. 특히 컴퓨터 사양이 낮을 경우 낮은 최적화와 맞물려 그래픽이 뭉개지고 길찾기는 더욱 어려워진다. 근데 사실 이건 문제가 되는 축에도 안낀다. 진짜 문제는 가서 비벼보기 전까지는 투명벽인지 아닌지 알 수 없는 구간이 뒤지게 많다는 것이다. 절벽 사이에 길이 나있으면 플레이어는 당연히 거기로 가게 되어 있는데, 가보면 투명벽에 막혀서 못가는 식의 구간이 한둘이 아니다. 이건 다른 게임들처럼 가까이 가면 사라지는 벽 이런게 아니라 그냥 길을 만들어놓고 거길 투명벽으로 막아놓는 것이라서 그냥 설계 미흡으로 볼 수밖에 없다. 그래놓고 정작 저팔계한테 가는 중요한 길은 울타리로 막아놓는 식으로 일관성도 없이 만들어 놔서 지나가다가 구석에 길이나 구멍 비슷한게 보이면 이게 똥인지 된장인지 구분이 돼도 가서 한번 비벼봐야 한다. 이런 이유로 길을 제대로 찾으려면 공략을 보거나 3보 1지도를 해야 하는데 지도 켰다끄는데만 3초정도 걸려서 진짜 답답해 죽는줄 알았다.그럼 이 게임의 대부분을 차지하는 보스전은 재밌냐? 하면 재미는 있는데, 비슷한 게임의 다른 보스들은 잘만든 한 끼 식사를 먹는 느낌이라면 이 게임은 불량식품 하나씩 먹는 느낌이다. 일단 이게임은 보스만 107마리다. 108마리면 불교적 색채구나 하고 이해라도 하겠는데 그것도 아니고 107마리는 그냥 너무 많다. 개발사인 Game Science사보다 체급이 훨신 크고 경험도 많은 회사들도 해봤자 보스 10~20마리대에 잡몹 재탕해서 채우는데 개발 경험도 적고 사원도 100명정도 되는 회사가 이걸 감당할 수 있을리가 없다. 당연히 퀄리티가 떨어지는 보스들이 나오고, 이게 메인 보스에까지 영향이 안가면 다행인 수준이다. 그럼에도 내가 보스전이 재미있다고 느낀 점은 이런 퀄리티 떨어지는 보스들도 이래저래 스킬 조합만 잘하면 피통을 한번에 3할씩 깔수 있기 때문이다. 보스가 별로면 그냥 맞으면서 깨면 되니까. 근데 이게 안통하는 마귀장수 연안같은 노잼보스는 좀 문제가 생긴다. 그러나까 사실 이게임은 "보스"전이 재밌는게 아니라 보스"전"이 재밌는 게임이다.이쯤 읽었으면 글쓰는놈 플탐이 13시간인 이유가 위에 주저리주저리 써놓은것 때문일거라 생각할것 같다. 그런데 사실 내가 유기한 이유이자 이 게임의 가장 심각한 문제는 게임이 불합리하다는 점이다. 이게임에는 노말엔딩과 진엔딩이 있으며 진엔딩 조건은 특정 히든보스를 잡는것이다. 그리고 그 보스를 잡는 조건은 다른 모든 보스를 잡는 것이다. 그리고 이 게임에는 히든보스 최종보스 제외하면 보스가 105마리다. 그래도 나는 진엔딩이 보고싶었다. 그래서 적염룡 석감당 소여룡 풍호 몰드래고 같은 토나오는데 숨겨놓은 보스들을 공략보면서 꾸역꾸역 잡았다. 특히 적염룡 얘는 무슨 잡으려면 2장에서 특정 벽을 특정 스킬로 부숴서 나온 특정 아이템 가지고 1장 특정 폭포로 가는 과정을 힌트없이 해내야한다. 그리고 앞에 5마리는 전부 잡는 과정이 이거랑 비빈다. 심지어 이게 게임 전체 1/3 부분에 있는 히든보스중 제일 악질인 애들만 고른거다. 그냥 이건 초딩이 물건찾기 놀이하자 해놓고 지 주머니에 넣어놓는거랑 다를게 없다. 아까 투명벽도 그렇고 이거 만든 놈들은 그냥 게임 산업에서 손 떼는게 게임 시장 발전에 기여하는 길이다. 요약하자면, 공략 없이는 진엔딩을 보는것은(=모든 컨텐츠를 즐기는 것은) 불가능하다.이후에 나는 3장 5지역에 보스만 14마리 있는것을 보고 게임을 유기했다. 이 게임을 하던 지난 13시간을 돌이켜 보면 그냥 좆갇았던 적이 더 많았다. 분명 전투 시스템은 괜찮은 게임인데 보스부터 맵 엔딩조건까지 완벽한 3박자가 게임하던 내내 내 머리통을 64비트로 두들겨댔다. 대체 왜 이딴 유사-게임이 고티를 받았는지는 24년 고티 후보 목록을 보고 나서야 납득했다.</t>
  </si>
  <si>
    <t>这游戏在设计上是失败的。野外战与 Boss 战各有各的问题，整体都是错的。它强行把“魂”的各种要素塞进了一个糟糕的线性框架里。作为近战，唯一的选择就是“翻滚”，像把 64 位的你暴揍了一顿。我直到看了 2024 年 GOTY 的提名名单，才勉强理解为什么这样的“准游戏”能入围。</t>
  </si>
  <si>
    <t>Boss战斗节奏；引导迷路单线；推荐价值判断</t>
  </si>
  <si>
    <t>KR-P-295</t>
  </si>
  <si>
    <t>34시간 하고 엔딩봤습니다진짜 잘 모르겠습니다소울류 명작들은 다해보고있고 나름 세키로도 11회차나 할만큼 소울의 잔뼈가 그래도 굵어졌다고 생각합니다어지간하면 플레를 달고 욕을 그렇게 먹어재끼던 카잔도 플레를 달았는데오공은 못하겠네요재미없다는게 아닙니다 재미는 있는데 뭔가가 뭔가에요그리고 일단 뭔놈의 히든이 이렇게 많은지 좋을수도 나쁠수도 있는듯회차를 하게 만든 요소이기도 한데 오히려 1회차안에 할 수 없는 요소가 많은점은 반대로 안좋게 적용될 수 도 있는듯 (나처럼)길찾기가 생각보다 빡셉니다 맵이있어도 뭔가 겜 안에서 직관적이지 않은 요소가 있는지 잘 눈에 안띄어요 생각보다 타격감이 ㅈ구립니다 이건뭐 4차지 강공이 아니고서야 타격감은 진짜 거의 없는 수준이네요이점을 알고도 겜 플레이 드갔지만 진짜 이건 심각한듯패링이 없다는점을 간파로 대체할 수 있다라는 글을 본적이있는데전 전혀 아닌거같네요 애초에 그 게임 재미도 자체가 다른 것 같음간파는 제2의 회피인느낌 그러니 겜 내내 회피만 하고있는 느낌이라 너무 겜플레이가 재미가 없어졌음 (이건 제 취향일수도 있겟지)가격에 비해 아쉬워서 주저리 주저리 쓴듯한데아쉽습니다 재밌지만 아쉬워요 그냥 그렇습니다..</t>
  </si>
  <si>
    <t>34 小时通关。老实说我也拿不准。魂类名作我基本都玩过，《只狼》我甚至打了 11 周目，但这作的战斗让我很难投入（也可能是我的口味问题）。就售价而言略感遗憾——好玩，但总觉得差点意思。</t>
  </si>
  <si>
    <t>KR-P-296</t>
  </si>
  <si>
    <t>2025-08-26</t>
  </si>
  <si>
    <t>서유기를 읽었거나 그게 아니라도 주성치의 서유기 영화들을 봤거나 했던 사람들이라면 즐겁게 서유기 세상 속을 여행할 수 있는 게임이다. 그래픽도 수려해서 보는 맛이 있었는데 사양이 높은 편이라 최적화를 좀 더 신경 써서 해줬으면 더 좋은 게임이 될 수 있었을 텐데 하는 아쉬움이 남긴 한다. 다크소울식 운영으로 한 대씩 패고 피하고 이러면 자체하드모드가 되는 게임이지만 제작진의 의도대로 정지술, 기화술, 분신술, 변신술 등을 잘 활용한다면 생각보다 수월하게 진행할 수 있는 게임이라 난이도도 잘 짠 거 같았고, 잡몹이나 보스들을 잡으면 추가되는 도감의 정보를 읽는 재미도 쏠쏠했다.특정 보스의 기믹은 특정 법술이나 변신을 통해 맞춤식 공략이 가능한 부분도 좋았으며, 적당한 수집 요소도 수집욕이 있는 사람들에겐 괜찮아 보였다. 물론 드랍 확률이 떨어지는 몇몇 씨앗이나 담금질 재료 같은 건 적당히 좀!!! 이란 말이 절로 나오긴 했지만 그래도 참을 만은 했다. 하는 내내 피곤하다는 생각이 안 들고 다음 이야기가 궁금해서 더 하고 싶다는 마음이 드는 좋은 게임이었고 이 정도면 정말 잘 만든 aaa급 게임이 맞다 싶었으며 혹시나 아직 안 해본 사람이 있다면 자신있게 추천해도 괜찮겠다는 생각이 절로 드는 게임이었다. 후속작이나 dlc가 얼른 나왔으면 좋겠다.</t>
  </si>
  <si>
    <t>读过《西游记》、或看过周星驰版《西游记》的人，会更享受这个“西游世界”。若你身边有人喜欢东方奇幻，我会很有底气地推荐。希望续作或 DLC 早点到来。</t>
  </si>
  <si>
    <t>KR-N-297</t>
  </si>
  <si>
    <t>오픈월드인데 못가는곳이 너무 많고 말많은 적들이 무슨 얘길 하는질 모르겠음</t>
  </si>
  <si>
    <t>说是开放世界，却有太多去不了的地方；敌人话很多，我却听不懂他们在说什么。</t>
  </si>
  <si>
    <t>KR-N-298</t>
  </si>
  <si>
    <t>2025-08-30</t>
  </si>
  <si>
    <t>호들갑 고트 개노잼, 시대가 어느 땐데 길 따라가다가 보스잡는 겜을 내놓냐</t>
  </si>
  <si>
    <t>吹成“年度神作”？我玩得无聊。都什么年代了还在做“沿着路走然后打 Boss”的游戏？</t>
  </si>
  <si>
    <t>KR-N-299</t>
  </si>
  <si>
    <t>2025-08-31</t>
  </si>
  <si>
    <t>이동속도 느리고 공격 선딜이 너무 길어서 짜증 남기본 회피 모션이 불필요하게 3단계까지 있어 연속 회피 시 무적 타이밍 잡기 애매함퍼펙트 회피/패링이 있는데 리턴 값이 거의 없음가장 중요한 액션 쪽에서 뭔가 있어 보이지만 많이 나사 빠져서 상당히 불쾌하고 별로임(겉으로 보기에만 화려하고 내실은 엉망진창)액션겜 좋아해서 구매한다면 비추보스들은 대부분 쉬운 편어려운 보스들은 연속 공격 엇박 원툴로 약간 불쾌했음여기에 위의 서술한 액션쪽의 단점이 겹치니 전투는 그냥 씹노잼그래도 최종 장만은 재미있게 했음근데 전체적인 스토리도 좋은 편은 아님...하다보니 마지막에 손오공뽕만 남은 게임게임성을 기대하지 말고그래픽/연출 감상용으로 구매한다면 추천쫄깃한 전투, 스토리를 기대했다면 강력하게 비추천</t>
  </si>
  <si>
    <t>移动慢、攻击起手很长令人烦躁；基础翻滚动作还拆成三段，连续回避又会卡住。推荐把它当作“画面/演出欣赏用”，别期待“扎实战斗与剧情”。</t>
  </si>
  <si>
    <t>画面美术场景；演出角色怪物设计；动作打击手感；Boss战斗节奏；推荐价值判断</t>
  </si>
  <si>
    <t>KR-P-300</t>
  </si>
  <si>
    <t>2025-09-01</t>
  </si>
  <si>
    <t>장점: 컷신 훌륭함. 그래픽 훌륭함. 보스전이 잼남. 어려운 보스를 피지컬 이외의 방법으로 공략할 수 있음(중요)단점: 듀토리얼이 불친절함. 템이 1회차에 모두 개방안됨(2회차 강요). 그래픽은 훌륭한데 너무 필드 요소가 많아서 오브젝트 구별이 다소 힘듬.어중간한점 : 2단점프가 안됨. 투명벽이 의외로 많음.  대사에 집중을 안하면 공략을 안보고 찾을수가 없는 요소가 많음. 근데 한국어 더빙이 안되서 대사에 집중이 어렵고 글쓰에 바탕이 없어서 배경에 따라서 자막이 구분이 안됨.</t>
  </si>
  <si>
    <t>优点：过场好、画面好、Boss 战有趣，很多难 Boss 可以用“非纯手法”的方式解决，策略空间很大。
缺点：地图缺乏流畅的引导、战斗里有不少“挫败瞬间”。另外，中文配音没有韩语/本地化，读字幕会分心。</t>
  </si>
  <si>
    <t>画面美术场景；音乐音效配音；演出角色怪物设计；Boss战斗节奏；地图路线；引导迷路单线；优化帧率；推荐价值判断；中国文化宗教语言审美</t>
  </si>
  <si>
    <t>一级编码</t>
  </si>
  <si>
    <t>中文 n</t>
  </si>
  <si>
    <t>中文 %</t>
  </si>
  <si>
    <t>日文 n</t>
  </si>
  <si>
    <t>日文 %</t>
  </si>
  <si>
    <t>韩文 n</t>
  </si>
  <si>
    <t>韩文 %</t>
  </si>
  <si>
    <t>二级编码</t>
  </si>
  <si>
    <t>词典法自动初判</t>
  </si>
  <si>
    <t>项目</t>
  </si>
  <si>
    <t>说明</t>
  </si>
  <si>
    <t>总样本</t>
  </si>
  <si>
    <t>中文、日文、韩文各300条，共900条。</t>
  </si>
  <si>
    <t>稳定ID</t>
  </si>
  <si>
    <t>原稳定ID保存在主表BD列；A列为语种-情感字母-原序号，P正面、M中性、N负面。本次字母为词典法自动初判。</t>
  </si>
  <si>
    <t>编码文本</t>
  </si>
  <si>
    <t>中文评论直接使用原文；日文和韩文使用清洗表中的中文译文作为统一自动初编码文本，同时保留原文供人工复核。</t>
  </si>
  <si>
    <t>编码原则</t>
  </si>
  <si>
    <t>多标签编码。一条评论可同时命中多个一级、二级主题，因此各主题比例相加可以超过100%。</t>
  </si>
  <si>
    <t>自动编码性质</t>
  </si>
  <si>
    <t>本表为规则/关键词驱动的初步整合编码，用于全样本筛选和统计。特别是文化接近性、文化折扣编码须结合原文与上下文人工复核。</t>
  </si>
  <si>
    <t>统计解释</t>
  </si>
  <si>
    <t>主题提及率不直接等于关注程度或理论强度；三组评论篇幅差异也需要在论文解释中说明。</t>
  </si>
  <si>
    <t>操作性定义</t>
  </si>
  <si>
    <t>画面、美术、场景、音乐、配音、演出、角色/怪物视觉设计等。</t>
  </si>
  <si>
    <t>动作手感、Boss节奏、难度、锁定视角、判定反馈等。</t>
  </si>
  <si>
    <t>地图路线、空气墙、隐藏/支线、引导、迷路、单线结构等。</t>
  </si>
  <si>
    <t>优化、帧率、崩溃、Bug、硬件兼容等。</t>
  </si>
  <si>
    <t>总体完成度、质量、推荐价值、年度游戏/退款等。</t>
  </si>
  <si>
    <t>西游/悟空文化符号、童年记忆、媒介经验、中国文化/宗教/语言审美等。</t>
  </si>
  <si>
    <t>明确涉及剧情理解门槛、原典知识不足、人物关系/专名障碍、本地化信息损失、外部资料依赖、角色期待错位等。</t>
  </si>
  <si>
    <t>以国产游戏、中国玩家身份、中国3A或本土文化代表性来评价作品。</t>
  </si>
  <si>
    <t>关键词/初筛线索</t>
  </si>
  <si>
    <t>画面、画质、美术、视觉、景色、风景、场景、光影、建模、贴图、画风、图形、景观、建筑、山水、雪地、环境</t>
  </si>
  <si>
    <t>音乐、配乐、音效、声音、配音、语音、方言、戏曲、BGM、bgm、云宫迅音、声优</t>
  </si>
  <si>
    <t>过场、CG、cg、演出、特效、动画、电影感、怪物设计、角色设计、敌人设计、动作电影、造型</t>
  </si>
  <si>
    <t>动作、打击、手感、攻击、棍法、棍子、金箍棒、回避、闪避、招架、格挡、连招、连段、招式、法术、精魄、流派、战斗系统、受击、硬直、连击、操作</t>
  </si>
  <si>
    <t>Boss、BOSS、boss、首领、头目、战斗节奏、连续.*战、一个接一个、压迫感、战斗密度、战斗</t>
  </si>
  <si>
    <t>难度、太难、很难、简单、容易、挑战、手残、高难、受苦、死亡、死了、打不过、难打、容错</t>
  </si>
  <si>
    <t>锁定、视角、镜头、摄像机、视野、遮挡、看不清、索敌、镜头晃</t>
  </si>
  <si>
    <t>判定、反馈、命中、打中、碰撞、无敌帧、伤害判定、攻击范围、不公平、受击反馈</t>
  </si>
  <si>
    <t>地图、路线、道路、岔路、岔口、区域、关卡、迷宫、箱庭、开放世界、路径</t>
  </si>
  <si>
    <t>空气墙、隐形墙、看起来.*能走、不能走、走不了、可达、边界、透明墙</t>
  </si>
  <si>
    <t>探索、隐藏、支线、宝箱、秘密、收集、土地庙、神龛、传送、跑图、隐藏内容、隐藏地图</t>
  </si>
  <si>
    <t>找路、迷路、引导、单线、线性、死路、路痴、导航、指引、方向感</t>
  </si>
  <si>
    <t>优化、帧率、帧数、掉帧、FPS、fps、性能、卡顿、延迟、加载、流畅、帧</t>
  </si>
  <si>
    <t>崩溃、闪退、黑屏、蓝屏、死机、卡死、崩掉、报错、退款.*崩</t>
  </si>
  <si>
    <t>Bug、BUG、bug、显卡、RTX、RADEON、Radeon、DLSS、FSR、配置、驱动、内存、GPU、CPU、兼容、硬件、AMD、NVIDIA</t>
  </si>
  <si>
    <t>完成度、品质、质量、打磨、成熟、诚意、精良、制作水平、工业化、水准、水平</t>
  </si>
  <si>
    <t>推荐、值得、值回票价、性价比、GOTY、goty、年度游戏、神作、好游戏、满分、评分、退款、失望、满意、惊艳、震撼、好玩、有趣、无聊、垃圾、买、购买</t>
  </si>
  <si>
    <t>西游记、西游、孙悟空、悟空、大圣、猴哥、唐僧、三藏、八戒、沙僧、二郎、杨戬、哪吒、金箍棒、筋斗云、天命人</t>
  </si>
  <si>
    <t>童年、小时候、儿时、从小、回忆、情怀、陪伴、这一代、一代人、成长记忆、青春</t>
  </si>
  <si>
    <t>电视剧、影视、动画、动漫、漫画、哆啦、龙珠、魔法千字文、改编作品、游戏改编、影视剧</t>
  </si>
  <si>
    <t>中国文化、传统文化、东方文化、东方神话、佛教、道教、佛门、神佛、天庭、宗教、古典、原著、原作、戏曲、方言、中文配音、中文语音、汉字、中国神话、寺庙、禅</t>
  </si>
  <si>
    <t>看不懂剧情、看不明白剧情、剧情.*难懂、叙事.*难懂、故事.*难懂、理解剧情.*吃力、理解故事.*吃力、剧情理解、叙事理解</t>
  </si>
  <si>
    <t>不了解.*西游、不懂.*西游、不太懂.*西游、没看过.*西游、原典知识、人物关系、专有名词、六根、轮回、成佛、典故、影射、原著背景、背景知识、出处、称号、原作知识</t>
  </si>
  <si>
    <t>翻译不完整、没翻译、未翻译、翻译问题、本地化问题、本地化不足、日文翻译、韩文翻译、字幕.*缺、翻译.*缺失、翻译.*错误</t>
  </si>
  <si>
    <t>攻略、考据、外部资料、查资料、查阅、解说、百科、维基、wiki、WIKI、边查边玩、查人物</t>
  </si>
  <si>
    <t>原本以为、本来以为、以为会、印象中的、想到的是、不像.*悟空、不是.*悟空、符合原著、偏离原著、期待落差、重新解释、改编.*不、角色.*不符</t>
  </si>
  <si>
    <t>国产、中国人、中国玩家、中国游戏、中国厂商、中国开发、国产滤镜、支持国产、民族、血脉、本土、第一款.*3A、首款.*3A、第一部.*3A、3A大作、中国3A</t>
  </si>
  <si>
    <t>情感分类方法</t>
  </si>
  <si>
    <t>用户提供的sentiment_analysis_汇总版.py和四份词典；jieba 0.42.1；原计分函数与阈值未改动。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</si>
</sst>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2">
    <font>
      <sz val="11"/>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0" fillId="0" borderId="0"/>
  </cellStyleXfs>
  <cellXfs count="4">
    <xf numFmtId="0" fontId="0" fillId="0" borderId="0" xfId="49"/>
    <xf numFmtId="0" fontId="1" fillId="2" borderId="0" xfId="49" applyNumberFormat="1" applyFont="1" applyFill="1" applyBorder="1" applyAlignment="1">
      <alignment horizontal="center" vertical="center" wrapText="1"/>
    </xf>
    <xf numFmtId="176" fontId="0" fillId="0" borderId="0" xfId="49" applyNumberFormat="1" applyFont="1" applyFill="1" applyBorder="1"/>
    <xf numFmtId="0" fontId="0" fillId="0" borderId="0" xfId="49" applyNumberFormat="1" applyFont="1" applyFill="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UnifiedCodingTable" displayName="UnifiedCodingTable" ref="A1:BB901" totalsRowShown="0">
  <tableColumns count="54">
    <tableColumn id="1" name="评论编号"/>
    <tableColumn id="2" name="语言组"/>
    <tableColumn id="3" name="Steam推荐状态"/>
    <tableColumn id="4" name="有价值人数"/>
    <tableColumn id="5" name="欢乐人数"/>
    <tableColumn id="6" name="游戏时长(小时)"/>
    <tableColumn id="7" name="发表时间"/>
    <tableColumn id="8" name="原文"/>
    <tableColumn id="9" name="中文译文/分析文本"/>
    <tableColumn id="14" name="A_视听表现"/>
    <tableColumn id="15" name="B_战斗操作"/>
    <tableColumn id="16" name="C_探索设计"/>
    <tableColumn id="17" name="D_技术稳定"/>
    <tableColumn id="18" name="E_整体评价"/>
    <tableColumn id="19" name="F_文化接近性"/>
    <tableColumn id="20" name="G_文化折扣/理解障碍"/>
    <tableColumn id="21" name="H_国产3A/身份期待"/>
    <tableColumn id="22" name="A1_画面美术场景"/>
    <tableColumn id="23" name="A2_音乐音效配音"/>
    <tableColumn id="24" name="A3_演出角色怪物设计"/>
    <tableColumn id="25" name="B1_动作打击手感"/>
    <tableColumn id="26" name="B2_Boss战斗节奏"/>
    <tableColumn id="27" name="B3_难度挑战"/>
    <tableColumn id="28" name="B4_锁定视角"/>
    <tableColumn id="29" name="B5_判定反馈"/>
    <tableColumn id="30" name="C1_地图路线"/>
    <tableColumn id="31" name="C2_空气墙可达性"/>
    <tableColumn id="32" name="C3_探索隐藏支线"/>
    <tableColumn id="33" name="C4_引导迷路单线"/>
    <tableColumn id="34" name="D1_优化帧率"/>
    <tableColumn id="35" name="D2_崩溃闪退"/>
    <tableColumn id="36" name="D3_Bug兼容硬件"/>
    <tableColumn id="37" name="E1_整体完成度"/>
    <tableColumn id="38" name="E2_推荐价值判断"/>
    <tableColumn id="39" name="F1_西游悟空符号"/>
    <tableColumn id="40" name="F2_童年记忆情怀"/>
    <tableColumn id="41" name="F3_本国媒介路径"/>
    <tableColumn id="42" name="F4_中国文化宗教语言审美"/>
    <tableColumn id="43" name="G1_剧情叙事理解"/>
    <tableColumn id="44" name="G2_原典知识人物关系专名"/>
    <tableColumn id="45" name="G3_本地化翻译"/>
    <tableColumn id="46" name="G4_外部资料依赖"/>
    <tableColumn id="47" name="G5_角色期待意义偏移"/>
    <tableColumn id="48" name="H1_国产3A身份期待"/>
    <tableColumn id="49" name="一级编码数"/>
    <tableColumn id="50" name="二级编码数"/>
    <tableColumn id="52" name="二级编码标签"/>
    <tableColumn id="53" name="有编码"/>
    <tableColumn id="54" name="未命中"/>
    <tableColumn id="55" name="多主题"/>
    <tableColumn id="57" name="词典情感分值"/>
    <tableColumn id="58" name="情感类别（自动）"/>
    <tableColumn id="59" name="情感字母"/>
    <tableColumn id="60" name="计分文本来源"/>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901"/>
  <sheetViews>
    <sheetView tabSelected="1" zoomScale="65" zoomScaleNormal="65" topLeftCell="A7" workbookViewId="0">
      <selection activeCell="BB3" sqref="BB3"/>
    </sheetView>
  </sheetViews>
  <sheetFormatPr defaultColWidth="9" defaultRowHeight="16.8"/>
  <cols>
    <col min="1" max="1" width="25" customWidth="1"/>
    <col min="2" max="2" width="8" customWidth="1"/>
    <col min="3" max="3" width="12" customWidth="1"/>
    <col min="4" max="5" width="10" customWidth="1"/>
    <col min="6" max="6" width="13" customWidth="1"/>
    <col min="7" max="7" width="14" customWidth="1"/>
    <col min="8" max="9" width="46" customWidth="1"/>
    <col min="10" max="14" width="12" customWidth="1"/>
    <col min="15" max="15" width="14" customWidth="1"/>
    <col min="16" max="16" width="18" customWidth="1"/>
    <col min="17" max="17" width="17" customWidth="1"/>
    <col min="18" max="44" width="14" customWidth="1"/>
    <col min="45" max="46" width="11" customWidth="1"/>
    <col min="47" max="47" width="42" customWidth="1"/>
    <col min="48" max="50" width="10" customWidth="1"/>
    <col min="51" max="54" width="24" customWidth="1"/>
  </cols>
  <sheetData>
    <row r="1" ht="34" spans="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ht="409.5" spans="1:54">
      <c r="A2" t="s">
        <v>54</v>
      </c>
      <c r="B2" t="s">
        <v>55</v>
      </c>
      <c r="C2" t="s">
        <v>56</v>
      </c>
      <c r="D2">
        <v>746</v>
      </c>
      <c r="E2">
        <v>18</v>
      </c>
      <c r="F2">
        <v>7.4</v>
      </c>
      <c r="G2" t="s">
        <v>57</v>
      </c>
      <c r="H2" s="3" t="s">
        <v>58</v>
      </c>
      <c r="I2" s="3" t="s">
        <v>58</v>
      </c>
      <c r="J2">
        <f>IF(SUM(R2:T2)&gt;0,1,0)</f>
        <v>1</v>
      </c>
      <c r="K2">
        <f t="shared" ref="K2:K65" si="0">IF(SUM(U2:Y2)&gt;0,1,0)</f>
        <v>1</v>
      </c>
      <c r="L2">
        <f t="shared" ref="L2:L65" si="1">IF(SUM(Z2:AC2)&gt;0,1,0)</f>
        <v>1</v>
      </c>
      <c r="M2">
        <f t="shared" ref="M2:M65" si="2">IF(SUM(AD2:AF2)&gt;0,1,0)</f>
        <v>1</v>
      </c>
      <c r="N2">
        <f t="shared" ref="N2:N65" si="3">IF(SUM(AG2:AH2)&gt;0,1,0)</f>
        <v>1</v>
      </c>
      <c r="O2">
        <f t="shared" ref="O2:O65" si="4">IF(SUM(AI2:AL2)&gt;0,1,0)</f>
        <v>1</v>
      </c>
      <c r="P2">
        <f t="shared" ref="P2:P65" si="5">IF(SUM(AM2:AQ2)&gt;0,1,0)</f>
        <v>1</v>
      </c>
      <c r="Q2">
        <f t="shared" ref="Q2:Q65" si="6">IF(AR2&gt;0,1,0)</f>
        <v>1</v>
      </c>
      <c r="R2">
        <v>1</v>
      </c>
      <c r="S2">
        <v>1</v>
      </c>
      <c r="T2">
        <v>1</v>
      </c>
      <c r="U2">
        <v>1</v>
      </c>
      <c r="V2">
        <v>1</v>
      </c>
      <c r="W2">
        <v>1</v>
      </c>
      <c r="X2">
        <v>1</v>
      </c>
      <c r="Y2">
        <v>1</v>
      </c>
      <c r="Z2">
        <v>1</v>
      </c>
      <c r="AA2">
        <v>1</v>
      </c>
      <c r="AB2">
        <v>1</v>
      </c>
      <c r="AC2">
        <v>1</v>
      </c>
      <c r="AD2">
        <v>1</v>
      </c>
      <c r="AE2">
        <v>0</v>
      </c>
      <c r="AF2">
        <v>1</v>
      </c>
      <c r="AG2">
        <v>1</v>
      </c>
      <c r="AH2">
        <v>1</v>
      </c>
      <c r="AI2">
        <v>1</v>
      </c>
      <c r="AJ2">
        <v>0</v>
      </c>
      <c r="AK2">
        <v>0</v>
      </c>
      <c r="AL2">
        <v>1</v>
      </c>
      <c r="AM2">
        <v>0</v>
      </c>
      <c r="AN2">
        <v>0</v>
      </c>
      <c r="AO2">
        <v>0</v>
      </c>
      <c r="AP2">
        <v>1</v>
      </c>
      <c r="AQ2">
        <v>1</v>
      </c>
      <c r="AR2">
        <v>1</v>
      </c>
      <c r="AS2">
        <f t="shared" ref="AS2:AS65" si="7">SUM(J2:Q2)</f>
        <v>8</v>
      </c>
      <c r="AT2">
        <f t="shared" ref="AT2:AT65" si="8">SUM(R2:AR2)</f>
        <v>21</v>
      </c>
      <c r="AU2" s="3" t="s">
        <v>59</v>
      </c>
      <c r="AV2">
        <f t="shared" ref="AV2:AV65" si="9">IF(AT2&gt;0,1,0)</f>
        <v>1</v>
      </c>
      <c r="AW2">
        <f t="shared" ref="AW2:AW65" si="10">IF(AT2=0,1,0)</f>
        <v>0</v>
      </c>
      <c r="AX2">
        <f t="shared" ref="AX2:AX65" si="11">IF(AT2&gt;=8,1,0)</f>
        <v>1</v>
      </c>
      <c r="AY2">
        <v>189.5</v>
      </c>
      <c r="AZ2" t="s">
        <v>60</v>
      </c>
      <c r="BA2" t="s">
        <v>61</v>
      </c>
      <c r="BB2" t="s">
        <v>7</v>
      </c>
    </row>
    <row r="3" ht="409.5" spans="1:54">
      <c r="A3" t="s">
        <v>62</v>
      </c>
      <c r="B3" t="s">
        <v>55</v>
      </c>
      <c r="C3" t="s">
        <v>56</v>
      </c>
      <c r="D3">
        <v>353</v>
      </c>
      <c r="E3">
        <v>11</v>
      </c>
      <c r="F3">
        <v>88.3</v>
      </c>
      <c r="G3" t="s">
        <v>57</v>
      </c>
      <c r="H3" s="3" t="s">
        <v>63</v>
      </c>
      <c r="I3" s="3" t="s">
        <v>63</v>
      </c>
      <c r="J3">
        <f t="shared" ref="J2:J65" si="12">IF(SUM(R3:T3)&gt;0,1,0)</f>
        <v>1</v>
      </c>
      <c r="K3">
        <f t="shared" si="0"/>
        <v>1</v>
      </c>
      <c r="L3">
        <f t="shared" si="1"/>
        <v>1</v>
      </c>
      <c r="M3">
        <f t="shared" si="2"/>
        <v>0</v>
      </c>
      <c r="N3">
        <f t="shared" si="3"/>
        <v>1</v>
      </c>
      <c r="O3">
        <f t="shared" si="4"/>
        <v>1</v>
      </c>
      <c r="P3">
        <f t="shared" si="5"/>
        <v>0</v>
      </c>
      <c r="Q3">
        <f t="shared" si="6"/>
        <v>1</v>
      </c>
      <c r="R3">
        <v>1</v>
      </c>
      <c r="S3">
        <v>1</v>
      </c>
      <c r="T3">
        <v>0</v>
      </c>
      <c r="U3">
        <v>1</v>
      </c>
      <c r="V3">
        <v>0</v>
      </c>
      <c r="W3">
        <v>0</v>
      </c>
      <c r="X3">
        <v>0</v>
      </c>
      <c r="Y3">
        <v>0</v>
      </c>
      <c r="Z3">
        <v>0</v>
      </c>
      <c r="AA3">
        <v>0</v>
      </c>
      <c r="AB3">
        <v>0</v>
      </c>
      <c r="AC3">
        <v>1</v>
      </c>
      <c r="AD3">
        <v>0</v>
      </c>
      <c r="AE3">
        <v>0</v>
      </c>
      <c r="AF3">
        <v>0</v>
      </c>
      <c r="AG3">
        <v>1</v>
      </c>
      <c r="AH3">
        <v>1</v>
      </c>
      <c r="AI3">
        <v>1</v>
      </c>
      <c r="AJ3">
        <v>1</v>
      </c>
      <c r="AK3">
        <v>0</v>
      </c>
      <c r="AL3">
        <v>0</v>
      </c>
      <c r="AM3">
        <v>0</v>
      </c>
      <c r="AN3">
        <v>0</v>
      </c>
      <c r="AO3">
        <v>0</v>
      </c>
      <c r="AP3">
        <v>0</v>
      </c>
      <c r="AQ3">
        <v>0</v>
      </c>
      <c r="AR3">
        <v>1</v>
      </c>
      <c r="AS3">
        <f t="shared" si="7"/>
        <v>6</v>
      </c>
      <c r="AT3">
        <f t="shared" si="8"/>
        <v>9</v>
      </c>
      <c r="AU3" s="3" t="s">
        <v>64</v>
      </c>
      <c r="AV3">
        <f t="shared" si="9"/>
        <v>1</v>
      </c>
      <c r="AW3">
        <f t="shared" si="10"/>
        <v>0</v>
      </c>
      <c r="AX3">
        <f t="shared" si="11"/>
        <v>1</v>
      </c>
      <c r="AY3">
        <v>10</v>
      </c>
      <c r="AZ3" t="s">
        <v>60</v>
      </c>
      <c r="BA3" t="s">
        <v>61</v>
      </c>
      <c r="BB3" t="s">
        <v>7</v>
      </c>
    </row>
    <row r="4" ht="409.5" spans="1:54">
      <c r="A4" t="s">
        <v>65</v>
      </c>
      <c r="B4" t="s">
        <v>55</v>
      </c>
      <c r="C4" t="s">
        <v>56</v>
      </c>
      <c r="D4">
        <v>328</v>
      </c>
      <c r="E4">
        <v>13</v>
      </c>
      <c r="F4">
        <v>106.6</v>
      </c>
      <c r="G4" t="s">
        <v>57</v>
      </c>
      <c r="H4" s="3" t="s">
        <v>66</v>
      </c>
      <c r="I4" s="3" t="s">
        <v>66</v>
      </c>
      <c r="J4">
        <f t="shared" si="12"/>
        <v>1</v>
      </c>
      <c r="K4">
        <f t="shared" si="0"/>
        <v>1</v>
      </c>
      <c r="L4">
        <f t="shared" si="1"/>
        <v>1</v>
      </c>
      <c r="M4">
        <f t="shared" si="2"/>
        <v>0</v>
      </c>
      <c r="N4">
        <f t="shared" si="3"/>
        <v>1</v>
      </c>
      <c r="O4">
        <f t="shared" si="4"/>
        <v>1</v>
      </c>
      <c r="P4">
        <f t="shared" si="5"/>
        <v>1</v>
      </c>
      <c r="Q4">
        <f t="shared" si="6"/>
        <v>1</v>
      </c>
      <c r="R4">
        <v>1</v>
      </c>
      <c r="S4">
        <v>1</v>
      </c>
      <c r="T4">
        <v>1</v>
      </c>
      <c r="U4">
        <v>0</v>
      </c>
      <c r="V4">
        <v>0</v>
      </c>
      <c r="W4">
        <v>1</v>
      </c>
      <c r="X4">
        <v>1</v>
      </c>
      <c r="Y4">
        <v>0</v>
      </c>
      <c r="Z4">
        <v>0</v>
      </c>
      <c r="AA4">
        <v>0</v>
      </c>
      <c r="AB4">
        <v>1</v>
      </c>
      <c r="AC4">
        <v>0</v>
      </c>
      <c r="AD4">
        <v>0</v>
      </c>
      <c r="AE4">
        <v>0</v>
      </c>
      <c r="AF4">
        <v>0</v>
      </c>
      <c r="AG4">
        <v>1</v>
      </c>
      <c r="AH4">
        <v>1</v>
      </c>
      <c r="AI4">
        <v>1</v>
      </c>
      <c r="AJ4">
        <v>1</v>
      </c>
      <c r="AK4">
        <v>1</v>
      </c>
      <c r="AL4">
        <v>1</v>
      </c>
      <c r="AM4">
        <v>0</v>
      </c>
      <c r="AN4">
        <v>0</v>
      </c>
      <c r="AO4">
        <v>0</v>
      </c>
      <c r="AP4">
        <v>0</v>
      </c>
      <c r="AQ4">
        <v>1</v>
      </c>
      <c r="AR4">
        <v>1</v>
      </c>
      <c r="AS4">
        <f t="shared" si="7"/>
        <v>7</v>
      </c>
      <c r="AT4">
        <f t="shared" si="8"/>
        <v>14</v>
      </c>
      <c r="AU4" s="3" t="s">
        <v>67</v>
      </c>
      <c r="AV4">
        <f t="shared" si="9"/>
        <v>1</v>
      </c>
      <c r="AW4">
        <f t="shared" si="10"/>
        <v>0</v>
      </c>
      <c r="AX4">
        <f t="shared" si="11"/>
        <v>1</v>
      </c>
      <c r="AY4">
        <v>68.5</v>
      </c>
      <c r="AZ4" t="s">
        <v>60</v>
      </c>
      <c r="BA4" t="s">
        <v>61</v>
      </c>
      <c r="BB4" t="s">
        <v>7</v>
      </c>
    </row>
    <row r="5" ht="409.5" spans="1:54">
      <c r="A5" t="s">
        <v>68</v>
      </c>
      <c r="B5" t="s">
        <v>55</v>
      </c>
      <c r="C5" t="s">
        <v>56</v>
      </c>
      <c r="D5">
        <v>259</v>
      </c>
      <c r="E5">
        <v>8</v>
      </c>
      <c r="F5">
        <v>71.3</v>
      </c>
      <c r="G5" t="s">
        <v>57</v>
      </c>
      <c r="H5" s="3" t="s">
        <v>69</v>
      </c>
      <c r="I5" s="3" t="s">
        <v>69</v>
      </c>
      <c r="J5">
        <f t="shared" si="12"/>
        <v>1</v>
      </c>
      <c r="K5">
        <f t="shared" si="0"/>
        <v>1</v>
      </c>
      <c r="L5">
        <f t="shared" si="1"/>
        <v>1</v>
      </c>
      <c r="M5">
        <f t="shared" si="2"/>
        <v>1</v>
      </c>
      <c r="N5">
        <f t="shared" si="3"/>
        <v>1</v>
      </c>
      <c r="O5">
        <f t="shared" si="4"/>
        <v>1</v>
      </c>
      <c r="P5">
        <f t="shared" si="5"/>
        <v>1</v>
      </c>
      <c r="Q5">
        <f t="shared" si="6"/>
        <v>1</v>
      </c>
      <c r="R5">
        <v>1</v>
      </c>
      <c r="S5">
        <v>0</v>
      </c>
      <c r="T5">
        <v>0</v>
      </c>
      <c r="U5">
        <v>1</v>
      </c>
      <c r="V5">
        <v>1</v>
      </c>
      <c r="W5">
        <v>1</v>
      </c>
      <c r="X5">
        <v>1</v>
      </c>
      <c r="Y5">
        <v>0</v>
      </c>
      <c r="Z5">
        <v>1</v>
      </c>
      <c r="AA5">
        <v>1</v>
      </c>
      <c r="AB5">
        <v>1</v>
      </c>
      <c r="AC5">
        <v>1</v>
      </c>
      <c r="AD5">
        <v>1</v>
      </c>
      <c r="AE5">
        <v>0</v>
      </c>
      <c r="AF5">
        <v>0</v>
      </c>
      <c r="AG5">
        <v>1</v>
      </c>
      <c r="AH5">
        <v>1</v>
      </c>
      <c r="AI5">
        <v>1</v>
      </c>
      <c r="AJ5">
        <v>0</v>
      </c>
      <c r="AK5">
        <v>0</v>
      </c>
      <c r="AL5">
        <v>1</v>
      </c>
      <c r="AM5">
        <v>0</v>
      </c>
      <c r="AN5">
        <v>0</v>
      </c>
      <c r="AO5">
        <v>0</v>
      </c>
      <c r="AP5">
        <v>1</v>
      </c>
      <c r="AQ5">
        <v>0</v>
      </c>
      <c r="AR5">
        <v>1</v>
      </c>
      <c r="AS5">
        <f t="shared" si="7"/>
        <v>8</v>
      </c>
      <c r="AT5">
        <f t="shared" si="8"/>
        <v>16</v>
      </c>
      <c r="AU5" s="3" t="s">
        <v>70</v>
      </c>
      <c r="AV5">
        <f t="shared" si="9"/>
        <v>1</v>
      </c>
      <c r="AW5">
        <f t="shared" si="10"/>
        <v>0</v>
      </c>
      <c r="AX5">
        <f t="shared" si="11"/>
        <v>1</v>
      </c>
      <c r="AY5">
        <v>81.5</v>
      </c>
      <c r="AZ5" t="s">
        <v>60</v>
      </c>
      <c r="BA5" t="s">
        <v>61</v>
      </c>
      <c r="BB5" t="s">
        <v>7</v>
      </c>
    </row>
    <row r="6" ht="409.5" spans="1:54">
      <c r="A6" t="s">
        <v>71</v>
      </c>
      <c r="B6" t="s">
        <v>55</v>
      </c>
      <c r="C6" t="s">
        <v>56</v>
      </c>
      <c r="D6">
        <v>48</v>
      </c>
      <c r="E6">
        <v>1</v>
      </c>
      <c r="F6">
        <v>128.4</v>
      </c>
      <c r="G6" t="s">
        <v>57</v>
      </c>
      <c r="H6" s="3" t="s">
        <v>72</v>
      </c>
      <c r="I6" s="3" t="s">
        <v>72</v>
      </c>
      <c r="J6">
        <f t="shared" si="12"/>
        <v>1</v>
      </c>
      <c r="K6">
        <f t="shared" si="0"/>
        <v>1</v>
      </c>
      <c r="L6">
        <f t="shared" si="1"/>
        <v>1</v>
      </c>
      <c r="M6">
        <f t="shared" si="2"/>
        <v>0</v>
      </c>
      <c r="N6">
        <f t="shared" si="3"/>
        <v>1</v>
      </c>
      <c r="O6">
        <f t="shared" si="4"/>
        <v>1</v>
      </c>
      <c r="P6">
        <f t="shared" si="5"/>
        <v>0</v>
      </c>
      <c r="Q6">
        <f t="shared" si="6"/>
        <v>1</v>
      </c>
      <c r="R6">
        <v>1</v>
      </c>
      <c r="S6">
        <v>1</v>
      </c>
      <c r="T6">
        <v>0</v>
      </c>
      <c r="U6">
        <v>0</v>
      </c>
      <c r="V6">
        <v>1</v>
      </c>
      <c r="W6">
        <v>0</v>
      </c>
      <c r="X6">
        <v>0</v>
      </c>
      <c r="Y6">
        <v>0</v>
      </c>
      <c r="Z6">
        <v>1</v>
      </c>
      <c r="AA6">
        <v>0</v>
      </c>
      <c r="AB6">
        <v>0</v>
      </c>
      <c r="AC6">
        <v>1</v>
      </c>
      <c r="AD6">
        <v>0</v>
      </c>
      <c r="AE6">
        <v>0</v>
      </c>
      <c r="AF6">
        <v>0</v>
      </c>
      <c r="AG6">
        <v>1</v>
      </c>
      <c r="AH6">
        <v>1</v>
      </c>
      <c r="AI6">
        <v>1</v>
      </c>
      <c r="AJ6">
        <v>0</v>
      </c>
      <c r="AK6">
        <v>0</v>
      </c>
      <c r="AL6">
        <v>0</v>
      </c>
      <c r="AM6">
        <v>0</v>
      </c>
      <c r="AN6">
        <v>0</v>
      </c>
      <c r="AO6">
        <v>0</v>
      </c>
      <c r="AP6">
        <v>0</v>
      </c>
      <c r="AQ6">
        <v>0</v>
      </c>
      <c r="AR6">
        <v>1</v>
      </c>
      <c r="AS6">
        <f t="shared" si="7"/>
        <v>6</v>
      </c>
      <c r="AT6">
        <f t="shared" si="8"/>
        <v>9</v>
      </c>
      <c r="AU6" s="3" t="s">
        <v>73</v>
      </c>
      <c r="AV6">
        <f t="shared" si="9"/>
        <v>1</v>
      </c>
      <c r="AW6">
        <f t="shared" si="10"/>
        <v>0</v>
      </c>
      <c r="AX6">
        <f t="shared" si="11"/>
        <v>1</v>
      </c>
      <c r="AY6">
        <v>43</v>
      </c>
      <c r="AZ6" t="s">
        <v>60</v>
      </c>
      <c r="BA6" t="s">
        <v>61</v>
      </c>
      <c r="BB6" t="s">
        <v>7</v>
      </c>
    </row>
    <row r="7" ht="409.5" spans="1:54">
      <c r="A7" t="s">
        <v>74</v>
      </c>
      <c r="B7" t="s">
        <v>55</v>
      </c>
      <c r="C7" t="s">
        <v>56</v>
      </c>
      <c r="D7">
        <v>51</v>
      </c>
      <c r="E7">
        <v>1</v>
      </c>
      <c r="F7">
        <v>20.1</v>
      </c>
      <c r="G7" t="s">
        <v>57</v>
      </c>
      <c r="H7" s="3" t="s">
        <v>75</v>
      </c>
      <c r="I7" s="3" t="s">
        <v>75</v>
      </c>
      <c r="J7">
        <f t="shared" si="12"/>
        <v>0</v>
      </c>
      <c r="K7">
        <f t="shared" si="0"/>
        <v>1</v>
      </c>
      <c r="L7">
        <f t="shared" si="1"/>
        <v>1</v>
      </c>
      <c r="M7">
        <f t="shared" si="2"/>
        <v>0</v>
      </c>
      <c r="N7">
        <f t="shared" si="3"/>
        <v>1</v>
      </c>
      <c r="O7">
        <f t="shared" si="4"/>
        <v>0</v>
      </c>
      <c r="P7">
        <f t="shared" si="5"/>
        <v>0</v>
      </c>
      <c r="Q7">
        <f t="shared" si="6"/>
        <v>1</v>
      </c>
      <c r="R7">
        <v>0</v>
      </c>
      <c r="S7">
        <v>0</v>
      </c>
      <c r="T7">
        <v>0</v>
      </c>
      <c r="U7">
        <v>0</v>
      </c>
      <c r="V7">
        <v>1</v>
      </c>
      <c r="W7">
        <v>1</v>
      </c>
      <c r="X7">
        <v>0</v>
      </c>
      <c r="Y7">
        <v>0</v>
      </c>
      <c r="Z7">
        <v>1</v>
      </c>
      <c r="AA7">
        <v>0</v>
      </c>
      <c r="AB7">
        <v>0</v>
      </c>
      <c r="AC7">
        <v>0</v>
      </c>
      <c r="AD7">
        <v>0</v>
      </c>
      <c r="AE7">
        <v>0</v>
      </c>
      <c r="AF7">
        <v>0</v>
      </c>
      <c r="AG7">
        <v>1</v>
      </c>
      <c r="AH7">
        <v>0</v>
      </c>
      <c r="AI7">
        <v>0</v>
      </c>
      <c r="AJ7">
        <v>0</v>
      </c>
      <c r="AK7">
        <v>0</v>
      </c>
      <c r="AL7">
        <v>0</v>
      </c>
      <c r="AM7">
        <v>0</v>
      </c>
      <c r="AN7">
        <v>0</v>
      </c>
      <c r="AO7">
        <v>0</v>
      </c>
      <c r="AP7">
        <v>0</v>
      </c>
      <c r="AQ7">
        <v>0</v>
      </c>
      <c r="AR7">
        <v>1</v>
      </c>
      <c r="AS7">
        <f t="shared" si="7"/>
        <v>4</v>
      </c>
      <c r="AT7">
        <f t="shared" si="8"/>
        <v>5</v>
      </c>
      <c r="AU7" s="3" t="s">
        <v>76</v>
      </c>
      <c r="AV7">
        <f t="shared" si="9"/>
        <v>1</v>
      </c>
      <c r="AW7">
        <f t="shared" si="10"/>
        <v>0</v>
      </c>
      <c r="AX7">
        <f t="shared" si="11"/>
        <v>0</v>
      </c>
      <c r="AY7">
        <v>19.5</v>
      </c>
      <c r="AZ7" t="s">
        <v>60</v>
      </c>
      <c r="BA7" t="s">
        <v>61</v>
      </c>
      <c r="BB7" t="s">
        <v>7</v>
      </c>
    </row>
    <row r="8" ht="51" spans="1:54">
      <c r="A8" t="s">
        <v>77</v>
      </c>
      <c r="B8" t="s">
        <v>55</v>
      </c>
      <c r="C8" t="s">
        <v>56</v>
      </c>
      <c r="D8">
        <v>20171</v>
      </c>
      <c r="E8">
        <v>545</v>
      </c>
      <c r="F8">
        <v>51.1</v>
      </c>
      <c r="G8" t="s">
        <v>57</v>
      </c>
      <c r="H8" s="3" t="s">
        <v>78</v>
      </c>
      <c r="I8" s="3" t="s">
        <v>78</v>
      </c>
      <c r="J8">
        <f t="shared" si="12"/>
        <v>0</v>
      </c>
      <c r="K8">
        <f t="shared" si="0"/>
        <v>0</v>
      </c>
      <c r="L8">
        <f t="shared" si="1"/>
        <v>0</v>
      </c>
      <c r="M8">
        <f t="shared" si="2"/>
        <v>0</v>
      </c>
      <c r="N8">
        <f t="shared" si="3"/>
        <v>0</v>
      </c>
      <c r="O8">
        <f t="shared" si="4"/>
        <v>1</v>
      </c>
      <c r="P8">
        <f t="shared" si="5"/>
        <v>0</v>
      </c>
      <c r="Q8">
        <f t="shared" si="6"/>
        <v>0</v>
      </c>
      <c r="R8">
        <v>0</v>
      </c>
      <c r="S8">
        <v>0</v>
      </c>
      <c r="T8">
        <v>0</v>
      </c>
      <c r="U8">
        <v>0</v>
      </c>
      <c r="V8">
        <v>0</v>
      </c>
      <c r="W8">
        <v>0</v>
      </c>
      <c r="X8">
        <v>0</v>
      </c>
      <c r="Y8">
        <v>0</v>
      </c>
      <c r="Z8">
        <v>0</v>
      </c>
      <c r="AA8">
        <v>0</v>
      </c>
      <c r="AB8">
        <v>0</v>
      </c>
      <c r="AC8">
        <v>0</v>
      </c>
      <c r="AD8">
        <v>0</v>
      </c>
      <c r="AE8">
        <v>0</v>
      </c>
      <c r="AF8">
        <v>0</v>
      </c>
      <c r="AG8">
        <v>0</v>
      </c>
      <c r="AH8">
        <v>0</v>
      </c>
      <c r="AI8">
        <v>1</v>
      </c>
      <c r="AJ8">
        <v>0</v>
      </c>
      <c r="AK8">
        <v>0</v>
      </c>
      <c r="AL8">
        <v>0</v>
      </c>
      <c r="AM8">
        <v>0</v>
      </c>
      <c r="AN8">
        <v>0</v>
      </c>
      <c r="AO8">
        <v>0</v>
      </c>
      <c r="AP8">
        <v>0</v>
      </c>
      <c r="AQ8">
        <v>0</v>
      </c>
      <c r="AR8">
        <v>0</v>
      </c>
      <c r="AS8">
        <f t="shared" si="7"/>
        <v>1</v>
      </c>
      <c r="AT8">
        <f t="shared" si="8"/>
        <v>1</v>
      </c>
      <c r="AU8" s="3" t="s">
        <v>79</v>
      </c>
      <c r="AV8">
        <f t="shared" si="9"/>
        <v>1</v>
      </c>
      <c r="AW8">
        <f t="shared" si="10"/>
        <v>0</v>
      </c>
      <c r="AX8">
        <f t="shared" si="11"/>
        <v>0</v>
      </c>
      <c r="AY8">
        <v>3</v>
      </c>
      <c r="AZ8" t="s">
        <v>60</v>
      </c>
      <c r="BA8" t="s">
        <v>61</v>
      </c>
      <c r="BB8" t="s">
        <v>7</v>
      </c>
    </row>
    <row r="9" ht="34" spans="1:54">
      <c r="A9" t="s">
        <v>80</v>
      </c>
      <c r="B9" t="s">
        <v>55</v>
      </c>
      <c r="C9" t="s">
        <v>56</v>
      </c>
      <c r="D9">
        <v>19160</v>
      </c>
      <c r="E9">
        <v>8780</v>
      </c>
      <c r="F9">
        <v>52.3</v>
      </c>
      <c r="G9" t="s">
        <v>57</v>
      </c>
      <c r="H9" s="3" t="s">
        <v>81</v>
      </c>
      <c r="I9" s="3" t="s">
        <v>81</v>
      </c>
      <c r="J9">
        <f t="shared" si="12"/>
        <v>0</v>
      </c>
      <c r="K9">
        <f t="shared" si="0"/>
        <v>1</v>
      </c>
      <c r="L9">
        <f t="shared" si="1"/>
        <v>0</v>
      </c>
      <c r="M9">
        <f t="shared" si="2"/>
        <v>0</v>
      </c>
      <c r="N9">
        <f t="shared" si="3"/>
        <v>0</v>
      </c>
      <c r="O9">
        <f t="shared" si="4"/>
        <v>1</v>
      </c>
      <c r="P9">
        <f t="shared" si="5"/>
        <v>0</v>
      </c>
      <c r="Q9">
        <f t="shared" si="6"/>
        <v>0</v>
      </c>
      <c r="R9">
        <v>0</v>
      </c>
      <c r="S9">
        <v>0</v>
      </c>
      <c r="T9">
        <v>0</v>
      </c>
      <c r="U9">
        <v>0</v>
      </c>
      <c r="V9">
        <v>1</v>
      </c>
      <c r="W9">
        <v>0</v>
      </c>
      <c r="X9">
        <v>0</v>
      </c>
      <c r="Y9">
        <v>0</v>
      </c>
      <c r="Z9">
        <v>0</v>
      </c>
      <c r="AA9">
        <v>0</v>
      </c>
      <c r="AB9">
        <v>0</v>
      </c>
      <c r="AC9">
        <v>0</v>
      </c>
      <c r="AD9">
        <v>0</v>
      </c>
      <c r="AE9">
        <v>0</v>
      </c>
      <c r="AF9">
        <v>0</v>
      </c>
      <c r="AG9">
        <v>0</v>
      </c>
      <c r="AH9">
        <v>0</v>
      </c>
      <c r="AI9">
        <v>1</v>
      </c>
      <c r="AJ9">
        <v>0</v>
      </c>
      <c r="AK9">
        <v>0</v>
      </c>
      <c r="AL9">
        <v>0</v>
      </c>
      <c r="AM9">
        <v>0</v>
      </c>
      <c r="AN9">
        <v>0</v>
      </c>
      <c r="AO9">
        <v>0</v>
      </c>
      <c r="AP9">
        <v>0</v>
      </c>
      <c r="AQ9">
        <v>0</v>
      </c>
      <c r="AR9">
        <v>0</v>
      </c>
      <c r="AS9">
        <f t="shared" si="7"/>
        <v>2</v>
      </c>
      <c r="AT9">
        <f t="shared" si="8"/>
        <v>2</v>
      </c>
      <c r="AU9" s="3" t="s">
        <v>82</v>
      </c>
      <c r="AV9">
        <f t="shared" si="9"/>
        <v>1</v>
      </c>
      <c r="AW9">
        <f t="shared" si="10"/>
        <v>0</v>
      </c>
      <c r="AX9">
        <f t="shared" si="11"/>
        <v>0</v>
      </c>
      <c r="AY9">
        <v>2</v>
      </c>
      <c r="AZ9" t="s">
        <v>60</v>
      </c>
      <c r="BA9" t="s">
        <v>61</v>
      </c>
      <c r="BB9" t="s">
        <v>7</v>
      </c>
    </row>
    <row r="10" ht="152" spans="1:54">
      <c r="A10" t="s">
        <v>83</v>
      </c>
      <c r="B10" t="s">
        <v>55</v>
      </c>
      <c r="C10" t="s">
        <v>56</v>
      </c>
      <c r="D10">
        <v>12177</v>
      </c>
      <c r="E10">
        <v>250</v>
      </c>
      <c r="F10">
        <v>162.1</v>
      </c>
      <c r="G10" t="s">
        <v>57</v>
      </c>
      <c r="H10" s="3" t="s">
        <v>84</v>
      </c>
      <c r="I10" s="3" t="s">
        <v>84</v>
      </c>
      <c r="J10">
        <f t="shared" si="12"/>
        <v>1</v>
      </c>
      <c r="K10">
        <f t="shared" si="0"/>
        <v>1</v>
      </c>
      <c r="L10">
        <f t="shared" si="1"/>
        <v>0</v>
      </c>
      <c r="M10">
        <f t="shared" si="2"/>
        <v>0</v>
      </c>
      <c r="N10">
        <f t="shared" si="3"/>
        <v>1</v>
      </c>
      <c r="O10">
        <f t="shared" si="4"/>
        <v>1</v>
      </c>
      <c r="P10">
        <f t="shared" si="5"/>
        <v>0</v>
      </c>
      <c r="Q10">
        <f t="shared" si="6"/>
        <v>1</v>
      </c>
      <c r="R10">
        <v>1</v>
      </c>
      <c r="S10">
        <v>1</v>
      </c>
      <c r="T10">
        <v>0</v>
      </c>
      <c r="U10">
        <v>0</v>
      </c>
      <c r="V10">
        <v>1</v>
      </c>
      <c r="W10">
        <v>0</v>
      </c>
      <c r="X10">
        <v>0</v>
      </c>
      <c r="Y10">
        <v>0</v>
      </c>
      <c r="Z10">
        <v>0</v>
      </c>
      <c r="AA10">
        <v>0</v>
      </c>
      <c r="AB10">
        <v>0</v>
      </c>
      <c r="AC10">
        <v>0</v>
      </c>
      <c r="AD10">
        <v>0</v>
      </c>
      <c r="AE10">
        <v>0</v>
      </c>
      <c r="AF10">
        <v>0</v>
      </c>
      <c r="AG10">
        <v>0</v>
      </c>
      <c r="AH10">
        <v>1</v>
      </c>
      <c r="AI10">
        <v>1</v>
      </c>
      <c r="AJ10">
        <v>1</v>
      </c>
      <c r="AK10">
        <v>0</v>
      </c>
      <c r="AL10">
        <v>0</v>
      </c>
      <c r="AM10">
        <v>0</v>
      </c>
      <c r="AN10">
        <v>0</v>
      </c>
      <c r="AO10">
        <v>0</v>
      </c>
      <c r="AP10">
        <v>0</v>
      </c>
      <c r="AQ10">
        <v>0</v>
      </c>
      <c r="AR10">
        <v>1</v>
      </c>
      <c r="AS10">
        <f t="shared" si="7"/>
        <v>5</v>
      </c>
      <c r="AT10">
        <f t="shared" si="8"/>
        <v>7</v>
      </c>
      <c r="AU10" s="3" t="s">
        <v>85</v>
      </c>
      <c r="AV10">
        <f t="shared" si="9"/>
        <v>1</v>
      </c>
      <c r="AW10">
        <f t="shared" si="10"/>
        <v>0</v>
      </c>
      <c r="AX10">
        <f t="shared" si="11"/>
        <v>0</v>
      </c>
      <c r="AY10">
        <v>10</v>
      </c>
      <c r="AZ10" t="s">
        <v>60</v>
      </c>
      <c r="BA10" t="s">
        <v>61</v>
      </c>
      <c r="BB10" t="s">
        <v>7</v>
      </c>
    </row>
    <row r="11" ht="336" spans="1:54">
      <c r="A11" t="s">
        <v>86</v>
      </c>
      <c r="B11" t="s">
        <v>55</v>
      </c>
      <c r="C11" t="s">
        <v>56</v>
      </c>
      <c r="D11">
        <v>8886</v>
      </c>
      <c r="E11">
        <v>288</v>
      </c>
      <c r="F11">
        <v>20.9</v>
      </c>
      <c r="G11" t="s">
        <v>57</v>
      </c>
      <c r="H11" s="3" t="s">
        <v>87</v>
      </c>
      <c r="I11" s="3" t="s">
        <v>87</v>
      </c>
      <c r="J11">
        <f t="shared" si="12"/>
        <v>1</v>
      </c>
      <c r="K11">
        <f t="shared" si="0"/>
        <v>0</v>
      </c>
      <c r="L11">
        <f t="shared" si="1"/>
        <v>0</v>
      </c>
      <c r="M11">
        <f t="shared" si="2"/>
        <v>0</v>
      </c>
      <c r="N11">
        <f t="shared" si="3"/>
        <v>0</v>
      </c>
      <c r="O11">
        <f t="shared" si="4"/>
        <v>0</v>
      </c>
      <c r="P11">
        <f t="shared" si="5"/>
        <v>0</v>
      </c>
      <c r="Q11">
        <f t="shared" si="6"/>
        <v>1</v>
      </c>
      <c r="R11">
        <v>1</v>
      </c>
      <c r="S11">
        <v>1</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1</v>
      </c>
      <c r="AS11">
        <f t="shared" si="7"/>
        <v>2</v>
      </c>
      <c r="AT11">
        <f t="shared" si="8"/>
        <v>3</v>
      </c>
      <c r="AU11" s="3" t="s">
        <v>88</v>
      </c>
      <c r="AV11">
        <f t="shared" si="9"/>
        <v>1</v>
      </c>
      <c r="AW11">
        <f t="shared" si="10"/>
        <v>0</v>
      </c>
      <c r="AX11">
        <f t="shared" si="11"/>
        <v>0</v>
      </c>
      <c r="AY11">
        <v>30.5</v>
      </c>
      <c r="AZ11" t="s">
        <v>60</v>
      </c>
      <c r="BA11" t="s">
        <v>61</v>
      </c>
      <c r="BB11" t="s">
        <v>7</v>
      </c>
    </row>
    <row r="12" ht="409.5" spans="1:54">
      <c r="A12" t="s">
        <v>89</v>
      </c>
      <c r="B12" t="s">
        <v>55</v>
      </c>
      <c r="C12" t="s">
        <v>56</v>
      </c>
      <c r="D12">
        <v>8705</v>
      </c>
      <c r="E12">
        <v>422</v>
      </c>
      <c r="F12">
        <v>132.2</v>
      </c>
      <c r="G12" t="s">
        <v>57</v>
      </c>
      <c r="H12" s="3" t="s">
        <v>90</v>
      </c>
      <c r="I12" s="3" t="s">
        <v>90</v>
      </c>
      <c r="J12">
        <f t="shared" si="12"/>
        <v>1</v>
      </c>
      <c r="K12">
        <f t="shared" si="0"/>
        <v>1</v>
      </c>
      <c r="L12">
        <f t="shared" si="1"/>
        <v>0</v>
      </c>
      <c r="M12">
        <f t="shared" si="2"/>
        <v>0</v>
      </c>
      <c r="N12">
        <f t="shared" si="3"/>
        <v>1</v>
      </c>
      <c r="O12">
        <f t="shared" si="4"/>
        <v>1</v>
      </c>
      <c r="P12">
        <f t="shared" si="5"/>
        <v>1</v>
      </c>
      <c r="Q12">
        <f t="shared" si="6"/>
        <v>0</v>
      </c>
      <c r="R12">
        <v>1</v>
      </c>
      <c r="S12">
        <v>0</v>
      </c>
      <c r="T12">
        <v>0</v>
      </c>
      <c r="U12">
        <v>1</v>
      </c>
      <c r="V12">
        <v>0</v>
      </c>
      <c r="W12">
        <v>0</v>
      </c>
      <c r="X12">
        <v>0</v>
      </c>
      <c r="Y12">
        <v>0</v>
      </c>
      <c r="Z12">
        <v>0</v>
      </c>
      <c r="AA12">
        <v>0</v>
      </c>
      <c r="AB12">
        <v>0</v>
      </c>
      <c r="AC12">
        <v>0</v>
      </c>
      <c r="AD12">
        <v>0</v>
      </c>
      <c r="AE12">
        <v>0</v>
      </c>
      <c r="AF12">
        <v>0</v>
      </c>
      <c r="AG12">
        <v>0</v>
      </c>
      <c r="AH12">
        <v>1</v>
      </c>
      <c r="AI12">
        <v>1</v>
      </c>
      <c r="AJ12">
        <v>0</v>
      </c>
      <c r="AK12">
        <v>0</v>
      </c>
      <c r="AL12">
        <v>0</v>
      </c>
      <c r="AM12">
        <v>0</v>
      </c>
      <c r="AN12">
        <v>1</v>
      </c>
      <c r="AO12">
        <v>0</v>
      </c>
      <c r="AP12">
        <v>0</v>
      </c>
      <c r="AQ12">
        <v>0</v>
      </c>
      <c r="AR12">
        <v>0</v>
      </c>
      <c r="AS12">
        <f t="shared" si="7"/>
        <v>5</v>
      </c>
      <c r="AT12">
        <f t="shared" si="8"/>
        <v>5</v>
      </c>
      <c r="AU12" s="3" t="s">
        <v>91</v>
      </c>
      <c r="AV12">
        <f t="shared" si="9"/>
        <v>1</v>
      </c>
      <c r="AW12">
        <f t="shared" si="10"/>
        <v>0</v>
      </c>
      <c r="AX12">
        <f t="shared" si="11"/>
        <v>0</v>
      </c>
      <c r="AY12">
        <v>7.5</v>
      </c>
      <c r="AZ12" t="s">
        <v>60</v>
      </c>
      <c r="BA12" t="s">
        <v>61</v>
      </c>
      <c r="BB12" t="s">
        <v>7</v>
      </c>
    </row>
    <row r="13" ht="236" spans="1:54">
      <c r="A13" t="s">
        <v>92</v>
      </c>
      <c r="B13" t="s">
        <v>55</v>
      </c>
      <c r="C13" t="s">
        <v>56</v>
      </c>
      <c r="D13">
        <v>6708</v>
      </c>
      <c r="E13">
        <v>163</v>
      </c>
      <c r="F13">
        <v>70.5</v>
      </c>
      <c r="G13" t="s">
        <v>57</v>
      </c>
      <c r="H13" s="3" t="s">
        <v>93</v>
      </c>
      <c r="I13" s="3" t="s">
        <v>93</v>
      </c>
      <c r="J13">
        <f t="shared" si="12"/>
        <v>1</v>
      </c>
      <c r="K13">
        <f t="shared" si="0"/>
        <v>1</v>
      </c>
      <c r="L13">
        <f t="shared" si="1"/>
        <v>0</v>
      </c>
      <c r="M13">
        <f t="shared" si="2"/>
        <v>0</v>
      </c>
      <c r="N13">
        <f t="shared" si="3"/>
        <v>0</v>
      </c>
      <c r="O13">
        <f t="shared" si="4"/>
        <v>1</v>
      </c>
      <c r="P13">
        <f t="shared" si="5"/>
        <v>0</v>
      </c>
      <c r="Q13">
        <f t="shared" si="6"/>
        <v>1</v>
      </c>
      <c r="R13">
        <v>0</v>
      </c>
      <c r="S13">
        <v>1</v>
      </c>
      <c r="T13">
        <v>0</v>
      </c>
      <c r="U13">
        <v>1</v>
      </c>
      <c r="V13">
        <v>0</v>
      </c>
      <c r="W13">
        <v>0</v>
      </c>
      <c r="X13">
        <v>0</v>
      </c>
      <c r="Y13">
        <v>0</v>
      </c>
      <c r="Z13">
        <v>0</v>
      </c>
      <c r="AA13">
        <v>0</v>
      </c>
      <c r="AB13">
        <v>0</v>
      </c>
      <c r="AC13">
        <v>0</v>
      </c>
      <c r="AD13">
        <v>0</v>
      </c>
      <c r="AE13">
        <v>0</v>
      </c>
      <c r="AF13">
        <v>0</v>
      </c>
      <c r="AG13">
        <v>0</v>
      </c>
      <c r="AH13">
        <v>0</v>
      </c>
      <c r="AI13">
        <v>1</v>
      </c>
      <c r="AJ13">
        <v>0</v>
      </c>
      <c r="AK13">
        <v>0</v>
      </c>
      <c r="AL13">
        <v>1</v>
      </c>
      <c r="AM13">
        <v>0</v>
      </c>
      <c r="AN13">
        <v>0</v>
      </c>
      <c r="AO13">
        <v>0</v>
      </c>
      <c r="AP13">
        <v>0</v>
      </c>
      <c r="AQ13">
        <v>0</v>
      </c>
      <c r="AR13">
        <v>1</v>
      </c>
      <c r="AS13">
        <f t="shared" si="7"/>
        <v>4</v>
      </c>
      <c r="AT13">
        <f t="shared" si="8"/>
        <v>5</v>
      </c>
      <c r="AU13" s="3" t="s">
        <v>94</v>
      </c>
      <c r="AV13">
        <f t="shared" si="9"/>
        <v>1</v>
      </c>
      <c r="AW13">
        <f t="shared" si="10"/>
        <v>0</v>
      </c>
      <c r="AX13">
        <f t="shared" si="11"/>
        <v>0</v>
      </c>
      <c r="AY13">
        <v>15</v>
      </c>
      <c r="AZ13" t="s">
        <v>60</v>
      </c>
      <c r="BA13" t="s">
        <v>61</v>
      </c>
      <c r="BB13" t="s">
        <v>7</v>
      </c>
    </row>
    <row r="14" ht="68" spans="1:54">
      <c r="A14" t="s">
        <v>95</v>
      </c>
      <c r="B14" t="s">
        <v>55</v>
      </c>
      <c r="C14" t="s">
        <v>56</v>
      </c>
      <c r="D14">
        <v>5100</v>
      </c>
      <c r="E14">
        <v>117</v>
      </c>
      <c r="F14">
        <v>102.1</v>
      </c>
      <c r="G14" t="s">
        <v>57</v>
      </c>
      <c r="H14" s="3" t="s">
        <v>96</v>
      </c>
      <c r="I14" s="3" t="s">
        <v>96</v>
      </c>
      <c r="J14">
        <f t="shared" si="12"/>
        <v>1</v>
      </c>
      <c r="K14">
        <f t="shared" si="0"/>
        <v>0</v>
      </c>
      <c r="L14">
        <f t="shared" si="1"/>
        <v>0</v>
      </c>
      <c r="M14">
        <f t="shared" si="2"/>
        <v>0</v>
      </c>
      <c r="N14">
        <f t="shared" si="3"/>
        <v>0</v>
      </c>
      <c r="O14">
        <f t="shared" si="4"/>
        <v>0</v>
      </c>
      <c r="P14">
        <f t="shared" si="5"/>
        <v>0</v>
      </c>
      <c r="Q14">
        <f t="shared" si="6"/>
        <v>0</v>
      </c>
      <c r="R14">
        <v>0</v>
      </c>
      <c r="S14">
        <v>1</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f t="shared" si="7"/>
        <v>1</v>
      </c>
      <c r="AT14">
        <f t="shared" si="8"/>
        <v>1</v>
      </c>
      <c r="AU14" s="3" t="s">
        <v>97</v>
      </c>
      <c r="AV14">
        <f t="shared" si="9"/>
        <v>1</v>
      </c>
      <c r="AW14">
        <f t="shared" si="10"/>
        <v>0</v>
      </c>
      <c r="AX14">
        <f t="shared" si="11"/>
        <v>0</v>
      </c>
      <c r="AY14">
        <v>2</v>
      </c>
      <c r="AZ14" t="s">
        <v>60</v>
      </c>
      <c r="BA14" t="s">
        <v>61</v>
      </c>
      <c r="BB14" t="s">
        <v>7</v>
      </c>
    </row>
    <row r="15" ht="353" spans="1:54">
      <c r="A15" t="s">
        <v>98</v>
      </c>
      <c r="B15" t="s">
        <v>55</v>
      </c>
      <c r="C15" t="s">
        <v>56</v>
      </c>
      <c r="D15">
        <v>5067</v>
      </c>
      <c r="E15">
        <v>216</v>
      </c>
      <c r="F15">
        <v>71.6</v>
      </c>
      <c r="G15" t="s">
        <v>57</v>
      </c>
      <c r="H15" s="3" t="s">
        <v>99</v>
      </c>
      <c r="I15" s="3" t="s">
        <v>99</v>
      </c>
      <c r="J15">
        <f t="shared" si="12"/>
        <v>0</v>
      </c>
      <c r="K15">
        <f t="shared" si="0"/>
        <v>1</v>
      </c>
      <c r="L15">
        <f t="shared" si="1"/>
        <v>1</v>
      </c>
      <c r="M15">
        <f t="shared" si="2"/>
        <v>0</v>
      </c>
      <c r="N15">
        <f t="shared" si="3"/>
        <v>1</v>
      </c>
      <c r="O15">
        <f t="shared" si="4"/>
        <v>1</v>
      </c>
      <c r="P15">
        <f t="shared" si="5"/>
        <v>0</v>
      </c>
      <c r="Q15">
        <f t="shared" si="6"/>
        <v>1</v>
      </c>
      <c r="R15">
        <v>0</v>
      </c>
      <c r="S15">
        <v>0</v>
      </c>
      <c r="T15">
        <v>0</v>
      </c>
      <c r="U15">
        <v>0</v>
      </c>
      <c r="V15">
        <v>0</v>
      </c>
      <c r="W15">
        <v>1</v>
      </c>
      <c r="X15">
        <v>0</v>
      </c>
      <c r="Y15">
        <v>0</v>
      </c>
      <c r="Z15">
        <v>0</v>
      </c>
      <c r="AA15">
        <v>0</v>
      </c>
      <c r="AB15">
        <v>0</v>
      </c>
      <c r="AC15">
        <v>1</v>
      </c>
      <c r="AD15">
        <v>0</v>
      </c>
      <c r="AE15">
        <v>0</v>
      </c>
      <c r="AF15">
        <v>0</v>
      </c>
      <c r="AG15">
        <v>0</v>
      </c>
      <c r="AH15">
        <v>1</v>
      </c>
      <c r="AI15">
        <v>1</v>
      </c>
      <c r="AJ15">
        <v>1</v>
      </c>
      <c r="AK15">
        <v>0</v>
      </c>
      <c r="AL15">
        <v>0</v>
      </c>
      <c r="AM15">
        <v>0</v>
      </c>
      <c r="AN15">
        <v>0</v>
      </c>
      <c r="AO15">
        <v>0</v>
      </c>
      <c r="AP15">
        <v>0</v>
      </c>
      <c r="AQ15">
        <v>0</v>
      </c>
      <c r="AR15">
        <v>1</v>
      </c>
      <c r="AS15">
        <f t="shared" si="7"/>
        <v>5</v>
      </c>
      <c r="AT15">
        <f t="shared" si="8"/>
        <v>6</v>
      </c>
      <c r="AU15" s="3" t="s">
        <v>100</v>
      </c>
      <c r="AV15">
        <f t="shared" si="9"/>
        <v>1</v>
      </c>
      <c r="AW15">
        <f t="shared" si="10"/>
        <v>0</v>
      </c>
      <c r="AX15">
        <f t="shared" si="11"/>
        <v>0</v>
      </c>
      <c r="AY15">
        <v>14</v>
      </c>
      <c r="AZ15" t="s">
        <v>60</v>
      </c>
      <c r="BA15" t="s">
        <v>61</v>
      </c>
      <c r="BB15" t="s">
        <v>7</v>
      </c>
    </row>
    <row r="16" ht="118" spans="1:54">
      <c r="A16" t="s">
        <v>101</v>
      </c>
      <c r="B16" t="s">
        <v>55</v>
      </c>
      <c r="C16" t="s">
        <v>56</v>
      </c>
      <c r="D16">
        <v>812</v>
      </c>
      <c r="E16">
        <v>19</v>
      </c>
      <c r="F16">
        <v>18.6</v>
      </c>
      <c r="G16" t="s">
        <v>57</v>
      </c>
      <c r="H16" s="3" t="s">
        <v>102</v>
      </c>
      <c r="I16" s="3" t="s">
        <v>102</v>
      </c>
      <c r="J16">
        <f t="shared" si="12"/>
        <v>0</v>
      </c>
      <c r="K16">
        <f t="shared" si="0"/>
        <v>0</v>
      </c>
      <c r="L16">
        <f t="shared" si="1"/>
        <v>0</v>
      </c>
      <c r="M16">
        <f t="shared" si="2"/>
        <v>0</v>
      </c>
      <c r="N16">
        <f t="shared" si="3"/>
        <v>1</v>
      </c>
      <c r="O16">
        <f t="shared" si="4"/>
        <v>1</v>
      </c>
      <c r="P16">
        <f t="shared" si="5"/>
        <v>0</v>
      </c>
      <c r="Q16">
        <f t="shared" si="6"/>
        <v>0</v>
      </c>
      <c r="R16">
        <v>0</v>
      </c>
      <c r="S16">
        <v>0</v>
      </c>
      <c r="T16">
        <v>0</v>
      </c>
      <c r="U16">
        <v>0</v>
      </c>
      <c r="V16">
        <v>0</v>
      </c>
      <c r="W16">
        <v>0</v>
      </c>
      <c r="X16">
        <v>0</v>
      </c>
      <c r="Y16">
        <v>0</v>
      </c>
      <c r="Z16">
        <v>0</v>
      </c>
      <c r="AA16">
        <v>0</v>
      </c>
      <c r="AB16">
        <v>0</v>
      </c>
      <c r="AC16">
        <v>0</v>
      </c>
      <c r="AD16">
        <v>0</v>
      </c>
      <c r="AE16">
        <v>0</v>
      </c>
      <c r="AF16">
        <v>0</v>
      </c>
      <c r="AG16">
        <v>0</v>
      </c>
      <c r="AH16">
        <v>1</v>
      </c>
      <c r="AI16">
        <v>1</v>
      </c>
      <c r="AJ16">
        <v>0</v>
      </c>
      <c r="AK16">
        <v>0</v>
      </c>
      <c r="AL16">
        <v>0</v>
      </c>
      <c r="AM16">
        <v>0</v>
      </c>
      <c r="AN16">
        <v>0</v>
      </c>
      <c r="AO16">
        <v>0</v>
      </c>
      <c r="AP16">
        <v>0</v>
      </c>
      <c r="AQ16">
        <v>0</v>
      </c>
      <c r="AR16">
        <v>0</v>
      </c>
      <c r="AS16">
        <f t="shared" si="7"/>
        <v>2</v>
      </c>
      <c r="AT16">
        <f t="shared" si="8"/>
        <v>2</v>
      </c>
      <c r="AU16" s="3" t="s">
        <v>103</v>
      </c>
      <c r="AV16">
        <f t="shared" si="9"/>
        <v>1</v>
      </c>
      <c r="AW16">
        <f t="shared" si="10"/>
        <v>0</v>
      </c>
      <c r="AX16">
        <f t="shared" si="11"/>
        <v>0</v>
      </c>
      <c r="AY16">
        <v>8.5</v>
      </c>
      <c r="AZ16" t="s">
        <v>60</v>
      </c>
      <c r="BA16" t="s">
        <v>61</v>
      </c>
      <c r="BB16" t="s">
        <v>7</v>
      </c>
    </row>
    <row r="17" ht="409.5" spans="1:54">
      <c r="A17" t="s">
        <v>104</v>
      </c>
      <c r="B17" t="s">
        <v>55</v>
      </c>
      <c r="C17" t="s">
        <v>56</v>
      </c>
      <c r="D17">
        <v>0</v>
      </c>
      <c r="E17">
        <v>0</v>
      </c>
      <c r="F17" t="s">
        <v>105</v>
      </c>
      <c r="G17" t="s">
        <v>106</v>
      </c>
      <c r="H17" s="3" t="s">
        <v>107</v>
      </c>
      <c r="I17" s="3" t="s">
        <v>107</v>
      </c>
      <c r="J17">
        <f t="shared" si="12"/>
        <v>1</v>
      </c>
      <c r="K17">
        <f t="shared" si="0"/>
        <v>1</v>
      </c>
      <c r="L17">
        <f t="shared" si="1"/>
        <v>1</v>
      </c>
      <c r="M17">
        <f t="shared" si="2"/>
        <v>0</v>
      </c>
      <c r="N17">
        <f t="shared" si="3"/>
        <v>1</v>
      </c>
      <c r="O17">
        <f t="shared" si="4"/>
        <v>1</v>
      </c>
      <c r="P17">
        <f t="shared" si="5"/>
        <v>1</v>
      </c>
      <c r="Q17">
        <f t="shared" si="6"/>
        <v>1</v>
      </c>
      <c r="R17">
        <v>1</v>
      </c>
      <c r="S17">
        <v>1</v>
      </c>
      <c r="T17">
        <v>1</v>
      </c>
      <c r="U17">
        <v>1</v>
      </c>
      <c r="V17">
        <v>1</v>
      </c>
      <c r="W17">
        <v>1</v>
      </c>
      <c r="X17">
        <v>1</v>
      </c>
      <c r="Y17">
        <v>0</v>
      </c>
      <c r="Z17">
        <v>1</v>
      </c>
      <c r="AA17">
        <v>1</v>
      </c>
      <c r="AB17">
        <v>1</v>
      </c>
      <c r="AC17">
        <v>1</v>
      </c>
      <c r="AD17">
        <v>0</v>
      </c>
      <c r="AE17">
        <v>0</v>
      </c>
      <c r="AF17">
        <v>0</v>
      </c>
      <c r="AG17">
        <v>1</v>
      </c>
      <c r="AH17">
        <v>1</v>
      </c>
      <c r="AI17">
        <v>0</v>
      </c>
      <c r="AJ17">
        <v>0</v>
      </c>
      <c r="AK17">
        <v>1</v>
      </c>
      <c r="AL17">
        <v>1</v>
      </c>
      <c r="AM17">
        <v>0</v>
      </c>
      <c r="AN17">
        <v>0</v>
      </c>
      <c r="AO17">
        <v>0</v>
      </c>
      <c r="AP17">
        <v>1</v>
      </c>
      <c r="AQ17">
        <v>0</v>
      </c>
      <c r="AR17">
        <v>1</v>
      </c>
      <c r="AS17">
        <f t="shared" si="7"/>
        <v>7</v>
      </c>
      <c r="AT17">
        <f t="shared" si="8"/>
        <v>17</v>
      </c>
      <c r="AU17" s="3" t="s">
        <v>108</v>
      </c>
      <c r="AV17">
        <f t="shared" si="9"/>
        <v>1</v>
      </c>
      <c r="AW17">
        <f t="shared" si="10"/>
        <v>0</v>
      </c>
      <c r="AX17">
        <f t="shared" si="11"/>
        <v>1</v>
      </c>
      <c r="AY17">
        <v>4.5</v>
      </c>
      <c r="AZ17" t="s">
        <v>60</v>
      </c>
      <c r="BA17" t="s">
        <v>61</v>
      </c>
      <c r="BB17" t="s">
        <v>7</v>
      </c>
    </row>
    <row r="18" ht="409.5" spans="1:54">
      <c r="A18" t="s">
        <v>109</v>
      </c>
      <c r="B18" t="s">
        <v>55</v>
      </c>
      <c r="C18" t="s">
        <v>56</v>
      </c>
      <c r="D18">
        <v>303</v>
      </c>
      <c r="E18">
        <v>6</v>
      </c>
      <c r="F18">
        <v>36.3</v>
      </c>
      <c r="G18" t="s">
        <v>57</v>
      </c>
      <c r="H18" s="3" t="s">
        <v>110</v>
      </c>
      <c r="I18" s="3" t="s">
        <v>110</v>
      </c>
      <c r="J18">
        <f t="shared" si="12"/>
        <v>1</v>
      </c>
      <c r="K18">
        <f t="shared" si="0"/>
        <v>1</v>
      </c>
      <c r="L18">
        <f t="shared" si="1"/>
        <v>1</v>
      </c>
      <c r="M18">
        <f t="shared" si="2"/>
        <v>0</v>
      </c>
      <c r="N18">
        <f t="shared" si="3"/>
        <v>1</v>
      </c>
      <c r="O18">
        <f t="shared" si="4"/>
        <v>1</v>
      </c>
      <c r="P18">
        <f t="shared" si="5"/>
        <v>0</v>
      </c>
      <c r="Q18">
        <f t="shared" si="6"/>
        <v>1</v>
      </c>
      <c r="R18">
        <v>1</v>
      </c>
      <c r="S18">
        <v>0</v>
      </c>
      <c r="T18">
        <v>1</v>
      </c>
      <c r="U18">
        <v>0</v>
      </c>
      <c r="V18">
        <v>0</v>
      </c>
      <c r="W18">
        <v>0</v>
      </c>
      <c r="X18">
        <v>0</v>
      </c>
      <c r="Y18">
        <v>1</v>
      </c>
      <c r="Z18">
        <v>1</v>
      </c>
      <c r="AA18">
        <v>0</v>
      </c>
      <c r="AB18">
        <v>1</v>
      </c>
      <c r="AC18">
        <v>1</v>
      </c>
      <c r="AD18">
        <v>0</v>
      </c>
      <c r="AE18">
        <v>0</v>
      </c>
      <c r="AF18">
        <v>0</v>
      </c>
      <c r="AG18">
        <v>1</v>
      </c>
      <c r="AH18">
        <v>1</v>
      </c>
      <c r="AI18">
        <v>0</v>
      </c>
      <c r="AJ18">
        <v>1</v>
      </c>
      <c r="AK18">
        <v>0</v>
      </c>
      <c r="AL18">
        <v>0</v>
      </c>
      <c r="AM18">
        <v>0</v>
      </c>
      <c r="AN18">
        <v>0</v>
      </c>
      <c r="AO18">
        <v>0</v>
      </c>
      <c r="AP18">
        <v>0</v>
      </c>
      <c r="AQ18">
        <v>0</v>
      </c>
      <c r="AR18">
        <v>1</v>
      </c>
      <c r="AS18">
        <f t="shared" si="7"/>
        <v>6</v>
      </c>
      <c r="AT18">
        <f t="shared" si="8"/>
        <v>10</v>
      </c>
      <c r="AU18" s="3" t="s">
        <v>111</v>
      </c>
      <c r="AV18">
        <f t="shared" si="9"/>
        <v>1</v>
      </c>
      <c r="AW18">
        <f t="shared" si="10"/>
        <v>0</v>
      </c>
      <c r="AX18">
        <f t="shared" si="11"/>
        <v>1</v>
      </c>
      <c r="AY18">
        <v>15.5</v>
      </c>
      <c r="AZ18" t="s">
        <v>60</v>
      </c>
      <c r="BA18" t="s">
        <v>61</v>
      </c>
      <c r="BB18" t="s">
        <v>7</v>
      </c>
    </row>
    <row r="19" ht="252" spans="1:54">
      <c r="A19" t="s">
        <v>112</v>
      </c>
      <c r="B19" t="s">
        <v>55</v>
      </c>
      <c r="C19" t="s">
        <v>56</v>
      </c>
      <c r="D19">
        <v>286</v>
      </c>
      <c r="E19">
        <v>2</v>
      </c>
      <c r="F19">
        <v>17.4</v>
      </c>
      <c r="G19" t="s">
        <v>57</v>
      </c>
      <c r="H19" s="3" t="s">
        <v>113</v>
      </c>
      <c r="I19" s="3" t="s">
        <v>113</v>
      </c>
      <c r="J19">
        <f t="shared" si="12"/>
        <v>1</v>
      </c>
      <c r="K19">
        <f t="shared" si="0"/>
        <v>1</v>
      </c>
      <c r="L19">
        <f t="shared" si="1"/>
        <v>1</v>
      </c>
      <c r="M19">
        <f t="shared" si="2"/>
        <v>0</v>
      </c>
      <c r="N19">
        <f t="shared" si="3"/>
        <v>0</v>
      </c>
      <c r="O19">
        <f t="shared" si="4"/>
        <v>0</v>
      </c>
      <c r="P19">
        <f t="shared" si="5"/>
        <v>0</v>
      </c>
      <c r="Q19">
        <f t="shared" si="6"/>
        <v>1</v>
      </c>
      <c r="R19">
        <v>1</v>
      </c>
      <c r="S19">
        <v>0</v>
      </c>
      <c r="T19">
        <v>0</v>
      </c>
      <c r="U19">
        <v>0</v>
      </c>
      <c r="V19">
        <v>1</v>
      </c>
      <c r="W19">
        <v>1</v>
      </c>
      <c r="X19">
        <v>1</v>
      </c>
      <c r="Y19">
        <v>0</v>
      </c>
      <c r="Z19">
        <v>1</v>
      </c>
      <c r="AA19">
        <v>1</v>
      </c>
      <c r="AB19">
        <v>0</v>
      </c>
      <c r="AC19">
        <v>0</v>
      </c>
      <c r="AD19">
        <v>0</v>
      </c>
      <c r="AE19">
        <v>0</v>
      </c>
      <c r="AF19">
        <v>0</v>
      </c>
      <c r="AG19">
        <v>0</v>
      </c>
      <c r="AH19">
        <v>0</v>
      </c>
      <c r="AI19">
        <v>0</v>
      </c>
      <c r="AJ19">
        <v>0</v>
      </c>
      <c r="AK19">
        <v>0</v>
      </c>
      <c r="AL19">
        <v>0</v>
      </c>
      <c r="AM19">
        <v>0</v>
      </c>
      <c r="AN19">
        <v>0</v>
      </c>
      <c r="AO19">
        <v>0</v>
      </c>
      <c r="AP19">
        <v>0</v>
      </c>
      <c r="AQ19">
        <v>0</v>
      </c>
      <c r="AR19">
        <v>1</v>
      </c>
      <c r="AS19">
        <f t="shared" si="7"/>
        <v>4</v>
      </c>
      <c r="AT19">
        <f t="shared" si="8"/>
        <v>7</v>
      </c>
      <c r="AU19" s="3" t="s">
        <v>114</v>
      </c>
      <c r="AV19">
        <f t="shared" si="9"/>
        <v>1</v>
      </c>
      <c r="AW19">
        <f t="shared" si="10"/>
        <v>0</v>
      </c>
      <c r="AX19">
        <f t="shared" si="11"/>
        <v>0</v>
      </c>
      <c r="AY19">
        <v>14</v>
      </c>
      <c r="AZ19" t="s">
        <v>60</v>
      </c>
      <c r="BA19" t="s">
        <v>61</v>
      </c>
      <c r="BB19" t="s">
        <v>7</v>
      </c>
    </row>
    <row r="20" ht="17" spans="1:54">
      <c r="A20" t="s">
        <v>115</v>
      </c>
      <c r="B20" t="s">
        <v>55</v>
      </c>
      <c r="C20" t="s">
        <v>116</v>
      </c>
      <c r="D20">
        <v>259</v>
      </c>
      <c r="E20">
        <v>19</v>
      </c>
      <c r="F20">
        <v>46.7</v>
      </c>
      <c r="G20" t="s">
        <v>57</v>
      </c>
      <c r="H20" s="3" t="s">
        <v>117</v>
      </c>
      <c r="I20" s="3" t="s">
        <v>117</v>
      </c>
      <c r="J20">
        <f t="shared" si="12"/>
        <v>0</v>
      </c>
      <c r="K20">
        <f t="shared" si="0"/>
        <v>0</v>
      </c>
      <c r="L20">
        <f t="shared" si="1"/>
        <v>0</v>
      </c>
      <c r="M20">
        <f t="shared" si="2"/>
        <v>0</v>
      </c>
      <c r="N20">
        <f t="shared" si="3"/>
        <v>0</v>
      </c>
      <c r="O20">
        <f t="shared" si="4"/>
        <v>0</v>
      </c>
      <c r="P20">
        <f t="shared" si="5"/>
        <v>0</v>
      </c>
      <c r="Q20">
        <f t="shared" si="6"/>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f t="shared" si="7"/>
        <v>0</v>
      </c>
      <c r="AT20">
        <f t="shared" si="8"/>
        <v>0</v>
      </c>
      <c r="AU20" s="3" t="s">
        <v>118</v>
      </c>
      <c r="AV20">
        <f t="shared" si="9"/>
        <v>0</v>
      </c>
      <c r="AW20">
        <f t="shared" si="10"/>
        <v>1</v>
      </c>
      <c r="AX20">
        <f t="shared" si="11"/>
        <v>0</v>
      </c>
      <c r="AY20">
        <v>3</v>
      </c>
      <c r="AZ20" t="s">
        <v>60</v>
      </c>
      <c r="BA20" t="s">
        <v>61</v>
      </c>
      <c r="BB20" t="s">
        <v>7</v>
      </c>
    </row>
    <row r="21" ht="17" spans="1:54">
      <c r="A21" t="s">
        <v>119</v>
      </c>
      <c r="B21" t="s">
        <v>55</v>
      </c>
      <c r="C21" t="s">
        <v>116</v>
      </c>
      <c r="D21">
        <v>245</v>
      </c>
      <c r="E21">
        <v>70</v>
      </c>
      <c r="F21">
        <v>3.3</v>
      </c>
      <c r="G21" t="s">
        <v>57</v>
      </c>
      <c r="H21" s="3" t="s">
        <v>120</v>
      </c>
      <c r="I21" s="3" t="s">
        <v>120</v>
      </c>
      <c r="J21">
        <f t="shared" si="12"/>
        <v>0</v>
      </c>
      <c r="K21">
        <f t="shared" si="0"/>
        <v>0</v>
      </c>
      <c r="L21">
        <f t="shared" si="1"/>
        <v>0</v>
      </c>
      <c r="M21">
        <f t="shared" si="2"/>
        <v>0</v>
      </c>
      <c r="N21">
        <f t="shared" si="3"/>
        <v>0</v>
      </c>
      <c r="O21">
        <f t="shared" si="4"/>
        <v>0</v>
      </c>
      <c r="P21">
        <f t="shared" si="5"/>
        <v>0</v>
      </c>
      <c r="Q21">
        <f t="shared" si="6"/>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f t="shared" si="7"/>
        <v>0</v>
      </c>
      <c r="AT21">
        <f t="shared" si="8"/>
        <v>0</v>
      </c>
      <c r="AU21" s="3" t="s">
        <v>118</v>
      </c>
      <c r="AV21">
        <f t="shared" si="9"/>
        <v>0</v>
      </c>
      <c r="AW21">
        <f t="shared" si="10"/>
        <v>1</v>
      </c>
      <c r="AX21">
        <f t="shared" si="11"/>
        <v>0</v>
      </c>
      <c r="AY21">
        <v>1</v>
      </c>
      <c r="AZ21" t="s">
        <v>60</v>
      </c>
      <c r="BA21" t="s">
        <v>61</v>
      </c>
      <c r="BB21" t="s">
        <v>7</v>
      </c>
    </row>
    <row r="22" ht="34" spans="1:54">
      <c r="A22" t="s">
        <v>121</v>
      </c>
      <c r="B22" t="s">
        <v>55</v>
      </c>
      <c r="C22" t="s">
        <v>56</v>
      </c>
      <c r="D22">
        <v>227</v>
      </c>
      <c r="E22">
        <v>4</v>
      </c>
      <c r="F22">
        <v>45.9</v>
      </c>
      <c r="G22" t="s">
        <v>57</v>
      </c>
      <c r="H22" s="3" t="s">
        <v>122</v>
      </c>
      <c r="I22" s="3" t="s">
        <v>122</v>
      </c>
      <c r="J22">
        <f t="shared" si="12"/>
        <v>0</v>
      </c>
      <c r="K22">
        <f t="shared" si="0"/>
        <v>1</v>
      </c>
      <c r="L22">
        <f t="shared" si="1"/>
        <v>0</v>
      </c>
      <c r="M22">
        <f t="shared" si="2"/>
        <v>0</v>
      </c>
      <c r="N22">
        <f t="shared" si="3"/>
        <v>0</v>
      </c>
      <c r="O22">
        <f t="shared" si="4"/>
        <v>0</v>
      </c>
      <c r="P22">
        <f t="shared" si="5"/>
        <v>0</v>
      </c>
      <c r="Q22">
        <f t="shared" si="6"/>
        <v>0</v>
      </c>
      <c r="R22">
        <v>0</v>
      </c>
      <c r="S22">
        <v>0</v>
      </c>
      <c r="T22">
        <v>0</v>
      </c>
      <c r="U22">
        <v>1</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f t="shared" si="7"/>
        <v>1</v>
      </c>
      <c r="AT22">
        <f t="shared" si="8"/>
        <v>1</v>
      </c>
      <c r="AU22" s="3" t="s">
        <v>123</v>
      </c>
      <c r="AV22">
        <f t="shared" si="9"/>
        <v>1</v>
      </c>
      <c r="AW22">
        <f t="shared" si="10"/>
        <v>0</v>
      </c>
      <c r="AX22">
        <f t="shared" si="11"/>
        <v>0</v>
      </c>
      <c r="AY22">
        <v>2</v>
      </c>
      <c r="AZ22" t="s">
        <v>60</v>
      </c>
      <c r="BA22" t="s">
        <v>61</v>
      </c>
      <c r="BB22" t="s">
        <v>7</v>
      </c>
    </row>
    <row r="23" ht="409.5" spans="1:54">
      <c r="A23" t="s">
        <v>124</v>
      </c>
      <c r="B23" t="s">
        <v>55</v>
      </c>
      <c r="C23" t="s">
        <v>116</v>
      </c>
      <c r="D23">
        <v>212</v>
      </c>
      <c r="E23">
        <v>15</v>
      </c>
      <c r="F23">
        <v>67.3</v>
      </c>
      <c r="G23" t="s">
        <v>57</v>
      </c>
      <c r="H23" s="3" t="s">
        <v>125</v>
      </c>
      <c r="I23" s="3" t="s">
        <v>125</v>
      </c>
      <c r="J23">
        <f t="shared" si="12"/>
        <v>1</v>
      </c>
      <c r="K23">
        <f t="shared" si="0"/>
        <v>1</v>
      </c>
      <c r="L23">
        <f t="shared" si="1"/>
        <v>1</v>
      </c>
      <c r="M23">
        <f t="shared" si="2"/>
        <v>0</v>
      </c>
      <c r="N23">
        <f t="shared" si="3"/>
        <v>1</v>
      </c>
      <c r="O23">
        <f t="shared" si="4"/>
        <v>1</v>
      </c>
      <c r="P23">
        <f t="shared" si="5"/>
        <v>1</v>
      </c>
      <c r="Q23">
        <f t="shared" si="6"/>
        <v>0</v>
      </c>
      <c r="R23">
        <v>1</v>
      </c>
      <c r="S23">
        <v>1</v>
      </c>
      <c r="T23">
        <v>1</v>
      </c>
      <c r="U23">
        <v>1</v>
      </c>
      <c r="V23">
        <v>1</v>
      </c>
      <c r="W23">
        <v>1</v>
      </c>
      <c r="X23">
        <v>1</v>
      </c>
      <c r="Y23">
        <v>1</v>
      </c>
      <c r="Z23">
        <v>1</v>
      </c>
      <c r="AA23">
        <v>1</v>
      </c>
      <c r="AB23">
        <v>1</v>
      </c>
      <c r="AC23">
        <v>1</v>
      </c>
      <c r="AD23">
        <v>0</v>
      </c>
      <c r="AE23">
        <v>0</v>
      </c>
      <c r="AF23">
        <v>0</v>
      </c>
      <c r="AG23">
        <v>0</v>
      </c>
      <c r="AH23">
        <v>1</v>
      </c>
      <c r="AI23">
        <v>1</v>
      </c>
      <c r="AJ23">
        <v>0</v>
      </c>
      <c r="AK23">
        <v>0</v>
      </c>
      <c r="AL23">
        <v>0</v>
      </c>
      <c r="AM23">
        <v>0</v>
      </c>
      <c r="AN23">
        <v>0</v>
      </c>
      <c r="AO23">
        <v>0</v>
      </c>
      <c r="AP23">
        <v>0</v>
      </c>
      <c r="AQ23">
        <v>1</v>
      </c>
      <c r="AR23">
        <v>0</v>
      </c>
      <c r="AS23">
        <f t="shared" si="7"/>
        <v>6</v>
      </c>
      <c r="AT23">
        <f t="shared" si="8"/>
        <v>15</v>
      </c>
      <c r="AU23" s="3" t="s">
        <v>126</v>
      </c>
      <c r="AV23">
        <f t="shared" si="9"/>
        <v>1</v>
      </c>
      <c r="AW23">
        <f t="shared" si="10"/>
        <v>0</v>
      </c>
      <c r="AX23">
        <f t="shared" si="11"/>
        <v>1</v>
      </c>
      <c r="AY23">
        <v>65.5</v>
      </c>
      <c r="AZ23" t="s">
        <v>60</v>
      </c>
      <c r="BA23" t="s">
        <v>61</v>
      </c>
      <c r="BB23" t="s">
        <v>7</v>
      </c>
    </row>
    <row r="24" ht="34" spans="1:54">
      <c r="A24" t="s">
        <v>127</v>
      </c>
      <c r="B24" t="s">
        <v>55</v>
      </c>
      <c r="C24" t="s">
        <v>56</v>
      </c>
      <c r="D24">
        <v>188</v>
      </c>
      <c r="E24">
        <v>228</v>
      </c>
      <c r="F24">
        <v>41.2</v>
      </c>
      <c r="G24" t="s">
        <v>57</v>
      </c>
      <c r="H24" s="3" t="s">
        <v>128</v>
      </c>
      <c r="I24" s="3" t="s">
        <v>128</v>
      </c>
      <c r="J24">
        <f t="shared" si="12"/>
        <v>0</v>
      </c>
      <c r="K24">
        <f t="shared" si="0"/>
        <v>0</v>
      </c>
      <c r="L24">
        <f t="shared" si="1"/>
        <v>0</v>
      </c>
      <c r="M24">
        <f t="shared" si="2"/>
        <v>0</v>
      </c>
      <c r="N24">
        <f t="shared" si="3"/>
        <v>1</v>
      </c>
      <c r="O24">
        <f t="shared" si="4"/>
        <v>0</v>
      </c>
      <c r="P24">
        <f t="shared" si="5"/>
        <v>0</v>
      </c>
      <c r="Q24">
        <f t="shared" si="6"/>
        <v>0</v>
      </c>
      <c r="R24">
        <v>0</v>
      </c>
      <c r="S24">
        <v>0</v>
      </c>
      <c r="T24">
        <v>0</v>
      </c>
      <c r="U24">
        <v>0</v>
      </c>
      <c r="V24">
        <v>0</v>
      </c>
      <c r="W24">
        <v>0</v>
      </c>
      <c r="X24">
        <v>0</v>
      </c>
      <c r="Y24">
        <v>0</v>
      </c>
      <c r="Z24">
        <v>0</v>
      </c>
      <c r="AA24">
        <v>0</v>
      </c>
      <c r="AB24">
        <v>0</v>
      </c>
      <c r="AC24">
        <v>0</v>
      </c>
      <c r="AD24">
        <v>0</v>
      </c>
      <c r="AE24">
        <v>0</v>
      </c>
      <c r="AF24">
        <v>0</v>
      </c>
      <c r="AG24">
        <v>0</v>
      </c>
      <c r="AH24">
        <v>1</v>
      </c>
      <c r="AI24">
        <v>0</v>
      </c>
      <c r="AJ24">
        <v>0</v>
      </c>
      <c r="AK24">
        <v>0</v>
      </c>
      <c r="AL24">
        <v>0</v>
      </c>
      <c r="AM24">
        <v>0</v>
      </c>
      <c r="AN24">
        <v>0</v>
      </c>
      <c r="AO24">
        <v>0</v>
      </c>
      <c r="AP24">
        <v>0</v>
      </c>
      <c r="AQ24">
        <v>0</v>
      </c>
      <c r="AR24">
        <v>0</v>
      </c>
      <c r="AS24">
        <f t="shared" si="7"/>
        <v>1</v>
      </c>
      <c r="AT24">
        <f t="shared" si="8"/>
        <v>1</v>
      </c>
      <c r="AU24" s="3" t="s">
        <v>129</v>
      </c>
      <c r="AV24">
        <f t="shared" si="9"/>
        <v>1</v>
      </c>
      <c r="AW24">
        <f t="shared" si="10"/>
        <v>0</v>
      </c>
      <c r="AX24">
        <f t="shared" si="11"/>
        <v>0</v>
      </c>
      <c r="AY24">
        <v>3</v>
      </c>
      <c r="AZ24" t="s">
        <v>60</v>
      </c>
      <c r="BA24" t="s">
        <v>61</v>
      </c>
      <c r="BB24" t="s">
        <v>7</v>
      </c>
    </row>
    <row r="25" ht="409.5" spans="1:54">
      <c r="A25" t="s">
        <v>130</v>
      </c>
      <c r="B25" t="s">
        <v>55</v>
      </c>
      <c r="C25" t="s">
        <v>116</v>
      </c>
      <c r="D25">
        <v>186</v>
      </c>
      <c r="E25">
        <v>15</v>
      </c>
      <c r="F25">
        <v>6.5</v>
      </c>
      <c r="G25" t="s">
        <v>57</v>
      </c>
      <c r="H25" s="3" t="s">
        <v>131</v>
      </c>
      <c r="I25" s="3" t="s">
        <v>131</v>
      </c>
      <c r="J25">
        <f t="shared" si="12"/>
        <v>1</v>
      </c>
      <c r="K25">
        <f t="shared" si="0"/>
        <v>1</v>
      </c>
      <c r="L25">
        <f t="shared" si="1"/>
        <v>1</v>
      </c>
      <c r="M25">
        <f t="shared" si="2"/>
        <v>1</v>
      </c>
      <c r="N25">
        <f t="shared" si="3"/>
        <v>1</v>
      </c>
      <c r="O25">
        <f t="shared" si="4"/>
        <v>1</v>
      </c>
      <c r="P25">
        <f t="shared" si="5"/>
        <v>1</v>
      </c>
      <c r="Q25">
        <f t="shared" si="6"/>
        <v>0</v>
      </c>
      <c r="R25">
        <v>1</v>
      </c>
      <c r="S25">
        <v>0</v>
      </c>
      <c r="T25">
        <v>1</v>
      </c>
      <c r="U25">
        <v>1</v>
      </c>
      <c r="V25">
        <v>1</v>
      </c>
      <c r="W25">
        <v>1</v>
      </c>
      <c r="X25">
        <v>1</v>
      </c>
      <c r="Y25">
        <v>1</v>
      </c>
      <c r="Z25">
        <v>1</v>
      </c>
      <c r="AA25">
        <v>1</v>
      </c>
      <c r="AB25">
        <v>1</v>
      </c>
      <c r="AC25">
        <v>1</v>
      </c>
      <c r="AD25">
        <v>1</v>
      </c>
      <c r="AE25">
        <v>0</v>
      </c>
      <c r="AF25">
        <v>0</v>
      </c>
      <c r="AG25">
        <v>1</v>
      </c>
      <c r="AH25">
        <v>1</v>
      </c>
      <c r="AI25">
        <v>1</v>
      </c>
      <c r="AJ25">
        <v>0</v>
      </c>
      <c r="AK25">
        <v>1</v>
      </c>
      <c r="AL25">
        <v>0</v>
      </c>
      <c r="AM25">
        <v>0</v>
      </c>
      <c r="AN25">
        <v>0</v>
      </c>
      <c r="AO25">
        <v>0</v>
      </c>
      <c r="AP25">
        <v>1</v>
      </c>
      <c r="AQ25">
        <v>0</v>
      </c>
      <c r="AR25">
        <v>0</v>
      </c>
      <c r="AS25">
        <f t="shared" si="7"/>
        <v>7</v>
      </c>
      <c r="AT25">
        <f t="shared" si="8"/>
        <v>17</v>
      </c>
      <c r="AU25" s="3" t="s">
        <v>132</v>
      </c>
      <c r="AV25">
        <f t="shared" si="9"/>
        <v>1</v>
      </c>
      <c r="AW25">
        <f t="shared" si="10"/>
        <v>0</v>
      </c>
      <c r="AX25">
        <f t="shared" si="11"/>
        <v>1</v>
      </c>
      <c r="AY25">
        <v>-3.5</v>
      </c>
      <c r="AZ25" t="s">
        <v>133</v>
      </c>
      <c r="BA25" t="s">
        <v>134</v>
      </c>
      <c r="BB25" t="s">
        <v>7</v>
      </c>
    </row>
    <row r="26" ht="336" spans="1:54">
      <c r="A26" t="s">
        <v>135</v>
      </c>
      <c r="B26" t="s">
        <v>55</v>
      </c>
      <c r="C26" t="s">
        <v>116</v>
      </c>
      <c r="D26">
        <v>144</v>
      </c>
      <c r="E26">
        <v>11</v>
      </c>
      <c r="F26">
        <v>12.2</v>
      </c>
      <c r="G26" t="s">
        <v>57</v>
      </c>
      <c r="H26" s="3" t="s">
        <v>136</v>
      </c>
      <c r="I26" s="3" t="s">
        <v>136</v>
      </c>
      <c r="J26">
        <f t="shared" si="12"/>
        <v>1</v>
      </c>
      <c r="K26">
        <f t="shared" si="0"/>
        <v>1</v>
      </c>
      <c r="L26">
        <f t="shared" si="1"/>
        <v>1</v>
      </c>
      <c r="M26">
        <f t="shared" si="2"/>
        <v>0</v>
      </c>
      <c r="N26">
        <f t="shared" si="3"/>
        <v>1</v>
      </c>
      <c r="O26">
        <f t="shared" si="4"/>
        <v>1</v>
      </c>
      <c r="P26">
        <f t="shared" si="5"/>
        <v>0</v>
      </c>
      <c r="Q26">
        <f t="shared" si="6"/>
        <v>0</v>
      </c>
      <c r="R26">
        <v>1</v>
      </c>
      <c r="S26">
        <v>0</v>
      </c>
      <c r="T26">
        <v>0</v>
      </c>
      <c r="U26">
        <v>0</v>
      </c>
      <c r="V26">
        <v>1</v>
      </c>
      <c r="W26">
        <v>1</v>
      </c>
      <c r="X26">
        <v>1</v>
      </c>
      <c r="Y26">
        <v>1</v>
      </c>
      <c r="Z26">
        <v>1</v>
      </c>
      <c r="AA26">
        <v>1</v>
      </c>
      <c r="AB26">
        <v>0</v>
      </c>
      <c r="AC26">
        <v>1</v>
      </c>
      <c r="AD26">
        <v>0</v>
      </c>
      <c r="AE26">
        <v>0</v>
      </c>
      <c r="AF26">
        <v>0</v>
      </c>
      <c r="AG26">
        <v>0</v>
      </c>
      <c r="AH26">
        <v>1</v>
      </c>
      <c r="AI26">
        <v>1</v>
      </c>
      <c r="AJ26">
        <v>0</v>
      </c>
      <c r="AK26">
        <v>0</v>
      </c>
      <c r="AL26">
        <v>0</v>
      </c>
      <c r="AM26">
        <v>0</v>
      </c>
      <c r="AN26">
        <v>0</v>
      </c>
      <c r="AO26">
        <v>0</v>
      </c>
      <c r="AP26">
        <v>0</v>
      </c>
      <c r="AQ26">
        <v>0</v>
      </c>
      <c r="AR26">
        <v>0</v>
      </c>
      <c r="AS26">
        <f t="shared" si="7"/>
        <v>5</v>
      </c>
      <c r="AT26">
        <f t="shared" si="8"/>
        <v>10</v>
      </c>
      <c r="AU26" s="3" t="s">
        <v>137</v>
      </c>
      <c r="AV26">
        <f t="shared" si="9"/>
        <v>1</v>
      </c>
      <c r="AW26">
        <f t="shared" si="10"/>
        <v>0</v>
      </c>
      <c r="AX26">
        <f t="shared" si="11"/>
        <v>1</v>
      </c>
      <c r="AY26">
        <v>-1</v>
      </c>
      <c r="AZ26" t="s">
        <v>133</v>
      </c>
      <c r="BA26" t="s">
        <v>134</v>
      </c>
      <c r="BB26" t="s">
        <v>7</v>
      </c>
    </row>
    <row r="27" ht="303" spans="1:54">
      <c r="A27" t="s">
        <v>138</v>
      </c>
      <c r="B27" t="s">
        <v>55</v>
      </c>
      <c r="C27" t="s">
        <v>56</v>
      </c>
      <c r="D27">
        <v>122</v>
      </c>
      <c r="E27">
        <v>1</v>
      </c>
      <c r="F27">
        <v>218.1</v>
      </c>
      <c r="G27" t="s">
        <v>57</v>
      </c>
      <c r="H27" s="3" t="s">
        <v>139</v>
      </c>
      <c r="I27" s="3" t="s">
        <v>139</v>
      </c>
      <c r="J27">
        <f t="shared" si="12"/>
        <v>1</v>
      </c>
      <c r="K27">
        <f t="shared" si="0"/>
        <v>1</v>
      </c>
      <c r="L27">
        <f t="shared" si="1"/>
        <v>1</v>
      </c>
      <c r="M27">
        <f t="shared" si="2"/>
        <v>1</v>
      </c>
      <c r="N27">
        <f t="shared" si="3"/>
        <v>1</v>
      </c>
      <c r="O27">
        <f t="shared" si="4"/>
        <v>1</v>
      </c>
      <c r="P27">
        <f t="shared" si="5"/>
        <v>0</v>
      </c>
      <c r="Q27">
        <f t="shared" si="6"/>
        <v>1</v>
      </c>
      <c r="R27">
        <v>1</v>
      </c>
      <c r="S27">
        <v>1</v>
      </c>
      <c r="T27">
        <v>0</v>
      </c>
      <c r="U27">
        <v>1</v>
      </c>
      <c r="V27">
        <v>1</v>
      </c>
      <c r="W27">
        <v>1</v>
      </c>
      <c r="X27">
        <v>0</v>
      </c>
      <c r="Y27">
        <v>0</v>
      </c>
      <c r="Z27">
        <v>1</v>
      </c>
      <c r="AA27">
        <v>1</v>
      </c>
      <c r="AB27">
        <v>0</v>
      </c>
      <c r="AC27">
        <v>1</v>
      </c>
      <c r="AD27">
        <v>1</v>
      </c>
      <c r="AE27">
        <v>0</v>
      </c>
      <c r="AF27">
        <v>1</v>
      </c>
      <c r="AG27">
        <v>1</v>
      </c>
      <c r="AH27">
        <v>0</v>
      </c>
      <c r="AI27">
        <v>1</v>
      </c>
      <c r="AJ27">
        <v>0</v>
      </c>
      <c r="AK27">
        <v>0</v>
      </c>
      <c r="AL27">
        <v>1</v>
      </c>
      <c r="AM27">
        <v>0</v>
      </c>
      <c r="AN27">
        <v>0</v>
      </c>
      <c r="AO27">
        <v>0</v>
      </c>
      <c r="AP27">
        <v>0</v>
      </c>
      <c r="AQ27">
        <v>0</v>
      </c>
      <c r="AR27">
        <v>1</v>
      </c>
      <c r="AS27">
        <f t="shared" si="7"/>
        <v>7</v>
      </c>
      <c r="AT27">
        <f t="shared" si="8"/>
        <v>14</v>
      </c>
      <c r="AU27" s="3" t="s">
        <v>140</v>
      </c>
      <c r="AV27">
        <f t="shared" si="9"/>
        <v>1</v>
      </c>
      <c r="AW27">
        <f t="shared" si="10"/>
        <v>0</v>
      </c>
      <c r="AX27">
        <f t="shared" si="11"/>
        <v>1</v>
      </c>
      <c r="AY27">
        <v>22</v>
      </c>
      <c r="AZ27" t="s">
        <v>60</v>
      </c>
      <c r="BA27" t="s">
        <v>61</v>
      </c>
      <c r="BB27" t="s">
        <v>7</v>
      </c>
    </row>
    <row r="28" ht="409.5" spans="1:54">
      <c r="A28" t="s">
        <v>141</v>
      </c>
      <c r="B28" t="s">
        <v>55</v>
      </c>
      <c r="C28" t="s">
        <v>56</v>
      </c>
      <c r="D28">
        <v>113</v>
      </c>
      <c r="E28">
        <v>0</v>
      </c>
      <c r="F28">
        <v>42.3</v>
      </c>
      <c r="G28" t="s">
        <v>57</v>
      </c>
      <c r="H28" s="3" t="s">
        <v>142</v>
      </c>
      <c r="I28" s="3" t="s">
        <v>142</v>
      </c>
      <c r="J28">
        <f t="shared" si="12"/>
        <v>1</v>
      </c>
      <c r="K28">
        <f t="shared" si="0"/>
        <v>1</v>
      </c>
      <c r="L28">
        <f t="shared" si="1"/>
        <v>1</v>
      </c>
      <c r="M28">
        <f t="shared" si="2"/>
        <v>1</v>
      </c>
      <c r="N28">
        <f t="shared" si="3"/>
        <v>1</v>
      </c>
      <c r="O28">
        <f t="shared" si="4"/>
        <v>1</v>
      </c>
      <c r="P28">
        <f t="shared" si="5"/>
        <v>1</v>
      </c>
      <c r="Q28">
        <f t="shared" si="6"/>
        <v>1</v>
      </c>
      <c r="R28">
        <v>1</v>
      </c>
      <c r="S28">
        <v>1</v>
      </c>
      <c r="T28">
        <v>0</v>
      </c>
      <c r="U28">
        <v>1</v>
      </c>
      <c r="V28">
        <v>1</v>
      </c>
      <c r="W28">
        <v>1</v>
      </c>
      <c r="X28">
        <v>1</v>
      </c>
      <c r="Y28">
        <v>0</v>
      </c>
      <c r="Z28">
        <v>0</v>
      </c>
      <c r="AA28">
        <v>0</v>
      </c>
      <c r="AB28">
        <v>1</v>
      </c>
      <c r="AC28">
        <v>0</v>
      </c>
      <c r="AD28">
        <v>1</v>
      </c>
      <c r="AE28">
        <v>0</v>
      </c>
      <c r="AF28">
        <v>1</v>
      </c>
      <c r="AG28">
        <v>1</v>
      </c>
      <c r="AH28">
        <v>0</v>
      </c>
      <c r="AI28">
        <v>1</v>
      </c>
      <c r="AJ28">
        <v>0</v>
      </c>
      <c r="AK28">
        <v>0</v>
      </c>
      <c r="AL28">
        <v>1</v>
      </c>
      <c r="AM28">
        <v>0</v>
      </c>
      <c r="AN28">
        <v>0</v>
      </c>
      <c r="AO28">
        <v>0</v>
      </c>
      <c r="AP28">
        <v>1</v>
      </c>
      <c r="AQ28">
        <v>1</v>
      </c>
      <c r="AR28">
        <v>1</v>
      </c>
      <c r="AS28">
        <f t="shared" si="7"/>
        <v>8</v>
      </c>
      <c r="AT28">
        <f t="shared" si="8"/>
        <v>15</v>
      </c>
      <c r="AU28" s="3" t="s">
        <v>143</v>
      </c>
      <c r="AV28">
        <f t="shared" si="9"/>
        <v>1</v>
      </c>
      <c r="AW28">
        <f t="shared" si="10"/>
        <v>0</v>
      </c>
      <c r="AX28">
        <f t="shared" si="11"/>
        <v>1</v>
      </c>
      <c r="AY28">
        <v>107.5</v>
      </c>
      <c r="AZ28" t="s">
        <v>60</v>
      </c>
      <c r="BA28" t="s">
        <v>61</v>
      </c>
      <c r="BB28" t="s">
        <v>7</v>
      </c>
    </row>
    <row r="29" ht="34" spans="1:54">
      <c r="A29" t="s">
        <v>144</v>
      </c>
      <c r="B29" t="s">
        <v>55</v>
      </c>
      <c r="C29" t="s">
        <v>56</v>
      </c>
      <c r="D29">
        <v>105</v>
      </c>
      <c r="E29">
        <v>11</v>
      </c>
      <c r="F29">
        <v>52</v>
      </c>
      <c r="G29" t="s">
        <v>57</v>
      </c>
      <c r="H29" s="3" t="s">
        <v>145</v>
      </c>
      <c r="I29" s="3" t="s">
        <v>145</v>
      </c>
      <c r="J29">
        <f t="shared" si="12"/>
        <v>0</v>
      </c>
      <c r="K29">
        <f t="shared" si="0"/>
        <v>0</v>
      </c>
      <c r="L29">
        <f t="shared" si="1"/>
        <v>1</v>
      </c>
      <c r="M29">
        <f t="shared" si="2"/>
        <v>0</v>
      </c>
      <c r="N29">
        <f t="shared" si="3"/>
        <v>0</v>
      </c>
      <c r="O29">
        <f t="shared" si="4"/>
        <v>0</v>
      </c>
      <c r="P29">
        <f t="shared" si="5"/>
        <v>0</v>
      </c>
      <c r="Q29">
        <f t="shared" si="6"/>
        <v>0</v>
      </c>
      <c r="R29">
        <v>0</v>
      </c>
      <c r="S29">
        <v>0</v>
      </c>
      <c r="T29">
        <v>0</v>
      </c>
      <c r="U29">
        <v>0</v>
      </c>
      <c r="V29">
        <v>0</v>
      </c>
      <c r="W29">
        <v>0</v>
      </c>
      <c r="X29">
        <v>0</v>
      </c>
      <c r="Y29">
        <v>0</v>
      </c>
      <c r="Z29">
        <v>1</v>
      </c>
      <c r="AA29">
        <v>0</v>
      </c>
      <c r="AB29">
        <v>0</v>
      </c>
      <c r="AC29">
        <v>0</v>
      </c>
      <c r="AD29">
        <v>0</v>
      </c>
      <c r="AE29">
        <v>0</v>
      </c>
      <c r="AF29">
        <v>0</v>
      </c>
      <c r="AG29">
        <v>0</v>
      </c>
      <c r="AH29">
        <v>0</v>
      </c>
      <c r="AI29">
        <v>0</v>
      </c>
      <c r="AJ29">
        <v>0</v>
      </c>
      <c r="AK29">
        <v>0</v>
      </c>
      <c r="AL29">
        <v>0</v>
      </c>
      <c r="AM29">
        <v>0</v>
      </c>
      <c r="AN29">
        <v>0</v>
      </c>
      <c r="AO29">
        <v>0</v>
      </c>
      <c r="AP29">
        <v>0</v>
      </c>
      <c r="AQ29">
        <v>0</v>
      </c>
      <c r="AR29">
        <v>0</v>
      </c>
      <c r="AS29">
        <f t="shared" si="7"/>
        <v>1</v>
      </c>
      <c r="AT29">
        <f t="shared" si="8"/>
        <v>1</v>
      </c>
      <c r="AU29" s="3" t="s">
        <v>146</v>
      </c>
      <c r="AV29">
        <f t="shared" si="9"/>
        <v>1</v>
      </c>
      <c r="AW29">
        <f t="shared" si="10"/>
        <v>0</v>
      </c>
      <c r="AX29">
        <f t="shared" si="11"/>
        <v>0</v>
      </c>
      <c r="AY29">
        <v>0</v>
      </c>
      <c r="AZ29" t="s">
        <v>147</v>
      </c>
      <c r="BA29" t="s">
        <v>148</v>
      </c>
      <c r="BB29" t="s">
        <v>7</v>
      </c>
    </row>
    <row r="30" ht="219" spans="1:54">
      <c r="A30" t="s">
        <v>149</v>
      </c>
      <c r="B30" t="s">
        <v>55</v>
      </c>
      <c r="C30" t="s">
        <v>56</v>
      </c>
      <c r="D30">
        <v>105</v>
      </c>
      <c r="E30">
        <v>6</v>
      </c>
      <c r="F30">
        <v>55.9</v>
      </c>
      <c r="G30" t="s">
        <v>57</v>
      </c>
      <c r="H30" s="3" t="s">
        <v>150</v>
      </c>
      <c r="I30" s="3" t="s">
        <v>150</v>
      </c>
      <c r="J30">
        <f t="shared" si="12"/>
        <v>1</v>
      </c>
      <c r="K30">
        <f t="shared" si="0"/>
        <v>1</v>
      </c>
      <c r="L30">
        <f t="shared" si="1"/>
        <v>0</v>
      </c>
      <c r="M30">
        <f t="shared" si="2"/>
        <v>0</v>
      </c>
      <c r="N30">
        <f t="shared" si="3"/>
        <v>1</v>
      </c>
      <c r="O30">
        <f t="shared" si="4"/>
        <v>1</v>
      </c>
      <c r="P30">
        <f t="shared" si="5"/>
        <v>1</v>
      </c>
      <c r="Q30">
        <f t="shared" si="6"/>
        <v>1</v>
      </c>
      <c r="R30">
        <v>0</v>
      </c>
      <c r="S30">
        <v>1</v>
      </c>
      <c r="T30">
        <v>1</v>
      </c>
      <c r="U30">
        <v>1</v>
      </c>
      <c r="V30">
        <v>0</v>
      </c>
      <c r="W30">
        <v>0</v>
      </c>
      <c r="X30">
        <v>0</v>
      </c>
      <c r="Y30">
        <v>0</v>
      </c>
      <c r="Z30">
        <v>0</v>
      </c>
      <c r="AA30">
        <v>0</v>
      </c>
      <c r="AB30">
        <v>0</v>
      </c>
      <c r="AC30">
        <v>0</v>
      </c>
      <c r="AD30">
        <v>0</v>
      </c>
      <c r="AE30">
        <v>0</v>
      </c>
      <c r="AF30">
        <v>0</v>
      </c>
      <c r="AG30">
        <v>1</v>
      </c>
      <c r="AH30">
        <v>1</v>
      </c>
      <c r="AI30">
        <v>1</v>
      </c>
      <c r="AJ30">
        <v>0</v>
      </c>
      <c r="AK30">
        <v>0</v>
      </c>
      <c r="AL30">
        <v>0</v>
      </c>
      <c r="AM30">
        <v>0</v>
      </c>
      <c r="AN30">
        <v>1</v>
      </c>
      <c r="AO30">
        <v>0</v>
      </c>
      <c r="AP30">
        <v>0</v>
      </c>
      <c r="AQ30">
        <v>0</v>
      </c>
      <c r="AR30">
        <v>1</v>
      </c>
      <c r="AS30">
        <f t="shared" si="7"/>
        <v>6</v>
      </c>
      <c r="AT30">
        <f t="shared" si="8"/>
        <v>8</v>
      </c>
      <c r="AU30" s="3" t="s">
        <v>151</v>
      </c>
      <c r="AV30">
        <f t="shared" si="9"/>
        <v>1</v>
      </c>
      <c r="AW30">
        <f t="shared" si="10"/>
        <v>0</v>
      </c>
      <c r="AX30">
        <f t="shared" si="11"/>
        <v>1</v>
      </c>
      <c r="AY30">
        <v>15.5</v>
      </c>
      <c r="AZ30" t="s">
        <v>60</v>
      </c>
      <c r="BA30" t="s">
        <v>61</v>
      </c>
      <c r="BB30" t="s">
        <v>7</v>
      </c>
    </row>
    <row r="31" ht="152" spans="1:54">
      <c r="A31" t="s">
        <v>152</v>
      </c>
      <c r="B31" t="s">
        <v>55</v>
      </c>
      <c r="C31" t="s">
        <v>56</v>
      </c>
      <c r="D31">
        <v>100</v>
      </c>
      <c r="E31">
        <v>3</v>
      </c>
      <c r="F31">
        <v>50.6</v>
      </c>
      <c r="G31" t="s">
        <v>57</v>
      </c>
      <c r="H31" s="3" t="s">
        <v>153</v>
      </c>
      <c r="I31" s="3" t="s">
        <v>153</v>
      </c>
      <c r="J31">
        <f t="shared" si="12"/>
        <v>1</v>
      </c>
      <c r="K31">
        <f t="shared" si="0"/>
        <v>1</v>
      </c>
      <c r="L31">
        <f t="shared" si="1"/>
        <v>0</v>
      </c>
      <c r="M31">
        <f t="shared" si="2"/>
        <v>1</v>
      </c>
      <c r="N31">
        <f t="shared" si="3"/>
        <v>1</v>
      </c>
      <c r="O31">
        <f t="shared" si="4"/>
        <v>0</v>
      </c>
      <c r="P31">
        <f t="shared" si="5"/>
        <v>0</v>
      </c>
      <c r="Q31">
        <f t="shared" si="6"/>
        <v>0</v>
      </c>
      <c r="R31">
        <v>1</v>
      </c>
      <c r="S31">
        <v>0</v>
      </c>
      <c r="T31">
        <v>1</v>
      </c>
      <c r="U31">
        <v>0</v>
      </c>
      <c r="V31">
        <v>1</v>
      </c>
      <c r="W31">
        <v>0</v>
      </c>
      <c r="X31">
        <v>1</v>
      </c>
      <c r="Y31">
        <v>0</v>
      </c>
      <c r="Z31">
        <v>0</v>
      </c>
      <c r="AA31">
        <v>0</v>
      </c>
      <c r="AB31">
        <v>0</v>
      </c>
      <c r="AC31">
        <v>0</v>
      </c>
      <c r="AD31">
        <v>0</v>
      </c>
      <c r="AE31">
        <v>0</v>
      </c>
      <c r="AF31">
        <v>1</v>
      </c>
      <c r="AG31">
        <v>0</v>
      </c>
      <c r="AH31">
        <v>1</v>
      </c>
      <c r="AI31">
        <v>0</v>
      </c>
      <c r="AJ31">
        <v>0</v>
      </c>
      <c r="AK31">
        <v>0</v>
      </c>
      <c r="AL31">
        <v>0</v>
      </c>
      <c r="AM31">
        <v>0</v>
      </c>
      <c r="AN31">
        <v>0</v>
      </c>
      <c r="AO31">
        <v>0</v>
      </c>
      <c r="AP31">
        <v>0</v>
      </c>
      <c r="AQ31">
        <v>0</v>
      </c>
      <c r="AR31">
        <v>0</v>
      </c>
      <c r="AS31">
        <f t="shared" si="7"/>
        <v>4</v>
      </c>
      <c r="AT31">
        <f t="shared" si="8"/>
        <v>6</v>
      </c>
      <c r="AU31" s="3" t="s">
        <v>154</v>
      </c>
      <c r="AV31">
        <f t="shared" si="9"/>
        <v>1</v>
      </c>
      <c r="AW31">
        <f t="shared" si="10"/>
        <v>0</v>
      </c>
      <c r="AX31">
        <f t="shared" si="11"/>
        <v>0</v>
      </c>
      <c r="AY31">
        <v>11</v>
      </c>
      <c r="AZ31" t="s">
        <v>60</v>
      </c>
      <c r="BA31" t="s">
        <v>61</v>
      </c>
      <c r="BB31" t="s">
        <v>7</v>
      </c>
    </row>
    <row r="32" ht="17" spans="1:54">
      <c r="A32" t="s">
        <v>155</v>
      </c>
      <c r="B32" t="s">
        <v>55</v>
      </c>
      <c r="C32" t="s">
        <v>56</v>
      </c>
      <c r="D32">
        <v>84</v>
      </c>
      <c r="E32">
        <v>5</v>
      </c>
      <c r="F32">
        <v>252.2</v>
      </c>
      <c r="G32" t="s">
        <v>57</v>
      </c>
      <c r="H32" s="3" t="s">
        <v>156</v>
      </c>
      <c r="I32" s="3" t="s">
        <v>156</v>
      </c>
      <c r="J32">
        <f t="shared" si="12"/>
        <v>0</v>
      </c>
      <c r="K32">
        <f t="shared" si="0"/>
        <v>0</v>
      </c>
      <c r="L32">
        <f t="shared" si="1"/>
        <v>0</v>
      </c>
      <c r="M32">
        <f t="shared" si="2"/>
        <v>0</v>
      </c>
      <c r="N32">
        <f t="shared" si="3"/>
        <v>0</v>
      </c>
      <c r="O32">
        <f t="shared" si="4"/>
        <v>0</v>
      </c>
      <c r="P32">
        <f t="shared" si="5"/>
        <v>0</v>
      </c>
      <c r="Q32">
        <f t="shared" si="6"/>
        <v>1</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1</v>
      </c>
      <c r="AS32">
        <f t="shared" si="7"/>
        <v>1</v>
      </c>
      <c r="AT32">
        <f t="shared" si="8"/>
        <v>1</v>
      </c>
      <c r="AU32" s="3" t="s">
        <v>157</v>
      </c>
      <c r="AV32">
        <f t="shared" si="9"/>
        <v>1</v>
      </c>
      <c r="AW32">
        <f t="shared" si="10"/>
        <v>0</v>
      </c>
      <c r="AX32">
        <f t="shared" si="11"/>
        <v>0</v>
      </c>
      <c r="AY32">
        <v>3.5</v>
      </c>
      <c r="AZ32" t="s">
        <v>60</v>
      </c>
      <c r="BA32" t="s">
        <v>61</v>
      </c>
      <c r="BB32" t="s">
        <v>7</v>
      </c>
    </row>
    <row r="33" ht="409.5" spans="1:54">
      <c r="A33" t="s">
        <v>158</v>
      </c>
      <c r="B33" t="s">
        <v>55</v>
      </c>
      <c r="C33" t="s">
        <v>56</v>
      </c>
      <c r="D33">
        <v>79</v>
      </c>
      <c r="E33">
        <v>1</v>
      </c>
      <c r="F33">
        <v>64.5</v>
      </c>
      <c r="G33" t="s">
        <v>57</v>
      </c>
      <c r="H33" s="3" t="s">
        <v>159</v>
      </c>
      <c r="I33" s="3" t="s">
        <v>159</v>
      </c>
      <c r="J33">
        <f t="shared" si="12"/>
        <v>1</v>
      </c>
      <c r="K33">
        <f t="shared" si="0"/>
        <v>1</v>
      </c>
      <c r="L33">
        <f t="shared" si="1"/>
        <v>1</v>
      </c>
      <c r="M33">
        <f t="shared" si="2"/>
        <v>1</v>
      </c>
      <c r="N33">
        <f t="shared" si="3"/>
        <v>1</v>
      </c>
      <c r="O33">
        <f t="shared" si="4"/>
        <v>1</v>
      </c>
      <c r="P33">
        <f t="shared" si="5"/>
        <v>0</v>
      </c>
      <c r="Q33">
        <f t="shared" si="6"/>
        <v>0</v>
      </c>
      <c r="R33">
        <v>1</v>
      </c>
      <c r="S33">
        <v>0</v>
      </c>
      <c r="T33">
        <v>1</v>
      </c>
      <c r="U33">
        <v>1</v>
      </c>
      <c r="V33">
        <v>1</v>
      </c>
      <c r="W33">
        <v>1</v>
      </c>
      <c r="X33">
        <v>1</v>
      </c>
      <c r="Y33">
        <v>0</v>
      </c>
      <c r="Z33">
        <v>1</v>
      </c>
      <c r="AA33">
        <v>1</v>
      </c>
      <c r="AB33">
        <v>1</v>
      </c>
      <c r="AC33">
        <v>1</v>
      </c>
      <c r="AD33">
        <v>1</v>
      </c>
      <c r="AE33">
        <v>0</v>
      </c>
      <c r="AF33">
        <v>0</v>
      </c>
      <c r="AG33">
        <v>0</v>
      </c>
      <c r="AH33">
        <v>1</v>
      </c>
      <c r="AI33">
        <v>1</v>
      </c>
      <c r="AJ33">
        <v>1</v>
      </c>
      <c r="AK33">
        <v>1</v>
      </c>
      <c r="AL33">
        <v>1</v>
      </c>
      <c r="AM33">
        <v>0</v>
      </c>
      <c r="AN33">
        <v>0</v>
      </c>
      <c r="AO33">
        <v>0</v>
      </c>
      <c r="AP33">
        <v>0</v>
      </c>
      <c r="AQ33">
        <v>0</v>
      </c>
      <c r="AR33">
        <v>0</v>
      </c>
      <c r="AS33">
        <f t="shared" si="7"/>
        <v>6</v>
      </c>
      <c r="AT33">
        <f t="shared" si="8"/>
        <v>16</v>
      </c>
      <c r="AU33" s="3" t="s">
        <v>160</v>
      </c>
      <c r="AV33">
        <f t="shared" si="9"/>
        <v>1</v>
      </c>
      <c r="AW33">
        <f t="shared" si="10"/>
        <v>0</v>
      </c>
      <c r="AX33">
        <f t="shared" si="11"/>
        <v>1</v>
      </c>
      <c r="AY33">
        <v>91.5</v>
      </c>
      <c r="AZ33" t="s">
        <v>60</v>
      </c>
      <c r="BA33" t="s">
        <v>61</v>
      </c>
      <c r="BB33" t="s">
        <v>7</v>
      </c>
    </row>
    <row r="34" ht="320" spans="1:54">
      <c r="A34" t="s">
        <v>161</v>
      </c>
      <c r="B34" t="s">
        <v>55</v>
      </c>
      <c r="C34" t="s">
        <v>116</v>
      </c>
      <c r="D34">
        <v>74</v>
      </c>
      <c r="E34">
        <v>5</v>
      </c>
      <c r="F34">
        <v>34.8</v>
      </c>
      <c r="G34" t="s">
        <v>57</v>
      </c>
      <c r="H34" s="3" t="s">
        <v>162</v>
      </c>
      <c r="I34" s="3" t="s">
        <v>162</v>
      </c>
      <c r="J34">
        <f t="shared" si="12"/>
        <v>0</v>
      </c>
      <c r="K34">
        <f t="shared" si="0"/>
        <v>1</v>
      </c>
      <c r="L34">
        <f t="shared" si="1"/>
        <v>1</v>
      </c>
      <c r="M34">
        <f t="shared" si="2"/>
        <v>1</v>
      </c>
      <c r="N34">
        <f t="shared" si="3"/>
        <v>1</v>
      </c>
      <c r="O34">
        <f t="shared" si="4"/>
        <v>1</v>
      </c>
      <c r="P34">
        <f t="shared" si="5"/>
        <v>0</v>
      </c>
      <c r="Q34">
        <f t="shared" si="6"/>
        <v>0</v>
      </c>
      <c r="R34">
        <v>0</v>
      </c>
      <c r="S34">
        <v>0</v>
      </c>
      <c r="T34">
        <v>0</v>
      </c>
      <c r="U34">
        <v>1</v>
      </c>
      <c r="V34">
        <v>1</v>
      </c>
      <c r="W34">
        <v>0</v>
      </c>
      <c r="X34">
        <v>1</v>
      </c>
      <c r="Y34">
        <v>0</v>
      </c>
      <c r="Z34">
        <v>1</v>
      </c>
      <c r="AA34">
        <v>0</v>
      </c>
      <c r="AB34">
        <v>0</v>
      </c>
      <c r="AC34">
        <v>0</v>
      </c>
      <c r="AD34">
        <v>1</v>
      </c>
      <c r="AE34">
        <v>0</v>
      </c>
      <c r="AF34">
        <v>0</v>
      </c>
      <c r="AG34">
        <v>0</v>
      </c>
      <c r="AH34">
        <v>1</v>
      </c>
      <c r="AI34">
        <v>1</v>
      </c>
      <c r="AJ34">
        <v>0</v>
      </c>
      <c r="AK34">
        <v>0</v>
      </c>
      <c r="AL34">
        <v>0</v>
      </c>
      <c r="AM34">
        <v>0</v>
      </c>
      <c r="AN34">
        <v>0</v>
      </c>
      <c r="AO34">
        <v>0</v>
      </c>
      <c r="AP34">
        <v>0</v>
      </c>
      <c r="AQ34">
        <v>0</v>
      </c>
      <c r="AR34">
        <v>0</v>
      </c>
      <c r="AS34">
        <f t="shared" si="7"/>
        <v>5</v>
      </c>
      <c r="AT34">
        <f t="shared" si="8"/>
        <v>7</v>
      </c>
      <c r="AU34" s="3" t="s">
        <v>163</v>
      </c>
      <c r="AV34">
        <f t="shared" si="9"/>
        <v>1</v>
      </c>
      <c r="AW34">
        <f t="shared" si="10"/>
        <v>0</v>
      </c>
      <c r="AX34">
        <f t="shared" si="11"/>
        <v>0</v>
      </c>
      <c r="AY34">
        <v>1.5</v>
      </c>
      <c r="AZ34" t="s">
        <v>60</v>
      </c>
      <c r="BA34" t="s">
        <v>61</v>
      </c>
      <c r="BB34" t="s">
        <v>7</v>
      </c>
    </row>
    <row r="35" ht="118" spans="1:54">
      <c r="A35" t="s">
        <v>164</v>
      </c>
      <c r="B35" t="s">
        <v>55</v>
      </c>
      <c r="C35" t="s">
        <v>56</v>
      </c>
      <c r="D35">
        <v>61</v>
      </c>
      <c r="E35">
        <v>3</v>
      </c>
      <c r="F35">
        <v>75.8</v>
      </c>
      <c r="G35" t="s">
        <v>57</v>
      </c>
      <c r="H35" s="3" t="s">
        <v>165</v>
      </c>
      <c r="I35" s="3" t="s">
        <v>165</v>
      </c>
      <c r="J35">
        <f t="shared" si="12"/>
        <v>1</v>
      </c>
      <c r="K35">
        <f t="shared" si="0"/>
        <v>1</v>
      </c>
      <c r="L35">
        <f t="shared" si="1"/>
        <v>1</v>
      </c>
      <c r="M35">
        <f t="shared" si="2"/>
        <v>1</v>
      </c>
      <c r="N35">
        <f t="shared" si="3"/>
        <v>0</v>
      </c>
      <c r="O35">
        <f t="shared" si="4"/>
        <v>0</v>
      </c>
      <c r="P35">
        <f t="shared" si="5"/>
        <v>0</v>
      </c>
      <c r="Q35">
        <f t="shared" si="6"/>
        <v>0</v>
      </c>
      <c r="R35">
        <v>1</v>
      </c>
      <c r="S35">
        <v>0</v>
      </c>
      <c r="T35">
        <v>0</v>
      </c>
      <c r="U35">
        <v>1</v>
      </c>
      <c r="V35">
        <v>1</v>
      </c>
      <c r="W35">
        <v>1</v>
      </c>
      <c r="X35">
        <v>0</v>
      </c>
      <c r="Y35">
        <v>0</v>
      </c>
      <c r="Z35">
        <v>1</v>
      </c>
      <c r="AA35">
        <v>0</v>
      </c>
      <c r="AB35">
        <v>0</v>
      </c>
      <c r="AC35">
        <v>1</v>
      </c>
      <c r="AD35">
        <v>1</v>
      </c>
      <c r="AE35">
        <v>1</v>
      </c>
      <c r="AF35">
        <v>0</v>
      </c>
      <c r="AG35">
        <v>0</v>
      </c>
      <c r="AH35">
        <v>0</v>
      </c>
      <c r="AI35">
        <v>0</v>
      </c>
      <c r="AJ35">
        <v>0</v>
      </c>
      <c r="AK35">
        <v>0</v>
      </c>
      <c r="AL35">
        <v>0</v>
      </c>
      <c r="AM35">
        <v>0</v>
      </c>
      <c r="AN35">
        <v>0</v>
      </c>
      <c r="AO35">
        <v>0</v>
      </c>
      <c r="AP35">
        <v>0</v>
      </c>
      <c r="AQ35">
        <v>0</v>
      </c>
      <c r="AR35">
        <v>0</v>
      </c>
      <c r="AS35">
        <f t="shared" si="7"/>
        <v>4</v>
      </c>
      <c r="AT35">
        <f t="shared" si="8"/>
        <v>8</v>
      </c>
      <c r="AU35" s="3" t="s">
        <v>166</v>
      </c>
      <c r="AV35">
        <f t="shared" si="9"/>
        <v>1</v>
      </c>
      <c r="AW35">
        <f t="shared" si="10"/>
        <v>0</v>
      </c>
      <c r="AX35">
        <f t="shared" si="11"/>
        <v>1</v>
      </c>
      <c r="AY35">
        <v>4.5</v>
      </c>
      <c r="AZ35" t="s">
        <v>60</v>
      </c>
      <c r="BA35" t="s">
        <v>61</v>
      </c>
      <c r="BB35" t="s">
        <v>7</v>
      </c>
    </row>
    <row r="36" ht="409.5" spans="1:54">
      <c r="A36" t="s">
        <v>167</v>
      </c>
      <c r="B36" t="s">
        <v>55</v>
      </c>
      <c r="C36" t="s">
        <v>116</v>
      </c>
      <c r="D36">
        <v>58</v>
      </c>
      <c r="E36">
        <v>0</v>
      </c>
      <c r="F36">
        <v>50.3</v>
      </c>
      <c r="G36" t="s">
        <v>57</v>
      </c>
      <c r="H36" s="3" t="s">
        <v>168</v>
      </c>
      <c r="I36" s="3" t="s">
        <v>168</v>
      </c>
      <c r="J36">
        <f t="shared" si="12"/>
        <v>1</v>
      </c>
      <c r="K36">
        <f t="shared" si="0"/>
        <v>1</v>
      </c>
      <c r="L36">
        <f t="shared" si="1"/>
        <v>1</v>
      </c>
      <c r="M36">
        <f t="shared" si="2"/>
        <v>1</v>
      </c>
      <c r="N36">
        <f t="shared" si="3"/>
        <v>1</v>
      </c>
      <c r="O36">
        <f t="shared" si="4"/>
        <v>1</v>
      </c>
      <c r="P36">
        <f t="shared" si="5"/>
        <v>0</v>
      </c>
      <c r="Q36">
        <f t="shared" si="6"/>
        <v>1</v>
      </c>
      <c r="R36">
        <v>1</v>
      </c>
      <c r="S36">
        <v>0</v>
      </c>
      <c r="T36">
        <v>0</v>
      </c>
      <c r="U36">
        <v>1</v>
      </c>
      <c r="V36">
        <v>1</v>
      </c>
      <c r="W36">
        <v>0</v>
      </c>
      <c r="X36">
        <v>0</v>
      </c>
      <c r="Y36">
        <v>1</v>
      </c>
      <c r="Z36">
        <v>1</v>
      </c>
      <c r="AA36">
        <v>1</v>
      </c>
      <c r="AB36">
        <v>1</v>
      </c>
      <c r="AC36">
        <v>1</v>
      </c>
      <c r="AD36">
        <v>1</v>
      </c>
      <c r="AE36">
        <v>0</v>
      </c>
      <c r="AF36">
        <v>0</v>
      </c>
      <c r="AG36">
        <v>0</v>
      </c>
      <c r="AH36">
        <v>1</v>
      </c>
      <c r="AI36">
        <v>1</v>
      </c>
      <c r="AJ36">
        <v>1</v>
      </c>
      <c r="AK36">
        <v>0</v>
      </c>
      <c r="AL36">
        <v>0</v>
      </c>
      <c r="AM36">
        <v>0</v>
      </c>
      <c r="AN36">
        <v>0</v>
      </c>
      <c r="AO36">
        <v>0</v>
      </c>
      <c r="AP36">
        <v>0</v>
      </c>
      <c r="AQ36">
        <v>0</v>
      </c>
      <c r="AR36">
        <v>1</v>
      </c>
      <c r="AS36">
        <f t="shared" si="7"/>
        <v>7</v>
      </c>
      <c r="AT36">
        <f t="shared" si="8"/>
        <v>13</v>
      </c>
      <c r="AU36" s="3" t="s">
        <v>169</v>
      </c>
      <c r="AV36">
        <f t="shared" si="9"/>
        <v>1</v>
      </c>
      <c r="AW36">
        <f t="shared" si="10"/>
        <v>0</v>
      </c>
      <c r="AX36">
        <f t="shared" si="11"/>
        <v>1</v>
      </c>
      <c r="AY36">
        <v>11</v>
      </c>
      <c r="AZ36" t="s">
        <v>60</v>
      </c>
      <c r="BA36" t="s">
        <v>61</v>
      </c>
      <c r="BB36" t="s">
        <v>7</v>
      </c>
    </row>
    <row r="37" ht="409.5" spans="1:54">
      <c r="A37" t="s">
        <v>170</v>
      </c>
      <c r="B37" t="s">
        <v>55</v>
      </c>
      <c r="C37" t="s">
        <v>56</v>
      </c>
      <c r="D37">
        <v>57</v>
      </c>
      <c r="E37">
        <v>2</v>
      </c>
      <c r="F37">
        <v>118</v>
      </c>
      <c r="G37" t="s">
        <v>57</v>
      </c>
      <c r="H37" s="3" t="s">
        <v>171</v>
      </c>
      <c r="I37" s="3" t="s">
        <v>171</v>
      </c>
      <c r="J37">
        <f t="shared" si="12"/>
        <v>1</v>
      </c>
      <c r="K37">
        <f t="shared" si="0"/>
        <v>1</v>
      </c>
      <c r="L37">
        <f t="shared" si="1"/>
        <v>1</v>
      </c>
      <c r="M37">
        <f t="shared" si="2"/>
        <v>1</v>
      </c>
      <c r="N37">
        <f t="shared" si="3"/>
        <v>1</v>
      </c>
      <c r="O37">
        <f t="shared" si="4"/>
        <v>1</v>
      </c>
      <c r="P37">
        <f t="shared" si="5"/>
        <v>1</v>
      </c>
      <c r="Q37">
        <f t="shared" si="6"/>
        <v>1</v>
      </c>
      <c r="R37">
        <v>1</v>
      </c>
      <c r="S37">
        <v>1</v>
      </c>
      <c r="T37">
        <v>0</v>
      </c>
      <c r="U37">
        <v>1</v>
      </c>
      <c r="V37">
        <v>1</v>
      </c>
      <c r="W37">
        <v>1</v>
      </c>
      <c r="X37">
        <v>0</v>
      </c>
      <c r="Y37">
        <v>0</v>
      </c>
      <c r="Z37">
        <v>1</v>
      </c>
      <c r="AA37">
        <v>1</v>
      </c>
      <c r="AB37">
        <v>1</v>
      </c>
      <c r="AC37">
        <v>1</v>
      </c>
      <c r="AD37">
        <v>1</v>
      </c>
      <c r="AE37">
        <v>0</v>
      </c>
      <c r="AF37">
        <v>0</v>
      </c>
      <c r="AG37">
        <v>0</v>
      </c>
      <c r="AH37">
        <v>1</v>
      </c>
      <c r="AI37">
        <v>1</v>
      </c>
      <c r="AJ37">
        <v>0</v>
      </c>
      <c r="AK37">
        <v>0</v>
      </c>
      <c r="AL37">
        <v>1</v>
      </c>
      <c r="AM37">
        <v>0</v>
      </c>
      <c r="AN37">
        <v>1</v>
      </c>
      <c r="AO37">
        <v>0</v>
      </c>
      <c r="AP37">
        <v>0</v>
      </c>
      <c r="AQ37">
        <v>0</v>
      </c>
      <c r="AR37">
        <v>1</v>
      </c>
      <c r="AS37">
        <f t="shared" si="7"/>
        <v>8</v>
      </c>
      <c r="AT37">
        <f t="shared" si="8"/>
        <v>15</v>
      </c>
      <c r="AU37" s="3" t="s">
        <v>172</v>
      </c>
      <c r="AV37">
        <f t="shared" si="9"/>
        <v>1</v>
      </c>
      <c r="AW37">
        <f t="shared" si="10"/>
        <v>0</v>
      </c>
      <c r="AX37">
        <f t="shared" si="11"/>
        <v>1</v>
      </c>
      <c r="AY37">
        <v>0</v>
      </c>
      <c r="AZ37" t="s">
        <v>147</v>
      </c>
      <c r="BA37" t="s">
        <v>148</v>
      </c>
      <c r="BB37" t="s">
        <v>7</v>
      </c>
    </row>
    <row r="38" ht="17" spans="1:54">
      <c r="A38" t="s">
        <v>173</v>
      </c>
      <c r="B38" t="s">
        <v>55</v>
      </c>
      <c r="C38" t="s">
        <v>56</v>
      </c>
      <c r="D38">
        <v>56</v>
      </c>
      <c r="E38">
        <v>14</v>
      </c>
      <c r="F38">
        <v>87.1</v>
      </c>
      <c r="G38" t="s">
        <v>57</v>
      </c>
      <c r="H38" s="3" t="s">
        <v>174</v>
      </c>
      <c r="I38" s="3" t="s">
        <v>174</v>
      </c>
      <c r="J38">
        <f t="shared" si="12"/>
        <v>0</v>
      </c>
      <c r="K38">
        <f t="shared" si="0"/>
        <v>0</v>
      </c>
      <c r="L38">
        <f t="shared" si="1"/>
        <v>0</v>
      </c>
      <c r="M38">
        <f t="shared" si="2"/>
        <v>0</v>
      </c>
      <c r="N38">
        <f t="shared" si="3"/>
        <v>1</v>
      </c>
      <c r="O38">
        <f t="shared" si="4"/>
        <v>0</v>
      </c>
      <c r="P38">
        <f t="shared" si="5"/>
        <v>0</v>
      </c>
      <c r="Q38">
        <f t="shared" si="6"/>
        <v>0</v>
      </c>
      <c r="R38">
        <v>0</v>
      </c>
      <c r="S38">
        <v>0</v>
      </c>
      <c r="T38">
        <v>0</v>
      </c>
      <c r="U38">
        <v>0</v>
      </c>
      <c r="V38">
        <v>0</v>
      </c>
      <c r="W38">
        <v>0</v>
      </c>
      <c r="X38">
        <v>0</v>
      </c>
      <c r="Y38">
        <v>0</v>
      </c>
      <c r="Z38">
        <v>0</v>
      </c>
      <c r="AA38">
        <v>0</v>
      </c>
      <c r="AB38">
        <v>0</v>
      </c>
      <c r="AC38">
        <v>0</v>
      </c>
      <c r="AD38">
        <v>0</v>
      </c>
      <c r="AE38">
        <v>0</v>
      </c>
      <c r="AF38">
        <v>0</v>
      </c>
      <c r="AG38">
        <v>0</v>
      </c>
      <c r="AH38">
        <v>1</v>
      </c>
      <c r="AI38">
        <v>0</v>
      </c>
      <c r="AJ38">
        <v>0</v>
      </c>
      <c r="AK38">
        <v>0</v>
      </c>
      <c r="AL38">
        <v>0</v>
      </c>
      <c r="AM38">
        <v>0</v>
      </c>
      <c r="AN38">
        <v>0</v>
      </c>
      <c r="AO38">
        <v>0</v>
      </c>
      <c r="AP38">
        <v>0</v>
      </c>
      <c r="AQ38">
        <v>0</v>
      </c>
      <c r="AR38">
        <v>0</v>
      </c>
      <c r="AS38">
        <f t="shared" si="7"/>
        <v>1</v>
      </c>
      <c r="AT38">
        <f t="shared" si="8"/>
        <v>1</v>
      </c>
      <c r="AU38" s="3" t="s">
        <v>129</v>
      </c>
      <c r="AV38">
        <f t="shared" si="9"/>
        <v>1</v>
      </c>
      <c r="AW38">
        <f t="shared" si="10"/>
        <v>0</v>
      </c>
      <c r="AX38">
        <f t="shared" si="11"/>
        <v>0</v>
      </c>
      <c r="AY38">
        <v>-2</v>
      </c>
      <c r="AZ38" t="s">
        <v>133</v>
      </c>
      <c r="BA38" t="s">
        <v>134</v>
      </c>
      <c r="BB38" t="s">
        <v>7</v>
      </c>
    </row>
    <row r="39" ht="17" spans="1:54">
      <c r="A39" t="s">
        <v>175</v>
      </c>
      <c r="B39" t="s">
        <v>55</v>
      </c>
      <c r="C39" t="s">
        <v>56</v>
      </c>
      <c r="D39">
        <v>52</v>
      </c>
      <c r="E39">
        <v>11</v>
      </c>
      <c r="F39">
        <v>2.1</v>
      </c>
      <c r="G39" t="s">
        <v>57</v>
      </c>
      <c r="H39" s="3" t="s">
        <v>176</v>
      </c>
      <c r="I39" s="3" t="s">
        <v>176</v>
      </c>
      <c r="J39">
        <f t="shared" si="12"/>
        <v>0</v>
      </c>
      <c r="K39">
        <f t="shared" si="0"/>
        <v>1</v>
      </c>
      <c r="L39">
        <f t="shared" si="1"/>
        <v>0</v>
      </c>
      <c r="M39">
        <f t="shared" si="2"/>
        <v>0</v>
      </c>
      <c r="N39">
        <f t="shared" si="3"/>
        <v>0</v>
      </c>
      <c r="O39">
        <f t="shared" si="4"/>
        <v>1</v>
      </c>
      <c r="P39">
        <f t="shared" si="5"/>
        <v>0</v>
      </c>
      <c r="Q39">
        <f t="shared" si="6"/>
        <v>0</v>
      </c>
      <c r="R39">
        <v>0</v>
      </c>
      <c r="S39">
        <v>0</v>
      </c>
      <c r="T39">
        <v>0</v>
      </c>
      <c r="U39">
        <v>1</v>
      </c>
      <c r="V39">
        <v>0</v>
      </c>
      <c r="W39">
        <v>0</v>
      </c>
      <c r="X39">
        <v>0</v>
      </c>
      <c r="Y39">
        <v>0</v>
      </c>
      <c r="Z39">
        <v>0</v>
      </c>
      <c r="AA39">
        <v>0</v>
      </c>
      <c r="AB39">
        <v>0</v>
      </c>
      <c r="AC39">
        <v>0</v>
      </c>
      <c r="AD39">
        <v>0</v>
      </c>
      <c r="AE39">
        <v>0</v>
      </c>
      <c r="AF39">
        <v>0</v>
      </c>
      <c r="AG39">
        <v>0</v>
      </c>
      <c r="AH39">
        <v>0</v>
      </c>
      <c r="AI39">
        <v>1</v>
      </c>
      <c r="AJ39">
        <v>0</v>
      </c>
      <c r="AK39">
        <v>0</v>
      </c>
      <c r="AL39">
        <v>0</v>
      </c>
      <c r="AM39">
        <v>0</v>
      </c>
      <c r="AN39">
        <v>0</v>
      </c>
      <c r="AO39">
        <v>0</v>
      </c>
      <c r="AP39">
        <v>0</v>
      </c>
      <c r="AQ39">
        <v>0</v>
      </c>
      <c r="AR39">
        <v>0</v>
      </c>
      <c r="AS39">
        <f t="shared" si="7"/>
        <v>2</v>
      </c>
      <c r="AT39">
        <f t="shared" si="8"/>
        <v>2</v>
      </c>
      <c r="AU39" s="3" t="s">
        <v>177</v>
      </c>
      <c r="AV39">
        <f t="shared" si="9"/>
        <v>1</v>
      </c>
      <c r="AW39">
        <f t="shared" si="10"/>
        <v>0</v>
      </c>
      <c r="AX39">
        <f t="shared" si="11"/>
        <v>0</v>
      </c>
      <c r="AY39">
        <v>2.5</v>
      </c>
      <c r="AZ39" t="s">
        <v>60</v>
      </c>
      <c r="BA39" t="s">
        <v>61</v>
      </c>
      <c r="BB39" t="s">
        <v>7</v>
      </c>
    </row>
    <row r="40" ht="34" spans="1:54">
      <c r="A40" t="s">
        <v>178</v>
      </c>
      <c r="B40" t="s">
        <v>55</v>
      </c>
      <c r="C40" t="s">
        <v>56</v>
      </c>
      <c r="D40">
        <v>50</v>
      </c>
      <c r="E40">
        <v>2</v>
      </c>
      <c r="F40">
        <v>3.9</v>
      </c>
      <c r="G40" t="s">
        <v>57</v>
      </c>
      <c r="H40" s="3" t="s">
        <v>179</v>
      </c>
      <c r="I40" s="3" t="s">
        <v>179</v>
      </c>
      <c r="J40">
        <f t="shared" si="12"/>
        <v>0</v>
      </c>
      <c r="K40">
        <f t="shared" si="0"/>
        <v>0</v>
      </c>
      <c r="L40">
        <f t="shared" si="1"/>
        <v>0</v>
      </c>
      <c r="M40">
        <f t="shared" si="2"/>
        <v>0</v>
      </c>
      <c r="N40">
        <f t="shared" si="3"/>
        <v>0</v>
      </c>
      <c r="O40">
        <f t="shared" si="4"/>
        <v>0</v>
      </c>
      <c r="P40">
        <f t="shared" si="5"/>
        <v>0</v>
      </c>
      <c r="Q40">
        <f t="shared" si="6"/>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f t="shared" si="7"/>
        <v>0</v>
      </c>
      <c r="AT40">
        <f t="shared" si="8"/>
        <v>0</v>
      </c>
      <c r="AU40" s="3" t="s">
        <v>118</v>
      </c>
      <c r="AV40">
        <f t="shared" si="9"/>
        <v>0</v>
      </c>
      <c r="AW40">
        <f t="shared" si="10"/>
        <v>1</v>
      </c>
      <c r="AX40">
        <f t="shared" si="11"/>
        <v>0</v>
      </c>
      <c r="AY40">
        <v>1</v>
      </c>
      <c r="AZ40" t="s">
        <v>60</v>
      </c>
      <c r="BA40" t="s">
        <v>61</v>
      </c>
      <c r="BB40" t="s">
        <v>7</v>
      </c>
    </row>
    <row r="41" ht="51" spans="1:54">
      <c r="A41" t="s">
        <v>180</v>
      </c>
      <c r="B41" t="s">
        <v>55</v>
      </c>
      <c r="C41" t="s">
        <v>56</v>
      </c>
      <c r="D41">
        <v>50</v>
      </c>
      <c r="E41">
        <v>1</v>
      </c>
      <c r="F41">
        <v>88.9</v>
      </c>
      <c r="G41" t="s">
        <v>57</v>
      </c>
      <c r="H41" s="3" t="s">
        <v>181</v>
      </c>
      <c r="I41" s="3" t="s">
        <v>181</v>
      </c>
      <c r="J41">
        <f t="shared" si="12"/>
        <v>0</v>
      </c>
      <c r="K41">
        <f t="shared" si="0"/>
        <v>0</v>
      </c>
      <c r="L41">
        <f t="shared" si="1"/>
        <v>0</v>
      </c>
      <c r="M41">
        <f t="shared" si="2"/>
        <v>0</v>
      </c>
      <c r="N41">
        <f t="shared" si="3"/>
        <v>1</v>
      </c>
      <c r="O41">
        <f t="shared" si="4"/>
        <v>1</v>
      </c>
      <c r="P41">
        <f t="shared" si="5"/>
        <v>0</v>
      </c>
      <c r="Q41">
        <f t="shared" si="6"/>
        <v>0</v>
      </c>
      <c r="R41">
        <v>0</v>
      </c>
      <c r="S41">
        <v>0</v>
      </c>
      <c r="T41">
        <v>0</v>
      </c>
      <c r="U41">
        <v>0</v>
      </c>
      <c r="V41">
        <v>0</v>
      </c>
      <c r="W41">
        <v>0</v>
      </c>
      <c r="X41">
        <v>0</v>
      </c>
      <c r="Y41">
        <v>0</v>
      </c>
      <c r="Z41">
        <v>0</v>
      </c>
      <c r="AA41">
        <v>0</v>
      </c>
      <c r="AB41">
        <v>0</v>
      </c>
      <c r="AC41">
        <v>0</v>
      </c>
      <c r="AD41">
        <v>0</v>
      </c>
      <c r="AE41">
        <v>0</v>
      </c>
      <c r="AF41">
        <v>0</v>
      </c>
      <c r="AG41">
        <v>1</v>
      </c>
      <c r="AH41">
        <v>0</v>
      </c>
      <c r="AI41">
        <v>1</v>
      </c>
      <c r="AJ41">
        <v>0</v>
      </c>
      <c r="AK41">
        <v>0</v>
      </c>
      <c r="AL41">
        <v>0</v>
      </c>
      <c r="AM41">
        <v>0</v>
      </c>
      <c r="AN41">
        <v>0</v>
      </c>
      <c r="AO41">
        <v>0</v>
      </c>
      <c r="AP41">
        <v>0</v>
      </c>
      <c r="AQ41">
        <v>0</v>
      </c>
      <c r="AR41">
        <v>0</v>
      </c>
      <c r="AS41">
        <f t="shared" si="7"/>
        <v>2</v>
      </c>
      <c r="AT41">
        <f t="shared" si="8"/>
        <v>2</v>
      </c>
      <c r="AU41" s="3" t="s">
        <v>182</v>
      </c>
      <c r="AV41">
        <f t="shared" si="9"/>
        <v>1</v>
      </c>
      <c r="AW41">
        <f t="shared" si="10"/>
        <v>0</v>
      </c>
      <c r="AX41">
        <f t="shared" si="11"/>
        <v>0</v>
      </c>
      <c r="AY41">
        <v>7</v>
      </c>
      <c r="AZ41" t="s">
        <v>60</v>
      </c>
      <c r="BA41" t="s">
        <v>61</v>
      </c>
      <c r="BB41" t="s">
        <v>7</v>
      </c>
    </row>
    <row r="42" ht="34" spans="1:54">
      <c r="A42" t="s">
        <v>183</v>
      </c>
      <c r="B42" t="s">
        <v>55</v>
      </c>
      <c r="C42" t="s">
        <v>56</v>
      </c>
      <c r="D42">
        <v>49</v>
      </c>
      <c r="E42">
        <v>0</v>
      </c>
      <c r="F42">
        <v>74.6</v>
      </c>
      <c r="G42" t="s">
        <v>57</v>
      </c>
      <c r="H42" s="3" t="s">
        <v>184</v>
      </c>
      <c r="I42" s="3" t="s">
        <v>184</v>
      </c>
      <c r="J42">
        <f t="shared" si="12"/>
        <v>0</v>
      </c>
      <c r="K42">
        <f t="shared" si="0"/>
        <v>0</v>
      </c>
      <c r="L42">
        <f t="shared" si="1"/>
        <v>0</v>
      </c>
      <c r="M42">
        <f t="shared" si="2"/>
        <v>0</v>
      </c>
      <c r="N42">
        <f t="shared" si="3"/>
        <v>0</v>
      </c>
      <c r="O42">
        <f t="shared" si="4"/>
        <v>0</v>
      </c>
      <c r="P42">
        <f t="shared" si="5"/>
        <v>0</v>
      </c>
      <c r="Q42">
        <f t="shared" si="6"/>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f t="shared" si="7"/>
        <v>0</v>
      </c>
      <c r="AT42">
        <f t="shared" si="8"/>
        <v>0</v>
      </c>
      <c r="AU42" s="3" t="s">
        <v>118</v>
      </c>
      <c r="AV42">
        <f t="shared" si="9"/>
        <v>0</v>
      </c>
      <c r="AW42">
        <f t="shared" si="10"/>
        <v>1</v>
      </c>
      <c r="AX42">
        <f t="shared" si="11"/>
        <v>0</v>
      </c>
      <c r="AY42">
        <v>0</v>
      </c>
      <c r="AZ42" t="s">
        <v>147</v>
      </c>
      <c r="BA42" t="s">
        <v>148</v>
      </c>
      <c r="BB42" t="s">
        <v>7</v>
      </c>
    </row>
    <row r="43" ht="68" spans="1:54">
      <c r="A43" t="s">
        <v>185</v>
      </c>
      <c r="B43" t="s">
        <v>55</v>
      </c>
      <c r="C43" t="s">
        <v>56</v>
      </c>
      <c r="D43">
        <v>49</v>
      </c>
      <c r="E43">
        <v>0</v>
      </c>
      <c r="F43">
        <v>77.8</v>
      </c>
      <c r="G43" t="s">
        <v>57</v>
      </c>
      <c r="H43" s="3" t="s">
        <v>186</v>
      </c>
      <c r="I43" s="3" t="s">
        <v>186</v>
      </c>
      <c r="J43">
        <f t="shared" si="12"/>
        <v>0</v>
      </c>
      <c r="K43">
        <f t="shared" si="0"/>
        <v>0</v>
      </c>
      <c r="L43">
        <f t="shared" si="1"/>
        <v>1</v>
      </c>
      <c r="M43">
        <f t="shared" si="2"/>
        <v>1</v>
      </c>
      <c r="N43">
        <f t="shared" si="3"/>
        <v>0</v>
      </c>
      <c r="O43">
        <f t="shared" si="4"/>
        <v>0</v>
      </c>
      <c r="P43">
        <f t="shared" si="5"/>
        <v>0</v>
      </c>
      <c r="Q43">
        <f t="shared" si="6"/>
        <v>0</v>
      </c>
      <c r="R43">
        <v>0</v>
      </c>
      <c r="S43">
        <v>0</v>
      </c>
      <c r="T43">
        <v>0</v>
      </c>
      <c r="U43">
        <v>0</v>
      </c>
      <c r="V43">
        <v>0</v>
      </c>
      <c r="W43">
        <v>0</v>
      </c>
      <c r="X43">
        <v>0</v>
      </c>
      <c r="Y43">
        <v>0</v>
      </c>
      <c r="Z43">
        <v>1</v>
      </c>
      <c r="AA43">
        <v>0</v>
      </c>
      <c r="AB43">
        <v>0</v>
      </c>
      <c r="AC43">
        <v>0</v>
      </c>
      <c r="AD43">
        <v>1</v>
      </c>
      <c r="AE43">
        <v>0</v>
      </c>
      <c r="AF43">
        <v>0</v>
      </c>
      <c r="AG43">
        <v>0</v>
      </c>
      <c r="AH43">
        <v>0</v>
      </c>
      <c r="AI43">
        <v>0</v>
      </c>
      <c r="AJ43">
        <v>0</v>
      </c>
      <c r="AK43">
        <v>0</v>
      </c>
      <c r="AL43">
        <v>0</v>
      </c>
      <c r="AM43">
        <v>0</v>
      </c>
      <c r="AN43">
        <v>0</v>
      </c>
      <c r="AO43">
        <v>0</v>
      </c>
      <c r="AP43">
        <v>0</v>
      </c>
      <c r="AQ43">
        <v>0</v>
      </c>
      <c r="AR43">
        <v>0</v>
      </c>
      <c r="AS43">
        <f t="shared" si="7"/>
        <v>2</v>
      </c>
      <c r="AT43">
        <f t="shared" si="8"/>
        <v>2</v>
      </c>
      <c r="AU43" s="3" t="s">
        <v>187</v>
      </c>
      <c r="AV43">
        <f t="shared" si="9"/>
        <v>1</v>
      </c>
      <c r="AW43">
        <f t="shared" si="10"/>
        <v>0</v>
      </c>
      <c r="AX43">
        <f t="shared" si="11"/>
        <v>0</v>
      </c>
      <c r="AY43">
        <v>9.5</v>
      </c>
      <c r="AZ43" t="s">
        <v>60</v>
      </c>
      <c r="BA43" t="s">
        <v>61</v>
      </c>
      <c r="BB43" t="s">
        <v>7</v>
      </c>
    </row>
    <row r="44" ht="34" spans="1:54">
      <c r="A44" t="s">
        <v>188</v>
      </c>
      <c r="B44" t="s">
        <v>55</v>
      </c>
      <c r="C44" t="s">
        <v>56</v>
      </c>
      <c r="D44">
        <v>44</v>
      </c>
      <c r="E44">
        <v>1</v>
      </c>
      <c r="F44">
        <v>58</v>
      </c>
      <c r="G44" t="s">
        <v>57</v>
      </c>
      <c r="H44" s="3" t="s">
        <v>189</v>
      </c>
      <c r="I44" s="3" t="s">
        <v>189</v>
      </c>
      <c r="J44">
        <f t="shared" si="12"/>
        <v>0</v>
      </c>
      <c r="K44">
        <f t="shared" si="0"/>
        <v>1</v>
      </c>
      <c r="L44">
        <f t="shared" si="1"/>
        <v>1</v>
      </c>
      <c r="M44">
        <f t="shared" si="2"/>
        <v>0</v>
      </c>
      <c r="N44">
        <f t="shared" si="3"/>
        <v>1</v>
      </c>
      <c r="O44">
        <f t="shared" si="4"/>
        <v>0</v>
      </c>
      <c r="P44">
        <f t="shared" si="5"/>
        <v>0</v>
      </c>
      <c r="Q44">
        <f t="shared" si="6"/>
        <v>0</v>
      </c>
      <c r="R44">
        <v>0</v>
      </c>
      <c r="S44">
        <v>0</v>
      </c>
      <c r="T44">
        <v>0</v>
      </c>
      <c r="U44">
        <v>0</v>
      </c>
      <c r="V44">
        <v>1</v>
      </c>
      <c r="W44">
        <v>0</v>
      </c>
      <c r="X44">
        <v>0</v>
      </c>
      <c r="Y44">
        <v>0</v>
      </c>
      <c r="Z44">
        <v>1</v>
      </c>
      <c r="AA44">
        <v>1</v>
      </c>
      <c r="AB44">
        <v>0</v>
      </c>
      <c r="AC44">
        <v>0</v>
      </c>
      <c r="AD44">
        <v>0</v>
      </c>
      <c r="AE44">
        <v>0</v>
      </c>
      <c r="AF44">
        <v>0</v>
      </c>
      <c r="AG44">
        <v>0</v>
      </c>
      <c r="AH44">
        <v>1</v>
      </c>
      <c r="AI44">
        <v>0</v>
      </c>
      <c r="AJ44">
        <v>0</v>
      </c>
      <c r="AK44">
        <v>0</v>
      </c>
      <c r="AL44">
        <v>0</v>
      </c>
      <c r="AM44">
        <v>0</v>
      </c>
      <c r="AN44">
        <v>0</v>
      </c>
      <c r="AO44">
        <v>0</v>
      </c>
      <c r="AP44">
        <v>0</v>
      </c>
      <c r="AQ44">
        <v>0</v>
      </c>
      <c r="AR44">
        <v>0</v>
      </c>
      <c r="AS44">
        <f t="shared" si="7"/>
        <v>3</v>
      </c>
      <c r="AT44">
        <f t="shared" si="8"/>
        <v>4</v>
      </c>
      <c r="AU44" s="3" t="s">
        <v>190</v>
      </c>
      <c r="AV44">
        <f t="shared" si="9"/>
        <v>1</v>
      </c>
      <c r="AW44">
        <f t="shared" si="10"/>
        <v>0</v>
      </c>
      <c r="AX44">
        <f t="shared" si="11"/>
        <v>0</v>
      </c>
      <c r="AY44">
        <v>-1</v>
      </c>
      <c r="AZ44" t="s">
        <v>133</v>
      </c>
      <c r="BA44" t="s">
        <v>134</v>
      </c>
      <c r="BB44" t="s">
        <v>7</v>
      </c>
    </row>
    <row r="45" ht="101" spans="1:54">
      <c r="A45" t="s">
        <v>191</v>
      </c>
      <c r="B45" t="s">
        <v>55</v>
      </c>
      <c r="C45" t="s">
        <v>56</v>
      </c>
      <c r="D45">
        <v>44</v>
      </c>
      <c r="E45">
        <v>0</v>
      </c>
      <c r="F45">
        <v>18.3</v>
      </c>
      <c r="G45" t="s">
        <v>57</v>
      </c>
      <c r="H45" s="3" t="s">
        <v>192</v>
      </c>
      <c r="I45" s="3" t="s">
        <v>192</v>
      </c>
      <c r="J45">
        <f t="shared" si="12"/>
        <v>1</v>
      </c>
      <c r="K45">
        <f t="shared" si="0"/>
        <v>1</v>
      </c>
      <c r="L45">
        <f t="shared" si="1"/>
        <v>0</v>
      </c>
      <c r="M45">
        <f t="shared" si="2"/>
        <v>0</v>
      </c>
      <c r="N45">
        <f t="shared" si="3"/>
        <v>1</v>
      </c>
      <c r="O45">
        <f t="shared" si="4"/>
        <v>1</v>
      </c>
      <c r="P45">
        <f t="shared" si="5"/>
        <v>0</v>
      </c>
      <c r="Q45">
        <f t="shared" si="6"/>
        <v>1</v>
      </c>
      <c r="R45">
        <v>1</v>
      </c>
      <c r="S45">
        <v>1</v>
      </c>
      <c r="T45">
        <v>1</v>
      </c>
      <c r="U45">
        <v>1</v>
      </c>
      <c r="V45">
        <v>0</v>
      </c>
      <c r="W45">
        <v>0</v>
      </c>
      <c r="X45">
        <v>0</v>
      </c>
      <c r="Y45">
        <v>0</v>
      </c>
      <c r="Z45">
        <v>0</v>
      </c>
      <c r="AA45">
        <v>0</v>
      </c>
      <c r="AB45">
        <v>0</v>
      </c>
      <c r="AC45">
        <v>0</v>
      </c>
      <c r="AD45">
        <v>0</v>
      </c>
      <c r="AE45">
        <v>0</v>
      </c>
      <c r="AF45">
        <v>0</v>
      </c>
      <c r="AG45">
        <v>1</v>
      </c>
      <c r="AH45">
        <v>0</v>
      </c>
      <c r="AI45">
        <v>1</v>
      </c>
      <c r="AJ45">
        <v>0</v>
      </c>
      <c r="AK45">
        <v>0</v>
      </c>
      <c r="AL45">
        <v>0</v>
      </c>
      <c r="AM45">
        <v>0</v>
      </c>
      <c r="AN45">
        <v>0</v>
      </c>
      <c r="AO45">
        <v>0</v>
      </c>
      <c r="AP45">
        <v>0</v>
      </c>
      <c r="AQ45">
        <v>0</v>
      </c>
      <c r="AR45">
        <v>1</v>
      </c>
      <c r="AS45">
        <f t="shared" si="7"/>
        <v>5</v>
      </c>
      <c r="AT45">
        <f t="shared" si="8"/>
        <v>7</v>
      </c>
      <c r="AU45" s="3" t="s">
        <v>193</v>
      </c>
      <c r="AV45">
        <f t="shared" si="9"/>
        <v>1</v>
      </c>
      <c r="AW45">
        <f t="shared" si="10"/>
        <v>0</v>
      </c>
      <c r="AX45">
        <f t="shared" si="11"/>
        <v>0</v>
      </c>
      <c r="AY45">
        <v>14</v>
      </c>
      <c r="AZ45" t="s">
        <v>60</v>
      </c>
      <c r="BA45" t="s">
        <v>61</v>
      </c>
      <c r="BB45" t="s">
        <v>7</v>
      </c>
    </row>
    <row r="46" ht="51" spans="1:54">
      <c r="A46" t="s">
        <v>194</v>
      </c>
      <c r="B46" t="s">
        <v>55</v>
      </c>
      <c r="C46" t="s">
        <v>56</v>
      </c>
      <c r="D46">
        <v>42</v>
      </c>
      <c r="E46">
        <v>2</v>
      </c>
      <c r="F46">
        <v>52.6</v>
      </c>
      <c r="G46" t="s">
        <v>57</v>
      </c>
      <c r="H46" s="3" t="s">
        <v>195</v>
      </c>
      <c r="I46" s="3" t="s">
        <v>195</v>
      </c>
      <c r="J46">
        <f t="shared" si="12"/>
        <v>1</v>
      </c>
      <c r="K46">
        <f t="shared" si="0"/>
        <v>1</v>
      </c>
      <c r="L46">
        <f t="shared" si="1"/>
        <v>1</v>
      </c>
      <c r="M46">
        <f t="shared" si="2"/>
        <v>0</v>
      </c>
      <c r="N46">
        <f t="shared" si="3"/>
        <v>1</v>
      </c>
      <c r="O46">
        <f t="shared" si="4"/>
        <v>0</v>
      </c>
      <c r="P46">
        <f t="shared" si="5"/>
        <v>0</v>
      </c>
      <c r="Q46">
        <f t="shared" si="6"/>
        <v>0</v>
      </c>
      <c r="R46">
        <v>1</v>
      </c>
      <c r="S46">
        <v>1</v>
      </c>
      <c r="T46">
        <v>0</v>
      </c>
      <c r="U46">
        <v>1</v>
      </c>
      <c r="V46">
        <v>1</v>
      </c>
      <c r="W46">
        <v>0</v>
      </c>
      <c r="X46">
        <v>0</v>
      </c>
      <c r="Y46">
        <v>1</v>
      </c>
      <c r="Z46">
        <v>1</v>
      </c>
      <c r="AA46">
        <v>0</v>
      </c>
      <c r="AB46">
        <v>0</v>
      </c>
      <c r="AC46">
        <v>0</v>
      </c>
      <c r="AD46">
        <v>0</v>
      </c>
      <c r="AE46">
        <v>0</v>
      </c>
      <c r="AF46">
        <v>0</v>
      </c>
      <c r="AG46">
        <v>0</v>
      </c>
      <c r="AH46">
        <v>1</v>
      </c>
      <c r="AI46">
        <v>0</v>
      </c>
      <c r="AJ46">
        <v>0</v>
      </c>
      <c r="AK46">
        <v>0</v>
      </c>
      <c r="AL46">
        <v>0</v>
      </c>
      <c r="AM46">
        <v>0</v>
      </c>
      <c r="AN46">
        <v>0</v>
      </c>
      <c r="AO46">
        <v>0</v>
      </c>
      <c r="AP46">
        <v>0</v>
      </c>
      <c r="AQ46">
        <v>0</v>
      </c>
      <c r="AR46">
        <v>0</v>
      </c>
      <c r="AS46">
        <f t="shared" si="7"/>
        <v>4</v>
      </c>
      <c r="AT46">
        <f t="shared" si="8"/>
        <v>7</v>
      </c>
      <c r="AU46" s="3" t="s">
        <v>196</v>
      </c>
      <c r="AV46">
        <f t="shared" si="9"/>
        <v>1</v>
      </c>
      <c r="AW46">
        <f t="shared" si="10"/>
        <v>0</v>
      </c>
      <c r="AX46">
        <f t="shared" si="11"/>
        <v>0</v>
      </c>
      <c r="AY46">
        <v>9.5</v>
      </c>
      <c r="AZ46" t="s">
        <v>60</v>
      </c>
      <c r="BA46" t="s">
        <v>61</v>
      </c>
      <c r="BB46" t="s">
        <v>7</v>
      </c>
    </row>
    <row r="47" ht="101" spans="1:54">
      <c r="A47" t="s">
        <v>197</v>
      </c>
      <c r="B47" t="s">
        <v>55</v>
      </c>
      <c r="C47" t="s">
        <v>56</v>
      </c>
      <c r="D47">
        <v>38</v>
      </c>
      <c r="E47">
        <v>0</v>
      </c>
      <c r="F47">
        <v>33.7</v>
      </c>
      <c r="G47" t="s">
        <v>57</v>
      </c>
      <c r="H47" s="3" t="s">
        <v>198</v>
      </c>
      <c r="I47" s="3" t="s">
        <v>198</v>
      </c>
      <c r="J47">
        <f t="shared" si="12"/>
        <v>1</v>
      </c>
      <c r="K47">
        <f t="shared" si="0"/>
        <v>0</v>
      </c>
      <c r="L47">
        <f t="shared" si="1"/>
        <v>1</v>
      </c>
      <c r="M47">
        <f t="shared" si="2"/>
        <v>0</v>
      </c>
      <c r="N47">
        <f t="shared" si="3"/>
        <v>1</v>
      </c>
      <c r="O47">
        <f t="shared" si="4"/>
        <v>1</v>
      </c>
      <c r="P47">
        <f t="shared" si="5"/>
        <v>0</v>
      </c>
      <c r="Q47">
        <f t="shared" si="6"/>
        <v>0</v>
      </c>
      <c r="R47">
        <v>0</v>
      </c>
      <c r="S47">
        <v>1</v>
      </c>
      <c r="T47">
        <v>0</v>
      </c>
      <c r="U47">
        <v>0</v>
      </c>
      <c r="V47">
        <v>0</v>
      </c>
      <c r="W47">
        <v>0</v>
      </c>
      <c r="X47">
        <v>0</v>
      </c>
      <c r="Y47">
        <v>0</v>
      </c>
      <c r="Z47">
        <v>0</v>
      </c>
      <c r="AA47">
        <v>0</v>
      </c>
      <c r="AB47">
        <v>0</v>
      </c>
      <c r="AC47">
        <v>1</v>
      </c>
      <c r="AD47">
        <v>0</v>
      </c>
      <c r="AE47">
        <v>0</v>
      </c>
      <c r="AF47">
        <v>0</v>
      </c>
      <c r="AG47">
        <v>0</v>
      </c>
      <c r="AH47">
        <v>1</v>
      </c>
      <c r="AI47">
        <v>0</v>
      </c>
      <c r="AJ47">
        <v>0</v>
      </c>
      <c r="AK47">
        <v>0</v>
      </c>
      <c r="AL47">
        <v>1</v>
      </c>
      <c r="AM47">
        <v>0</v>
      </c>
      <c r="AN47">
        <v>0</v>
      </c>
      <c r="AO47">
        <v>0</v>
      </c>
      <c r="AP47">
        <v>0</v>
      </c>
      <c r="AQ47">
        <v>0</v>
      </c>
      <c r="AR47">
        <v>0</v>
      </c>
      <c r="AS47">
        <f t="shared" si="7"/>
        <v>4</v>
      </c>
      <c r="AT47">
        <f t="shared" si="8"/>
        <v>4</v>
      </c>
      <c r="AU47" s="3" t="s">
        <v>199</v>
      </c>
      <c r="AV47">
        <f t="shared" si="9"/>
        <v>1</v>
      </c>
      <c r="AW47">
        <f t="shared" si="10"/>
        <v>0</v>
      </c>
      <c r="AX47">
        <f t="shared" si="11"/>
        <v>0</v>
      </c>
      <c r="AY47">
        <v>2.5</v>
      </c>
      <c r="AZ47" t="s">
        <v>60</v>
      </c>
      <c r="BA47" t="s">
        <v>61</v>
      </c>
      <c r="BB47" t="s">
        <v>7</v>
      </c>
    </row>
    <row r="48" ht="17" spans="1:54">
      <c r="A48" t="s">
        <v>200</v>
      </c>
      <c r="B48" t="s">
        <v>55</v>
      </c>
      <c r="C48" t="s">
        <v>56</v>
      </c>
      <c r="D48">
        <v>37</v>
      </c>
      <c r="E48">
        <v>1</v>
      </c>
      <c r="F48">
        <v>38.1</v>
      </c>
      <c r="G48" t="s">
        <v>57</v>
      </c>
      <c r="H48" s="3" t="s">
        <v>201</v>
      </c>
      <c r="I48" s="3" t="s">
        <v>201</v>
      </c>
      <c r="J48">
        <f t="shared" si="12"/>
        <v>0</v>
      </c>
      <c r="K48">
        <f t="shared" si="0"/>
        <v>0</v>
      </c>
      <c r="L48">
        <f t="shared" si="1"/>
        <v>0</v>
      </c>
      <c r="M48">
        <f t="shared" si="2"/>
        <v>0</v>
      </c>
      <c r="N48">
        <f t="shared" si="3"/>
        <v>1</v>
      </c>
      <c r="O48">
        <f t="shared" si="4"/>
        <v>0</v>
      </c>
      <c r="P48">
        <f t="shared" si="5"/>
        <v>0</v>
      </c>
      <c r="Q48">
        <f t="shared" si="6"/>
        <v>0</v>
      </c>
      <c r="R48">
        <v>0</v>
      </c>
      <c r="S48">
        <v>0</v>
      </c>
      <c r="T48">
        <v>0</v>
      </c>
      <c r="U48">
        <v>0</v>
      </c>
      <c r="V48">
        <v>0</v>
      </c>
      <c r="W48">
        <v>0</v>
      </c>
      <c r="X48">
        <v>0</v>
      </c>
      <c r="Y48">
        <v>0</v>
      </c>
      <c r="Z48">
        <v>0</v>
      </c>
      <c r="AA48">
        <v>0</v>
      </c>
      <c r="AB48">
        <v>0</v>
      </c>
      <c r="AC48">
        <v>0</v>
      </c>
      <c r="AD48">
        <v>0</v>
      </c>
      <c r="AE48">
        <v>0</v>
      </c>
      <c r="AF48">
        <v>0</v>
      </c>
      <c r="AG48">
        <v>0</v>
      </c>
      <c r="AH48">
        <v>1</v>
      </c>
      <c r="AI48">
        <v>0</v>
      </c>
      <c r="AJ48">
        <v>0</v>
      </c>
      <c r="AK48">
        <v>0</v>
      </c>
      <c r="AL48">
        <v>0</v>
      </c>
      <c r="AM48">
        <v>0</v>
      </c>
      <c r="AN48">
        <v>0</v>
      </c>
      <c r="AO48">
        <v>0</v>
      </c>
      <c r="AP48">
        <v>0</v>
      </c>
      <c r="AQ48">
        <v>0</v>
      </c>
      <c r="AR48">
        <v>0</v>
      </c>
      <c r="AS48">
        <f t="shared" si="7"/>
        <v>1</v>
      </c>
      <c r="AT48">
        <f t="shared" si="8"/>
        <v>1</v>
      </c>
      <c r="AU48" s="3" t="s">
        <v>129</v>
      </c>
      <c r="AV48">
        <f t="shared" si="9"/>
        <v>1</v>
      </c>
      <c r="AW48">
        <f t="shared" si="10"/>
        <v>0</v>
      </c>
      <c r="AX48">
        <f t="shared" si="11"/>
        <v>0</v>
      </c>
      <c r="AY48">
        <v>4</v>
      </c>
      <c r="AZ48" t="s">
        <v>60</v>
      </c>
      <c r="BA48" t="s">
        <v>61</v>
      </c>
      <c r="BB48" t="s">
        <v>7</v>
      </c>
    </row>
    <row r="49" ht="17" spans="1:54">
      <c r="A49" t="s">
        <v>202</v>
      </c>
      <c r="B49" t="s">
        <v>55</v>
      </c>
      <c r="C49" t="s">
        <v>56</v>
      </c>
      <c r="D49">
        <v>37</v>
      </c>
      <c r="E49">
        <v>2</v>
      </c>
      <c r="F49">
        <v>65.4</v>
      </c>
      <c r="G49" t="s">
        <v>57</v>
      </c>
      <c r="H49" s="3" t="s">
        <v>203</v>
      </c>
      <c r="I49" s="3" t="s">
        <v>203</v>
      </c>
      <c r="J49">
        <f t="shared" si="12"/>
        <v>1</v>
      </c>
      <c r="K49">
        <f t="shared" si="0"/>
        <v>0</v>
      </c>
      <c r="L49">
        <f t="shared" si="1"/>
        <v>0</v>
      </c>
      <c r="M49">
        <f t="shared" si="2"/>
        <v>0</v>
      </c>
      <c r="N49">
        <f t="shared" si="3"/>
        <v>1</v>
      </c>
      <c r="O49">
        <f t="shared" si="4"/>
        <v>0</v>
      </c>
      <c r="P49">
        <f t="shared" si="5"/>
        <v>0</v>
      </c>
      <c r="Q49">
        <f t="shared" si="6"/>
        <v>1</v>
      </c>
      <c r="R49">
        <v>1</v>
      </c>
      <c r="S49">
        <v>0</v>
      </c>
      <c r="T49">
        <v>0</v>
      </c>
      <c r="U49">
        <v>0</v>
      </c>
      <c r="V49">
        <v>0</v>
      </c>
      <c r="W49">
        <v>0</v>
      </c>
      <c r="X49">
        <v>0</v>
      </c>
      <c r="Y49">
        <v>0</v>
      </c>
      <c r="Z49">
        <v>0</v>
      </c>
      <c r="AA49">
        <v>0</v>
      </c>
      <c r="AB49">
        <v>0</v>
      </c>
      <c r="AC49">
        <v>0</v>
      </c>
      <c r="AD49">
        <v>0</v>
      </c>
      <c r="AE49">
        <v>0</v>
      </c>
      <c r="AF49">
        <v>0</v>
      </c>
      <c r="AG49">
        <v>0</v>
      </c>
      <c r="AH49">
        <v>1</v>
      </c>
      <c r="AI49">
        <v>0</v>
      </c>
      <c r="AJ49">
        <v>0</v>
      </c>
      <c r="AK49">
        <v>0</v>
      </c>
      <c r="AL49">
        <v>0</v>
      </c>
      <c r="AM49">
        <v>0</v>
      </c>
      <c r="AN49">
        <v>0</v>
      </c>
      <c r="AO49">
        <v>0</v>
      </c>
      <c r="AP49">
        <v>0</v>
      </c>
      <c r="AQ49">
        <v>0</v>
      </c>
      <c r="AR49">
        <v>1</v>
      </c>
      <c r="AS49">
        <f t="shared" si="7"/>
        <v>3</v>
      </c>
      <c r="AT49">
        <f t="shared" si="8"/>
        <v>3</v>
      </c>
      <c r="AU49" s="3" t="s">
        <v>204</v>
      </c>
      <c r="AV49">
        <f t="shared" si="9"/>
        <v>1</v>
      </c>
      <c r="AW49">
        <f t="shared" si="10"/>
        <v>0</v>
      </c>
      <c r="AX49">
        <f t="shared" si="11"/>
        <v>0</v>
      </c>
      <c r="AY49" s="1">
        <v>-2</v>
      </c>
      <c r="AZ49" s="1" t="s">
        <v>133</v>
      </c>
      <c r="BA49" s="1" t="s">
        <v>134</v>
      </c>
      <c r="BB49" s="1" t="s">
        <v>7</v>
      </c>
    </row>
    <row r="50" ht="118" spans="1:54">
      <c r="A50" t="s">
        <v>205</v>
      </c>
      <c r="B50" t="s">
        <v>55</v>
      </c>
      <c r="C50" t="s">
        <v>56</v>
      </c>
      <c r="D50">
        <v>35</v>
      </c>
      <c r="E50">
        <v>1</v>
      </c>
      <c r="F50">
        <v>39.9</v>
      </c>
      <c r="G50" t="s">
        <v>57</v>
      </c>
      <c r="H50" s="3" t="s">
        <v>206</v>
      </c>
      <c r="I50" s="3" t="s">
        <v>206</v>
      </c>
      <c r="J50">
        <f t="shared" si="12"/>
        <v>1</v>
      </c>
      <c r="K50">
        <f t="shared" si="0"/>
        <v>1</v>
      </c>
      <c r="L50">
        <f t="shared" si="1"/>
        <v>1</v>
      </c>
      <c r="M50">
        <f t="shared" si="2"/>
        <v>1</v>
      </c>
      <c r="N50">
        <f t="shared" si="3"/>
        <v>1</v>
      </c>
      <c r="O50">
        <f t="shared" si="4"/>
        <v>1</v>
      </c>
      <c r="P50">
        <f t="shared" si="5"/>
        <v>0</v>
      </c>
      <c r="Q50">
        <f t="shared" si="6"/>
        <v>0</v>
      </c>
      <c r="R50">
        <v>1</v>
      </c>
      <c r="S50">
        <v>0</v>
      </c>
      <c r="T50">
        <v>0</v>
      </c>
      <c r="U50">
        <v>0</v>
      </c>
      <c r="V50">
        <v>1</v>
      </c>
      <c r="W50">
        <v>1</v>
      </c>
      <c r="X50">
        <v>0</v>
      </c>
      <c r="Y50">
        <v>0</v>
      </c>
      <c r="Z50">
        <v>0</v>
      </c>
      <c r="AA50">
        <v>0</v>
      </c>
      <c r="AB50">
        <v>0</v>
      </c>
      <c r="AC50">
        <v>1</v>
      </c>
      <c r="AD50">
        <v>1</v>
      </c>
      <c r="AE50">
        <v>0</v>
      </c>
      <c r="AF50">
        <v>0</v>
      </c>
      <c r="AG50">
        <v>0</v>
      </c>
      <c r="AH50">
        <v>1</v>
      </c>
      <c r="AI50">
        <v>1</v>
      </c>
      <c r="AJ50">
        <v>0</v>
      </c>
      <c r="AK50">
        <v>0</v>
      </c>
      <c r="AL50">
        <v>0</v>
      </c>
      <c r="AM50">
        <v>0</v>
      </c>
      <c r="AN50">
        <v>0</v>
      </c>
      <c r="AO50">
        <v>0</v>
      </c>
      <c r="AP50">
        <v>0</v>
      </c>
      <c r="AQ50">
        <v>0</v>
      </c>
      <c r="AR50">
        <v>0</v>
      </c>
      <c r="AS50">
        <f t="shared" si="7"/>
        <v>6</v>
      </c>
      <c r="AT50">
        <f t="shared" si="8"/>
        <v>7</v>
      </c>
      <c r="AU50" s="3" t="s">
        <v>207</v>
      </c>
      <c r="AV50">
        <f t="shared" si="9"/>
        <v>1</v>
      </c>
      <c r="AW50">
        <f t="shared" si="10"/>
        <v>0</v>
      </c>
      <c r="AX50">
        <f t="shared" si="11"/>
        <v>0</v>
      </c>
      <c r="AY50">
        <v>4.5</v>
      </c>
      <c r="AZ50" t="s">
        <v>60</v>
      </c>
      <c r="BA50" t="s">
        <v>61</v>
      </c>
      <c r="BB50" t="s">
        <v>7</v>
      </c>
    </row>
    <row r="51" ht="51" spans="1:54">
      <c r="A51" t="s">
        <v>208</v>
      </c>
      <c r="B51" t="s">
        <v>55</v>
      </c>
      <c r="C51" t="s">
        <v>56</v>
      </c>
      <c r="D51">
        <v>35</v>
      </c>
      <c r="E51">
        <v>1</v>
      </c>
      <c r="F51">
        <v>36.2</v>
      </c>
      <c r="G51" t="s">
        <v>57</v>
      </c>
      <c r="H51" s="3" t="s">
        <v>209</v>
      </c>
      <c r="I51" s="3" t="s">
        <v>209</v>
      </c>
      <c r="J51">
        <f t="shared" si="12"/>
        <v>1</v>
      </c>
      <c r="K51">
        <f t="shared" si="0"/>
        <v>1</v>
      </c>
      <c r="L51">
        <f t="shared" si="1"/>
        <v>0</v>
      </c>
      <c r="M51">
        <f t="shared" si="2"/>
        <v>0</v>
      </c>
      <c r="N51">
        <f t="shared" si="3"/>
        <v>0</v>
      </c>
      <c r="O51">
        <f t="shared" si="4"/>
        <v>0</v>
      </c>
      <c r="P51">
        <f t="shared" si="5"/>
        <v>0</v>
      </c>
      <c r="Q51">
        <f t="shared" si="6"/>
        <v>1</v>
      </c>
      <c r="R51">
        <v>1</v>
      </c>
      <c r="S51">
        <v>0</v>
      </c>
      <c r="T51">
        <v>0</v>
      </c>
      <c r="U51">
        <v>1</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1</v>
      </c>
      <c r="AS51">
        <f t="shared" si="7"/>
        <v>3</v>
      </c>
      <c r="AT51">
        <f t="shared" si="8"/>
        <v>3</v>
      </c>
      <c r="AU51" s="3" t="s">
        <v>210</v>
      </c>
      <c r="AV51">
        <f t="shared" si="9"/>
        <v>1</v>
      </c>
      <c r="AW51">
        <f t="shared" si="10"/>
        <v>0</v>
      </c>
      <c r="AX51">
        <f t="shared" si="11"/>
        <v>0</v>
      </c>
      <c r="AY51">
        <v>0</v>
      </c>
      <c r="AZ51" t="s">
        <v>147</v>
      </c>
      <c r="BA51" t="s">
        <v>148</v>
      </c>
      <c r="BB51" t="s">
        <v>7</v>
      </c>
    </row>
    <row r="52" ht="17" spans="1:54">
      <c r="A52" t="s">
        <v>211</v>
      </c>
      <c r="B52" t="s">
        <v>55</v>
      </c>
      <c r="C52" t="s">
        <v>56</v>
      </c>
      <c r="D52">
        <v>34</v>
      </c>
      <c r="E52">
        <v>27</v>
      </c>
      <c r="F52">
        <v>394.9</v>
      </c>
      <c r="G52" t="s">
        <v>57</v>
      </c>
      <c r="H52" s="3" t="s">
        <v>212</v>
      </c>
      <c r="I52" s="3" t="s">
        <v>212</v>
      </c>
      <c r="J52">
        <f t="shared" si="12"/>
        <v>0</v>
      </c>
      <c r="K52">
        <f t="shared" si="0"/>
        <v>0</v>
      </c>
      <c r="L52">
        <f t="shared" si="1"/>
        <v>0</v>
      </c>
      <c r="M52">
        <f t="shared" si="2"/>
        <v>0</v>
      </c>
      <c r="N52">
        <f t="shared" si="3"/>
        <v>0</v>
      </c>
      <c r="O52">
        <f t="shared" si="4"/>
        <v>0</v>
      </c>
      <c r="P52">
        <f t="shared" si="5"/>
        <v>0</v>
      </c>
      <c r="Q52">
        <f t="shared" si="6"/>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f t="shared" si="7"/>
        <v>0</v>
      </c>
      <c r="AT52">
        <f t="shared" si="8"/>
        <v>0</v>
      </c>
      <c r="AU52" s="3" t="s">
        <v>118</v>
      </c>
      <c r="AV52">
        <f t="shared" si="9"/>
        <v>0</v>
      </c>
      <c r="AW52">
        <f t="shared" si="10"/>
        <v>1</v>
      </c>
      <c r="AX52">
        <f t="shared" si="11"/>
        <v>0</v>
      </c>
      <c r="AY52">
        <v>1</v>
      </c>
      <c r="AZ52" t="s">
        <v>60</v>
      </c>
      <c r="BA52" t="s">
        <v>61</v>
      </c>
      <c r="BB52" t="s">
        <v>7</v>
      </c>
    </row>
    <row r="53" ht="17" spans="1:54">
      <c r="A53" t="s">
        <v>213</v>
      </c>
      <c r="B53" t="s">
        <v>55</v>
      </c>
      <c r="C53" t="s">
        <v>56</v>
      </c>
      <c r="D53">
        <v>34</v>
      </c>
      <c r="E53">
        <v>4</v>
      </c>
      <c r="F53">
        <v>61.4</v>
      </c>
      <c r="G53" t="s">
        <v>57</v>
      </c>
      <c r="H53" s="3" t="s">
        <v>214</v>
      </c>
      <c r="I53" s="3" t="s">
        <v>214</v>
      </c>
      <c r="J53">
        <f t="shared" si="12"/>
        <v>0</v>
      </c>
      <c r="K53">
        <f t="shared" si="0"/>
        <v>0</v>
      </c>
      <c r="L53">
        <f t="shared" si="1"/>
        <v>0</v>
      </c>
      <c r="M53">
        <f t="shared" si="2"/>
        <v>0</v>
      </c>
      <c r="N53">
        <f t="shared" si="3"/>
        <v>0</v>
      </c>
      <c r="O53">
        <f t="shared" si="4"/>
        <v>0</v>
      </c>
      <c r="P53">
        <f t="shared" si="5"/>
        <v>0</v>
      </c>
      <c r="Q53">
        <f t="shared" si="6"/>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f t="shared" si="7"/>
        <v>0</v>
      </c>
      <c r="AT53">
        <f t="shared" si="8"/>
        <v>0</v>
      </c>
      <c r="AU53" s="3" t="s">
        <v>118</v>
      </c>
      <c r="AV53">
        <f t="shared" si="9"/>
        <v>0</v>
      </c>
      <c r="AW53">
        <f t="shared" si="10"/>
        <v>1</v>
      </c>
      <c r="AX53">
        <f t="shared" si="11"/>
        <v>0</v>
      </c>
      <c r="AY53">
        <v>0</v>
      </c>
      <c r="AZ53" t="s">
        <v>147</v>
      </c>
      <c r="BA53" t="s">
        <v>148</v>
      </c>
      <c r="BB53" t="s">
        <v>7</v>
      </c>
    </row>
    <row r="54" ht="34" spans="1:54">
      <c r="A54" t="s">
        <v>215</v>
      </c>
      <c r="B54" t="s">
        <v>55</v>
      </c>
      <c r="C54" t="s">
        <v>56</v>
      </c>
      <c r="D54">
        <v>34</v>
      </c>
      <c r="E54">
        <v>2</v>
      </c>
      <c r="F54">
        <v>114.7</v>
      </c>
      <c r="G54" t="s">
        <v>57</v>
      </c>
      <c r="H54" s="3" t="s">
        <v>216</v>
      </c>
      <c r="I54" s="3" t="s">
        <v>216</v>
      </c>
      <c r="J54">
        <f t="shared" si="12"/>
        <v>0</v>
      </c>
      <c r="K54">
        <f t="shared" si="0"/>
        <v>0</v>
      </c>
      <c r="L54">
        <f t="shared" si="1"/>
        <v>0</v>
      </c>
      <c r="M54">
        <f t="shared" si="2"/>
        <v>0</v>
      </c>
      <c r="N54">
        <f t="shared" si="3"/>
        <v>0</v>
      </c>
      <c r="O54">
        <f t="shared" si="4"/>
        <v>0</v>
      </c>
      <c r="P54">
        <f t="shared" si="5"/>
        <v>0</v>
      </c>
      <c r="Q54">
        <f t="shared" si="6"/>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f t="shared" si="7"/>
        <v>0</v>
      </c>
      <c r="AT54">
        <f t="shared" si="8"/>
        <v>0</v>
      </c>
      <c r="AU54" s="3" t="s">
        <v>118</v>
      </c>
      <c r="AV54">
        <f t="shared" si="9"/>
        <v>0</v>
      </c>
      <c r="AW54">
        <f t="shared" si="10"/>
        <v>1</v>
      </c>
      <c r="AX54">
        <f t="shared" si="11"/>
        <v>0</v>
      </c>
      <c r="AY54">
        <v>0.5</v>
      </c>
      <c r="AZ54" t="s">
        <v>60</v>
      </c>
      <c r="BA54" t="s">
        <v>61</v>
      </c>
      <c r="BB54" t="s">
        <v>7</v>
      </c>
    </row>
    <row r="55" ht="409.5" spans="1:54">
      <c r="A55" t="s">
        <v>217</v>
      </c>
      <c r="B55" t="s">
        <v>55</v>
      </c>
      <c r="C55" t="s">
        <v>56</v>
      </c>
      <c r="D55">
        <v>14</v>
      </c>
      <c r="E55">
        <v>0</v>
      </c>
      <c r="F55" t="s">
        <v>218</v>
      </c>
      <c r="G55" t="s">
        <v>219</v>
      </c>
      <c r="H55" s="3" t="s">
        <v>220</v>
      </c>
      <c r="I55" s="3" t="s">
        <v>220</v>
      </c>
      <c r="J55">
        <f t="shared" si="12"/>
        <v>0</v>
      </c>
      <c r="K55">
        <f t="shared" si="0"/>
        <v>1</v>
      </c>
      <c r="L55">
        <f t="shared" si="1"/>
        <v>1</v>
      </c>
      <c r="M55">
        <f t="shared" si="2"/>
        <v>0</v>
      </c>
      <c r="N55">
        <f t="shared" si="3"/>
        <v>1</v>
      </c>
      <c r="O55">
        <f t="shared" si="4"/>
        <v>1</v>
      </c>
      <c r="P55">
        <f t="shared" si="5"/>
        <v>1</v>
      </c>
      <c r="Q55">
        <f t="shared" si="6"/>
        <v>0</v>
      </c>
      <c r="R55">
        <v>0</v>
      </c>
      <c r="S55">
        <v>0</v>
      </c>
      <c r="T55">
        <v>0</v>
      </c>
      <c r="U55">
        <v>0</v>
      </c>
      <c r="V55">
        <v>1</v>
      </c>
      <c r="W55">
        <v>0</v>
      </c>
      <c r="X55">
        <v>1</v>
      </c>
      <c r="Y55">
        <v>0</v>
      </c>
      <c r="Z55">
        <v>1</v>
      </c>
      <c r="AA55">
        <v>0</v>
      </c>
      <c r="AB55">
        <v>1</v>
      </c>
      <c r="AC55">
        <v>0</v>
      </c>
      <c r="AD55">
        <v>0</v>
      </c>
      <c r="AE55">
        <v>0</v>
      </c>
      <c r="AF55">
        <v>0</v>
      </c>
      <c r="AG55">
        <v>0</v>
      </c>
      <c r="AH55">
        <v>1</v>
      </c>
      <c r="AI55">
        <v>1</v>
      </c>
      <c r="AJ55">
        <v>0</v>
      </c>
      <c r="AK55">
        <v>0</v>
      </c>
      <c r="AL55">
        <v>0</v>
      </c>
      <c r="AM55">
        <v>0</v>
      </c>
      <c r="AN55">
        <v>1</v>
      </c>
      <c r="AO55">
        <v>0</v>
      </c>
      <c r="AP55">
        <v>0</v>
      </c>
      <c r="AQ55">
        <v>1</v>
      </c>
      <c r="AR55">
        <v>0</v>
      </c>
      <c r="AS55">
        <f t="shared" si="7"/>
        <v>5</v>
      </c>
      <c r="AT55">
        <f t="shared" si="8"/>
        <v>8</v>
      </c>
      <c r="AU55" s="3" t="s">
        <v>221</v>
      </c>
      <c r="AV55">
        <f t="shared" si="9"/>
        <v>1</v>
      </c>
      <c r="AW55">
        <f t="shared" si="10"/>
        <v>0</v>
      </c>
      <c r="AX55">
        <f t="shared" si="11"/>
        <v>1</v>
      </c>
      <c r="AY55">
        <v>12</v>
      </c>
      <c r="AZ55" t="s">
        <v>60</v>
      </c>
      <c r="BA55" t="s">
        <v>61</v>
      </c>
      <c r="BB55" t="s">
        <v>7</v>
      </c>
    </row>
    <row r="56" ht="135" spans="1:54">
      <c r="A56" t="s">
        <v>222</v>
      </c>
      <c r="B56" t="s">
        <v>55</v>
      </c>
      <c r="C56" t="s">
        <v>56</v>
      </c>
      <c r="D56">
        <v>31</v>
      </c>
      <c r="E56">
        <v>8</v>
      </c>
      <c r="F56">
        <v>50.1</v>
      </c>
      <c r="G56" t="s">
        <v>57</v>
      </c>
      <c r="H56" s="3" t="s">
        <v>223</v>
      </c>
      <c r="I56" s="3" t="s">
        <v>223</v>
      </c>
      <c r="J56">
        <f t="shared" si="12"/>
        <v>0</v>
      </c>
      <c r="K56">
        <f t="shared" si="0"/>
        <v>0</v>
      </c>
      <c r="L56">
        <f t="shared" si="1"/>
        <v>0</v>
      </c>
      <c r="M56">
        <f t="shared" si="2"/>
        <v>0</v>
      </c>
      <c r="N56">
        <f t="shared" si="3"/>
        <v>1</v>
      </c>
      <c r="O56">
        <f t="shared" si="4"/>
        <v>1</v>
      </c>
      <c r="P56">
        <f t="shared" si="5"/>
        <v>0</v>
      </c>
      <c r="Q56">
        <f t="shared" si="6"/>
        <v>0</v>
      </c>
      <c r="R56">
        <v>0</v>
      </c>
      <c r="S56">
        <v>0</v>
      </c>
      <c r="T56">
        <v>0</v>
      </c>
      <c r="U56">
        <v>0</v>
      </c>
      <c r="V56">
        <v>0</v>
      </c>
      <c r="W56">
        <v>0</v>
      </c>
      <c r="X56">
        <v>0</v>
      </c>
      <c r="Y56">
        <v>0</v>
      </c>
      <c r="Z56">
        <v>0</v>
      </c>
      <c r="AA56">
        <v>0</v>
      </c>
      <c r="AB56">
        <v>0</v>
      </c>
      <c r="AC56">
        <v>0</v>
      </c>
      <c r="AD56">
        <v>0</v>
      </c>
      <c r="AE56">
        <v>0</v>
      </c>
      <c r="AF56">
        <v>0</v>
      </c>
      <c r="AG56">
        <v>0</v>
      </c>
      <c r="AH56">
        <v>1</v>
      </c>
      <c r="AI56">
        <v>1</v>
      </c>
      <c r="AJ56">
        <v>0</v>
      </c>
      <c r="AK56">
        <v>0</v>
      </c>
      <c r="AL56">
        <v>1</v>
      </c>
      <c r="AM56">
        <v>0</v>
      </c>
      <c r="AN56">
        <v>0</v>
      </c>
      <c r="AO56">
        <v>0</v>
      </c>
      <c r="AP56">
        <v>0</v>
      </c>
      <c r="AQ56">
        <v>0</v>
      </c>
      <c r="AR56">
        <v>0</v>
      </c>
      <c r="AS56">
        <f t="shared" si="7"/>
        <v>2</v>
      </c>
      <c r="AT56">
        <f t="shared" si="8"/>
        <v>3</v>
      </c>
      <c r="AU56" s="3" t="s">
        <v>224</v>
      </c>
      <c r="AV56">
        <f t="shared" si="9"/>
        <v>1</v>
      </c>
      <c r="AW56">
        <f t="shared" si="10"/>
        <v>0</v>
      </c>
      <c r="AX56">
        <f t="shared" si="11"/>
        <v>0</v>
      </c>
      <c r="AY56">
        <v>-4.5</v>
      </c>
      <c r="AZ56" t="s">
        <v>133</v>
      </c>
      <c r="BA56" t="s">
        <v>134</v>
      </c>
      <c r="BB56" t="s">
        <v>7</v>
      </c>
    </row>
    <row r="57" ht="135" spans="1:54">
      <c r="A57" t="s">
        <v>225</v>
      </c>
      <c r="B57" t="s">
        <v>55</v>
      </c>
      <c r="C57" t="s">
        <v>56</v>
      </c>
      <c r="D57">
        <v>30</v>
      </c>
      <c r="E57">
        <v>1</v>
      </c>
      <c r="F57">
        <v>63.1</v>
      </c>
      <c r="G57" t="s">
        <v>57</v>
      </c>
      <c r="H57" s="3" t="s">
        <v>226</v>
      </c>
      <c r="I57" s="3" t="s">
        <v>226</v>
      </c>
      <c r="J57">
        <f t="shared" si="12"/>
        <v>0</v>
      </c>
      <c r="K57">
        <f t="shared" si="0"/>
        <v>1</v>
      </c>
      <c r="L57">
        <f t="shared" si="1"/>
        <v>1</v>
      </c>
      <c r="M57">
        <f t="shared" si="2"/>
        <v>1</v>
      </c>
      <c r="N57">
        <f t="shared" si="3"/>
        <v>1</v>
      </c>
      <c r="O57">
        <f t="shared" si="4"/>
        <v>0</v>
      </c>
      <c r="P57">
        <f t="shared" si="5"/>
        <v>1</v>
      </c>
      <c r="Q57">
        <f t="shared" si="6"/>
        <v>0</v>
      </c>
      <c r="R57">
        <v>0</v>
      </c>
      <c r="S57">
        <v>0</v>
      </c>
      <c r="T57">
        <v>0</v>
      </c>
      <c r="U57">
        <v>1</v>
      </c>
      <c r="V57">
        <v>1</v>
      </c>
      <c r="W57">
        <v>1</v>
      </c>
      <c r="X57">
        <v>1</v>
      </c>
      <c r="Y57">
        <v>0</v>
      </c>
      <c r="Z57">
        <v>0</v>
      </c>
      <c r="AA57">
        <v>1</v>
      </c>
      <c r="AB57">
        <v>1</v>
      </c>
      <c r="AC57">
        <v>0</v>
      </c>
      <c r="AD57">
        <v>1</v>
      </c>
      <c r="AE57">
        <v>1</v>
      </c>
      <c r="AF57">
        <v>1</v>
      </c>
      <c r="AG57">
        <v>0</v>
      </c>
      <c r="AH57">
        <v>1</v>
      </c>
      <c r="AI57">
        <v>0</v>
      </c>
      <c r="AJ57">
        <v>0</v>
      </c>
      <c r="AK57">
        <v>0</v>
      </c>
      <c r="AL57">
        <v>0</v>
      </c>
      <c r="AM57">
        <v>0</v>
      </c>
      <c r="AN57">
        <v>0</v>
      </c>
      <c r="AO57">
        <v>0</v>
      </c>
      <c r="AP57">
        <v>1</v>
      </c>
      <c r="AQ57">
        <v>0</v>
      </c>
      <c r="AR57">
        <v>0</v>
      </c>
      <c r="AS57">
        <f t="shared" si="7"/>
        <v>5</v>
      </c>
      <c r="AT57">
        <f t="shared" si="8"/>
        <v>11</v>
      </c>
      <c r="AU57" s="3" t="s">
        <v>227</v>
      </c>
      <c r="AV57">
        <f t="shared" si="9"/>
        <v>1</v>
      </c>
      <c r="AW57">
        <f t="shared" si="10"/>
        <v>0</v>
      </c>
      <c r="AX57">
        <f t="shared" si="11"/>
        <v>1</v>
      </c>
      <c r="AY57">
        <v>3</v>
      </c>
      <c r="AZ57" t="s">
        <v>60</v>
      </c>
      <c r="BA57" t="s">
        <v>61</v>
      </c>
      <c r="BB57" t="s">
        <v>7</v>
      </c>
    </row>
    <row r="58" ht="34" spans="1:54">
      <c r="A58" t="s">
        <v>228</v>
      </c>
      <c r="B58" t="s">
        <v>55</v>
      </c>
      <c r="C58" t="s">
        <v>56</v>
      </c>
      <c r="D58">
        <v>29</v>
      </c>
      <c r="E58">
        <v>0</v>
      </c>
      <c r="F58">
        <v>98.8</v>
      </c>
      <c r="G58" t="s">
        <v>57</v>
      </c>
      <c r="H58" s="3" t="s">
        <v>229</v>
      </c>
      <c r="I58" s="3" t="s">
        <v>229</v>
      </c>
      <c r="J58">
        <f t="shared" si="12"/>
        <v>0</v>
      </c>
      <c r="K58">
        <f t="shared" si="0"/>
        <v>0</v>
      </c>
      <c r="L58">
        <f t="shared" si="1"/>
        <v>0</v>
      </c>
      <c r="M58">
        <f t="shared" si="2"/>
        <v>0</v>
      </c>
      <c r="N58">
        <f t="shared" si="3"/>
        <v>1</v>
      </c>
      <c r="O58">
        <f t="shared" si="4"/>
        <v>0</v>
      </c>
      <c r="P58">
        <f t="shared" si="5"/>
        <v>0</v>
      </c>
      <c r="Q58">
        <f t="shared" si="6"/>
        <v>0</v>
      </c>
      <c r="R58">
        <v>0</v>
      </c>
      <c r="S58">
        <v>0</v>
      </c>
      <c r="T58">
        <v>0</v>
      </c>
      <c r="U58">
        <v>0</v>
      </c>
      <c r="V58">
        <v>0</v>
      </c>
      <c r="W58">
        <v>0</v>
      </c>
      <c r="X58">
        <v>0</v>
      </c>
      <c r="Y58">
        <v>0</v>
      </c>
      <c r="Z58">
        <v>0</v>
      </c>
      <c r="AA58">
        <v>0</v>
      </c>
      <c r="AB58">
        <v>0</v>
      </c>
      <c r="AC58">
        <v>0</v>
      </c>
      <c r="AD58">
        <v>0</v>
      </c>
      <c r="AE58">
        <v>0</v>
      </c>
      <c r="AF58">
        <v>0</v>
      </c>
      <c r="AG58">
        <v>0</v>
      </c>
      <c r="AH58">
        <v>1</v>
      </c>
      <c r="AI58">
        <v>0</v>
      </c>
      <c r="AJ58">
        <v>0</v>
      </c>
      <c r="AK58">
        <v>0</v>
      </c>
      <c r="AL58">
        <v>0</v>
      </c>
      <c r="AM58">
        <v>0</v>
      </c>
      <c r="AN58">
        <v>0</v>
      </c>
      <c r="AO58">
        <v>0</v>
      </c>
      <c r="AP58">
        <v>0</v>
      </c>
      <c r="AQ58">
        <v>0</v>
      </c>
      <c r="AR58">
        <v>0</v>
      </c>
      <c r="AS58">
        <f t="shared" si="7"/>
        <v>1</v>
      </c>
      <c r="AT58">
        <f t="shared" si="8"/>
        <v>1</v>
      </c>
      <c r="AU58" s="3" t="s">
        <v>129</v>
      </c>
      <c r="AV58">
        <f t="shared" si="9"/>
        <v>1</v>
      </c>
      <c r="AW58">
        <f t="shared" si="10"/>
        <v>0</v>
      </c>
      <c r="AX58">
        <f t="shared" si="11"/>
        <v>0</v>
      </c>
      <c r="AY58">
        <v>5</v>
      </c>
      <c r="AZ58" t="s">
        <v>60</v>
      </c>
      <c r="BA58" t="s">
        <v>61</v>
      </c>
      <c r="BB58" t="s">
        <v>7</v>
      </c>
    </row>
    <row r="59" ht="152" spans="1:54">
      <c r="A59" t="s">
        <v>230</v>
      </c>
      <c r="B59" t="s">
        <v>55</v>
      </c>
      <c r="C59" t="s">
        <v>56</v>
      </c>
      <c r="D59">
        <v>28</v>
      </c>
      <c r="E59">
        <v>1</v>
      </c>
      <c r="F59">
        <v>21.9</v>
      </c>
      <c r="G59" t="s">
        <v>57</v>
      </c>
      <c r="H59" s="3" t="s">
        <v>231</v>
      </c>
      <c r="I59" s="3" t="s">
        <v>231</v>
      </c>
      <c r="J59">
        <f t="shared" si="12"/>
        <v>0</v>
      </c>
      <c r="K59">
        <f t="shared" si="0"/>
        <v>1</v>
      </c>
      <c r="L59">
        <f t="shared" si="1"/>
        <v>0</v>
      </c>
      <c r="M59">
        <f t="shared" si="2"/>
        <v>0</v>
      </c>
      <c r="N59">
        <f t="shared" si="3"/>
        <v>0</v>
      </c>
      <c r="O59">
        <f t="shared" si="4"/>
        <v>1</v>
      </c>
      <c r="P59">
        <f t="shared" si="5"/>
        <v>0</v>
      </c>
      <c r="Q59">
        <f t="shared" si="6"/>
        <v>0</v>
      </c>
      <c r="R59">
        <v>0</v>
      </c>
      <c r="S59">
        <v>0</v>
      </c>
      <c r="T59">
        <v>0</v>
      </c>
      <c r="U59">
        <v>0</v>
      </c>
      <c r="V59">
        <v>0</v>
      </c>
      <c r="W59">
        <v>1</v>
      </c>
      <c r="X59">
        <v>0</v>
      </c>
      <c r="Y59">
        <v>0</v>
      </c>
      <c r="Z59">
        <v>0</v>
      </c>
      <c r="AA59">
        <v>0</v>
      </c>
      <c r="AB59">
        <v>0</v>
      </c>
      <c r="AC59">
        <v>0</v>
      </c>
      <c r="AD59">
        <v>0</v>
      </c>
      <c r="AE59">
        <v>0</v>
      </c>
      <c r="AF59">
        <v>0</v>
      </c>
      <c r="AG59">
        <v>0</v>
      </c>
      <c r="AH59">
        <v>0</v>
      </c>
      <c r="AI59">
        <v>1</v>
      </c>
      <c r="AJ59">
        <v>0</v>
      </c>
      <c r="AK59">
        <v>0</v>
      </c>
      <c r="AL59">
        <v>0</v>
      </c>
      <c r="AM59">
        <v>0</v>
      </c>
      <c r="AN59">
        <v>0</v>
      </c>
      <c r="AO59">
        <v>0</v>
      </c>
      <c r="AP59">
        <v>0</v>
      </c>
      <c r="AQ59">
        <v>0</v>
      </c>
      <c r="AR59">
        <v>0</v>
      </c>
      <c r="AS59">
        <f t="shared" si="7"/>
        <v>2</v>
      </c>
      <c r="AT59">
        <f t="shared" si="8"/>
        <v>2</v>
      </c>
      <c r="AU59" s="3" t="s">
        <v>232</v>
      </c>
      <c r="AV59">
        <f t="shared" si="9"/>
        <v>1</v>
      </c>
      <c r="AW59">
        <f t="shared" si="10"/>
        <v>0</v>
      </c>
      <c r="AX59">
        <f t="shared" si="11"/>
        <v>0</v>
      </c>
      <c r="AY59">
        <v>0</v>
      </c>
      <c r="AZ59" t="s">
        <v>147</v>
      </c>
      <c r="BA59" t="s">
        <v>148</v>
      </c>
      <c r="BB59" t="s">
        <v>7</v>
      </c>
    </row>
    <row r="60" ht="17" spans="1:54">
      <c r="A60" t="s">
        <v>233</v>
      </c>
      <c r="B60" t="s">
        <v>55</v>
      </c>
      <c r="C60" t="s">
        <v>56</v>
      </c>
      <c r="D60">
        <v>27</v>
      </c>
      <c r="E60">
        <v>0</v>
      </c>
      <c r="F60">
        <v>63.3</v>
      </c>
      <c r="G60" t="s">
        <v>57</v>
      </c>
      <c r="H60" s="3" t="s">
        <v>234</v>
      </c>
      <c r="I60" s="3" t="s">
        <v>234</v>
      </c>
      <c r="J60">
        <f t="shared" si="12"/>
        <v>0</v>
      </c>
      <c r="K60">
        <f t="shared" si="0"/>
        <v>0</v>
      </c>
      <c r="L60">
        <f t="shared" si="1"/>
        <v>0</v>
      </c>
      <c r="M60">
        <f t="shared" si="2"/>
        <v>0</v>
      </c>
      <c r="N60">
        <f t="shared" si="3"/>
        <v>0</v>
      </c>
      <c r="O60">
        <f t="shared" si="4"/>
        <v>0</v>
      </c>
      <c r="P60">
        <f t="shared" si="5"/>
        <v>0</v>
      </c>
      <c r="Q60">
        <f t="shared" si="6"/>
        <v>1</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1</v>
      </c>
      <c r="AS60">
        <f t="shared" si="7"/>
        <v>1</v>
      </c>
      <c r="AT60">
        <f t="shared" si="8"/>
        <v>1</v>
      </c>
      <c r="AU60" s="3" t="s">
        <v>157</v>
      </c>
      <c r="AV60">
        <f t="shared" si="9"/>
        <v>1</v>
      </c>
      <c r="AW60">
        <f t="shared" si="10"/>
        <v>0</v>
      </c>
      <c r="AX60">
        <f t="shared" si="11"/>
        <v>0</v>
      </c>
      <c r="AY60">
        <v>1</v>
      </c>
      <c r="AZ60" t="s">
        <v>60</v>
      </c>
      <c r="BA60" t="s">
        <v>61</v>
      </c>
      <c r="BB60" t="s">
        <v>7</v>
      </c>
    </row>
    <row r="61" ht="34" spans="1:54">
      <c r="A61" t="s">
        <v>235</v>
      </c>
      <c r="B61" t="s">
        <v>55</v>
      </c>
      <c r="C61" t="s">
        <v>56</v>
      </c>
      <c r="D61">
        <v>26</v>
      </c>
      <c r="E61">
        <v>7</v>
      </c>
      <c r="F61">
        <v>43.6</v>
      </c>
      <c r="G61" t="s">
        <v>57</v>
      </c>
      <c r="H61" s="3" t="s">
        <v>236</v>
      </c>
      <c r="I61" s="3" t="s">
        <v>236</v>
      </c>
      <c r="J61">
        <f t="shared" si="12"/>
        <v>0</v>
      </c>
      <c r="K61">
        <f t="shared" si="0"/>
        <v>0</v>
      </c>
      <c r="L61">
        <f t="shared" si="1"/>
        <v>0</v>
      </c>
      <c r="M61">
        <f t="shared" si="2"/>
        <v>0</v>
      </c>
      <c r="N61">
        <f t="shared" si="3"/>
        <v>0</v>
      </c>
      <c r="O61">
        <f t="shared" si="4"/>
        <v>0</v>
      </c>
      <c r="P61">
        <f t="shared" si="5"/>
        <v>0</v>
      </c>
      <c r="Q61">
        <f t="shared" si="6"/>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f t="shared" si="7"/>
        <v>0</v>
      </c>
      <c r="AT61">
        <f t="shared" si="8"/>
        <v>0</v>
      </c>
      <c r="AU61" s="3" t="s">
        <v>118</v>
      </c>
      <c r="AV61">
        <f t="shared" si="9"/>
        <v>0</v>
      </c>
      <c r="AW61">
        <f t="shared" si="10"/>
        <v>1</v>
      </c>
      <c r="AX61">
        <f t="shared" si="11"/>
        <v>0</v>
      </c>
      <c r="AY61">
        <v>1</v>
      </c>
      <c r="AZ61" t="s">
        <v>60</v>
      </c>
      <c r="BA61" t="s">
        <v>61</v>
      </c>
      <c r="BB61" t="s">
        <v>7</v>
      </c>
    </row>
    <row r="62" ht="17" spans="1:54">
      <c r="A62" t="s">
        <v>237</v>
      </c>
      <c r="B62" t="s">
        <v>55</v>
      </c>
      <c r="C62" t="s">
        <v>56</v>
      </c>
      <c r="D62">
        <v>24</v>
      </c>
      <c r="E62">
        <v>2</v>
      </c>
      <c r="F62">
        <v>47.5</v>
      </c>
      <c r="G62" t="s">
        <v>57</v>
      </c>
      <c r="H62" s="3" t="s">
        <v>238</v>
      </c>
      <c r="I62" s="3" t="s">
        <v>238</v>
      </c>
      <c r="J62">
        <f t="shared" si="12"/>
        <v>0</v>
      </c>
      <c r="K62">
        <f t="shared" si="0"/>
        <v>1</v>
      </c>
      <c r="L62">
        <f t="shared" si="1"/>
        <v>0</v>
      </c>
      <c r="M62">
        <f t="shared" si="2"/>
        <v>0</v>
      </c>
      <c r="N62">
        <f t="shared" si="3"/>
        <v>0</v>
      </c>
      <c r="O62">
        <f t="shared" si="4"/>
        <v>0</v>
      </c>
      <c r="P62">
        <f t="shared" si="5"/>
        <v>0</v>
      </c>
      <c r="Q62">
        <f t="shared" si="6"/>
        <v>0</v>
      </c>
      <c r="R62">
        <v>0</v>
      </c>
      <c r="S62">
        <v>0</v>
      </c>
      <c r="T62">
        <v>0</v>
      </c>
      <c r="U62">
        <v>1</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f t="shared" si="7"/>
        <v>1</v>
      </c>
      <c r="AT62">
        <f t="shared" si="8"/>
        <v>1</v>
      </c>
      <c r="AU62" s="3" t="s">
        <v>123</v>
      </c>
      <c r="AV62">
        <f t="shared" si="9"/>
        <v>1</v>
      </c>
      <c r="AW62">
        <f t="shared" si="10"/>
        <v>0</v>
      </c>
      <c r="AX62">
        <f t="shared" si="11"/>
        <v>0</v>
      </c>
      <c r="AY62">
        <v>2</v>
      </c>
      <c r="AZ62" t="s">
        <v>60</v>
      </c>
      <c r="BA62" t="s">
        <v>61</v>
      </c>
      <c r="BB62" t="s">
        <v>7</v>
      </c>
    </row>
    <row r="63" ht="219" spans="1:54">
      <c r="A63" t="s">
        <v>239</v>
      </c>
      <c r="B63" t="s">
        <v>55</v>
      </c>
      <c r="C63" t="s">
        <v>56</v>
      </c>
      <c r="D63">
        <v>24</v>
      </c>
      <c r="E63">
        <v>0</v>
      </c>
      <c r="F63">
        <v>96.9</v>
      </c>
      <c r="G63" t="s">
        <v>57</v>
      </c>
      <c r="H63" s="3" t="s">
        <v>240</v>
      </c>
      <c r="I63" s="3" t="s">
        <v>240</v>
      </c>
      <c r="J63">
        <f t="shared" si="12"/>
        <v>0</v>
      </c>
      <c r="K63">
        <f t="shared" si="0"/>
        <v>0</v>
      </c>
      <c r="L63">
        <f t="shared" si="1"/>
        <v>0</v>
      </c>
      <c r="M63">
        <f t="shared" si="2"/>
        <v>0</v>
      </c>
      <c r="N63">
        <f t="shared" si="3"/>
        <v>1</v>
      </c>
      <c r="O63">
        <f t="shared" si="4"/>
        <v>1</v>
      </c>
      <c r="P63">
        <f t="shared" si="5"/>
        <v>0</v>
      </c>
      <c r="Q63">
        <f t="shared" si="6"/>
        <v>1</v>
      </c>
      <c r="R63">
        <v>0</v>
      </c>
      <c r="S63">
        <v>0</v>
      </c>
      <c r="T63">
        <v>0</v>
      </c>
      <c r="U63">
        <v>0</v>
      </c>
      <c r="V63">
        <v>0</v>
      </c>
      <c r="W63">
        <v>0</v>
      </c>
      <c r="X63">
        <v>0</v>
      </c>
      <c r="Y63">
        <v>0</v>
      </c>
      <c r="Z63">
        <v>0</v>
      </c>
      <c r="AA63">
        <v>0</v>
      </c>
      <c r="AB63">
        <v>0</v>
      </c>
      <c r="AC63">
        <v>0</v>
      </c>
      <c r="AD63">
        <v>0</v>
      </c>
      <c r="AE63">
        <v>0</v>
      </c>
      <c r="AF63">
        <v>0</v>
      </c>
      <c r="AG63">
        <v>1</v>
      </c>
      <c r="AH63">
        <v>0</v>
      </c>
      <c r="AI63">
        <v>1</v>
      </c>
      <c r="AJ63">
        <v>0</v>
      </c>
      <c r="AK63">
        <v>0</v>
      </c>
      <c r="AL63">
        <v>0</v>
      </c>
      <c r="AM63">
        <v>0</v>
      </c>
      <c r="AN63">
        <v>0</v>
      </c>
      <c r="AO63">
        <v>0</v>
      </c>
      <c r="AP63">
        <v>0</v>
      </c>
      <c r="AQ63">
        <v>0</v>
      </c>
      <c r="AR63">
        <v>1</v>
      </c>
      <c r="AS63">
        <f t="shared" si="7"/>
        <v>3</v>
      </c>
      <c r="AT63">
        <f t="shared" si="8"/>
        <v>3</v>
      </c>
      <c r="AU63" s="3" t="s">
        <v>241</v>
      </c>
      <c r="AV63">
        <f t="shared" si="9"/>
        <v>1</v>
      </c>
      <c r="AW63">
        <f t="shared" si="10"/>
        <v>0</v>
      </c>
      <c r="AX63">
        <f t="shared" si="11"/>
        <v>0</v>
      </c>
      <c r="AY63">
        <v>29</v>
      </c>
      <c r="AZ63" t="s">
        <v>60</v>
      </c>
      <c r="BA63" t="s">
        <v>61</v>
      </c>
      <c r="BB63" t="s">
        <v>7</v>
      </c>
    </row>
    <row r="64" ht="68" spans="1:54">
      <c r="A64" t="s">
        <v>242</v>
      </c>
      <c r="B64" t="s">
        <v>55</v>
      </c>
      <c r="C64" t="s">
        <v>56</v>
      </c>
      <c r="D64">
        <v>23</v>
      </c>
      <c r="E64">
        <v>0</v>
      </c>
      <c r="F64">
        <v>23.5</v>
      </c>
      <c r="G64" t="s">
        <v>57</v>
      </c>
      <c r="H64" s="3" t="s">
        <v>243</v>
      </c>
      <c r="I64" s="3" t="s">
        <v>243</v>
      </c>
      <c r="J64">
        <f t="shared" si="12"/>
        <v>1</v>
      </c>
      <c r="K64">
        <f t="shared" si="0"/>
        <v>1</v>
      </c>
      <c r="L64">
        <f t="shared" si="1"/>
        <v>0</v>
      </c>
      <c r="M64">
        <f t="shared" si="2"/>
        <v>0</v>
      </c>
      <c r="N64">
        <f t="shared" si="3"/>
        <v>0</v>
      </c>
      <c r="O64">
        <f t="shared" si="4"/>
        <v>0</v>
      </c>
      <c r="P64">
        <f t="shared" si="5"/>
        <v>0</v>
      </c>
      <c r="Q64">
        <f t="shared" si="6"/>
        <v>1</v>
      </c>
      <c r="R64">
        <v>1</v>
      </c>
      <c r="S64">
        <v>0</v>
      </c>
      <c r="T64">
        <v>0</v>
      </c>
      <c r="U64">
        <v>0</v>
      </c>
      <c r="V64">
        <v>0</v>
      </c>
      <c r="W64">
        <v>1</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1</v>
      </c>
      <c r="AS64">
        <f t="shared" si="7"/>
        <v>3</v>
      </c>
      <c r="AT64">
        <f t="shared" si="8"/>
        <v>3</v>
      </c>
      <c r="AU64" s="3" t="s">
        <v>244</v>
      </c>
      <c r="AV64">
        <f t="shared" si="9"/>
        <v>1</v>
      </c>
      <c r="AW64">
        <f t="shared" si="10"/>
        <v>0</v>
      </c>
      <c r="AX64">
        <f t="shared" si="11"/>
        <v>0</v>
      </c>
      <c r="AY64">
        <v>5.5</v>
      </c>
      <c r="AZ64" t="s">
        <v>60</v>
      </c>
      <c r="BA64" t="s">
        <v>61</v>
      </c>
      <c r="BB64" t="s">
        <v>7</v>
      </c>
    </row>
    <row r="65" ht="68" spans="1:54">
      <c r="A65" t="s">
        <v>245</v>
      </c>
      <c r="B65" t="s">
        <v>55</v>
      </c>
      <c r="C65" t="s">
        <v>56</v>
      </c>
      <c r="D65">
        <v>23</v>
      </c>
      <c r="E65">
        <v>0</v>
      </c>
      <c r="F65">
        <v>45.2</v>
      </c>
      <c r="G65" t="s">
        <v>57</v>
      </c>
      <c r="H65" s="3" t="s">
        <v>246</v>
      </c>
      <c r="I65" s="3" t="s">
        <v>246</v>
      </c>
      <c r="J65">
        <f t="shared" si="12"/>
        <v>1</v>
      </c>
      <c r="K65">
        <f t="shared" si="0"/>
        <v>1</v>
      </c>
      <c r="L65">
        <f t="shared" si="1"/>
        <v>0</v>
      </c>
      <c r="M65">
        <f t="shared" si="2"/>
        <v>1</v>
      </c>
      <c r="N65">
        <f t="shared" si="3"/>
        <v>0</v>
      </c>
      <c r="O65">
        <f t="shared" si="4"/>
        <v>1</v>
      </c>
      <c r="P65">
        <f t="shared" si="5"/>
        <v>0</v>
      </c>
      <c r="Q65">
        <f t="shared" si="6"/>
        <v>0</v>
      </c>
      <c r="R65">
        <v>0</v>
      </c>
      <c r="S65">
        <v>0</v>
      </c>
      <c r="T65">
        <v>1</v>
      </c>
      <c r="U65">
        <v>0</v>
      </c>
      <c r="V65">
        <v>0</v>
      </c>
      <c r="W65">
        <v>1</v>
      </c>
      <c r="X65">
        <v>0</v>
      </c>
      <c r="Y65">
        <v>0</v>
      </c>
      <c r="Z65">
        <v>0</v>
      </c>
      <c r="AA65">
        <v>0</v>
      </c>
      <c r="AB65">
        <v>0</v>
      </c>
      <c r="AC65">
        <v>0</v>
      </c>
      <c r="AD65">
        <v>1</v>
      </c>
      <c r="AE65">
        <v>0</v>
      </c>
      <c r="AF65">
        <v>0</v>
      </c>
      <c r="AG65">
        <v>0</v>
      </c>
      <c r="AH65">
        <v>0</v>
      </c>
      <c r="AI65">
        <v>1</v>
      </c>
      <c r="AJ65">
        <v>1</v>
      </c>
      <c r="AK65">
        <v>1</v>
      </c>
      <c r="AL65">
        <v>0</v>
      </c>
      <c r="AM65">
        <v>0</v>
      </c>
      <c r="AN65">
        <v>0</v>
      </c>
      <c r="AO65">
        <v>0</v>
      </c>
      <c r="AP65">
        <v>0</v>
      </c>
      <c r="AQ65">
        <v>0</v>
      </c>
      <c r="AR65">
        <v>0</v>
      </c>
      <c r="AS65">
        <f t="shared" si="7"/>
        <v>4</v>
      </c>
      <c r="AT65">
        <f t="shared" si="8"/>
        <v>6</v>
      </c>
      <c r="AU65" s="3" t="s">
        <v>247</v>
      </c>
      <c r="AV65">
        <f t="shared" si="9"/>
        <v>1</v>
      </c>
      <c r="AW65">
        <f t="shared" si="10"/>
        <v>0</v>
      </c>
      <c r="AX65">
        <f t="shared" si="11"/>
        <v>0</v>
      </c>
      <c r="AY65">
        <v>7.5</v>
      </c>
      <c r="AZ65" t="s">
        <v>60</v>
      </c>
      <c r="BA65" t="s">
        <v>61</v>
      </c>
      <c r="BB65" t="s">
        <v>7</v>
      </c>
    </row>
    <row r="66" ht="409.5" spans="1:54">
      <c r="A66" t="s">
        <v>248</v>
      </c>
      <c r="B66" t="s">
        <v>55</v>
      </c>
      <c r="C66" t="s">
        <v>56</v>
      </c>
      <c r="D66">
        <v>2121</v>
      </c>
      <c r="E66">
        <v>55</v>
      </c>
      <c r="F66">
        <v>72.1</v>
      </c>
      <c r="G66" t="s">
        <v>106</v>
      </c>
      <c r="H66" s="3" t="s">
        <v>249</v>
      </c>
      <c r="I66" s="3" t="s">
        <v>249</v>
      </c>
      <c r="J66">
        <f t="shared" ref="J66:J129" si="13">IF(SUM(R66:T66)&gt;0,1,0)</f>
        <v>1</v>
      </c>
      <c r="K66">
        <f t="shared" ref="K66:K129" si="14">IF(SUM(U66:Y66)&gt;0,1,0)</f>
        <v>1</v>
      </c>
      <c r="L66">
        <f t="shared" ref="L66:L129" si="15">IF(SUM(Z66:AC66)&gt;0,1,0)</f>
        <v>1</v>
      </c>
      <c r="M66">
        <f t="shared" ref="M66:M129" si="16">IF(SUM(AD66:AF66)&gt;0,1,0)</f>
        <v>1</v>
      </c>
      <c r="N66">
        <f t="shared" ref="N66:N129" si="17">IF(SUM(AG66:AH66)&gt;0,1,0)</f>
        <v>1</v>
      </c>
      <c r="O66">
        <f t="shared" ref="O66:O129" si="18">IF(SUM(AI66:AL66)&gt;0,1,0)</f>
        <v>1</v>
      </c>
      <c r="P66">
        <f t="shared" ref="P66:P129" si="19">IF(SUM(AM66:AQ66)&gt;0,1,0)</f>
        <v>1</v>
      </c>
      <c r="Q66">
        <f t="shared" ref="Q66:Q129" si="20">IF(AR66&gt;0,1,0)</f>
        <v>0</v>
      </c>
      <c r="R66">
        <v>1</v>
      </c>
      <c r="S66">
        <v>1</v>
      </c>
      <c r="T66">
        <v>1</v>
      </c>
      <c r="U66">
        <v>1</v>
      </c>
      <c r="V66">
        <v>1</v>
      </c>
      <c r="W66">
        <v>1</v>
      </c>
      <c r="X66">
        <v>1</v>
      </c>
      <c r="Y66">
        <v>0</v>
      </c>
      <c r="Z66">
        <v>1</v>
      </c>
      <c r="AA66">
        <v>1</v>
      </c>
      <c r="AB66">
        <v>1</v>
      </c>
      <c r="AC66">
        <v>0</v>
      </c>
      <c r="AD66">
        <v>1</v>
      </c>
      <c r="AE66">
        <v>0</v>
      </c>
      <c r="AF66">
        <v>1</v>
      </c>
      <c r="AG66">
        <v>1</v>
      </c>
      <c r="AH66">
        <v>1</v>
      </c>
      <c r="AI66">
        <v>1</v>
      </c>
      <c r="AJ66">
        <v>1</v>
      </c>
      <c r="AK66">
        <v>0</v>
      </c>
      <c r="AL66">
        <v>0</v>
      </c>
      <c r="AM66">
        <v>0</v>
      </c>
      <c r="AN66">
        <v>0</v>
      </c>
      <c r="AO66">
        <v>0</v>
      </c>
      <c r="AP66">
        <v>1</v>
      </c>
      <c r="AQ66">
        <v>0</v>
      </c>
      <c r="AR66">
        <v>0</v>
      </c>
      <c r="AS66">
        <f t="shared" ref="AS66:AS129" si="21">SUM(J66:Q66)</f>
        <v>7</v>
      </c>
      <c r="AT66">
        <f t="shared" ref="AT66:AT129" si="22">SUM(R66:AR66)</f>
        <v>17</v>
      </c>
      <c r="AU66" s="3" t="s">
        <v>250</v>
      </c>
      <c r="AV66">
        <f t="shared" ref="AV66:AV129" si="23">IF(AT66&gt;0,1,0)</f>
        <v>1</v>
      </c>
      <c r="AW66">
        <f t="shared" ref="AW66:AW129" si="24">IF(AT66=0,1,0)</f>
        <v>0</v>
      </c>
      <c r="AX66">
        <f t="shared" ref="AX66:AX129" si="25">IF(AT66&gt;=8,1,0)</f>
        <v>1</v>
      </c>
      <c r="AY66">
        <v>116.5</v>
      </c>
      <c r="AZ66" t="s">
        <v>60</v>
      </c>
      <c r="BA66" t="s">
        <v>61</v>
      </c>
      <c r="BB66" t="s">
        <v>7</v>
      </c>
    </row>
    <row r="67" ht="409.5" spans="1:54">
      <c r="A67" t="s">
        <v>251</v>
      </c>
      <c r="B67" t="s">
        <v>55</v>
      </c>
      <c r="C67" t="s">
        <v>56</v>
      </c>
      <c r="D67">
        <v>1653</v>
      </c>
      <c r="E67">
        <v>93</v>
      </c>
      <c r="F67">
        <v>64.6</v>
      </c>
      <c r="G67" t="s">
        <v>106</v>
      </c>
      <c r="H67" s="3" t="s">
        <v>252</v>
      </c>
      <c r="I67" s="3" t="s">
        <v>252</v>
      </c>
      <c r="J67">
        <f t="shared" si="13"/>
        <v>0</v>
      </c>
      <c r="K67">
        <f t="shared" si="14"/>
        <v>1</v>
      </c>
      <c r="L67">
        <f t="shared" si="15"/>
        <v>1</v>
      </c>
      <c r="M67">
        <f t="shared" si="16"/>
        <v>0</v>
      </c>
      <c r="N67">
        <f t="shared" si="17"/>
        <v>1</v>
      </c>
      <c r="O67">
        <f t="shared" si="18"/>
        <v>0</v>
      </c>
      <c r="P67">
        <f t="shared" si="19"/>
        <v>0</v>
      </c>
      <c r="Q67">
        <f t="shared" si="20"/>
        <v>0</v>
      </c>
      <c r="R67">
        <v>0</v>
      </c>
      <c r="S67">
        <v>0</v>
      </c>
      <c r="T67">
        <v>0</v>
      </c>
      <c r="U67">
        <v>0</v>
      </c>
      <c r="V67">
        <v>0</v>
      </c>
      <c r="W67">
        <v>0</v>
      </c>
      <c r="X67">
        <v>0</v>
      </c>
      <c r="Y67">
        <v>1</v>
      </c>
      <c r="Z67">
        <v>1</v>
      </c>
      <c r="AA67">
        <v>1</v>
      </c>
      <c r="AB67">
        <v>1</v>
      </c>
      <c r="AC67">
        <v>1</v>
      </c>
      <c r="AD67">
        <v>0</v>
      </c>
      <c r="AE67">
        <v>0</v>
      </c>
      <c r="AF67">
        <v>0</v>
      </c>
      <c r="AG67">
        <v>0</v>
      </c>
      <c r="AH67">
        <v>1</v>
      </c>
      <c r="AI67">
        <v>0</v>
      </c>
      <c r="AJ67">
        <v>0</v>
      </c>
      <c r="AK67">
        <v>0</v>
      </c>
      <c r="AL67">
        <v>0</v>
      </c>
      <c r="AM67">
        <v>0</v>
      </c>
      <c r="AN67">
        <v>0</v>
      </c>
      <c r="AO67">
        <v>0</v>
      </c>
      <c r="AP67">
        <v>0</v>
      </c>
      <c r="AQ67">
        <v>0</v>
      </c>
      <c r="AR67">
        <v>0</v>
      </c>
      <c r="AS67">
        <f t="shared" si="21"/>
        <v>3</v>
      </c>
      <c r="AT67">
        <f t="shared" si="22"/>
        <v>6</v>
      </c>
      <c r="AU67" s="3" t="s">
        <v>253</v>
      </c>
      <c r="AV67">
        <f t="shared" si="23"/>
        <v>1</v>
      </c>
      <c r="AW67">
        <f t="shared" si="24"/>
        <v>0</v>
      </c>
      <c r="AX67">
        <f t="shared" si="25"/>
        <v>0</v>
      </c>
      <c r="AY67">
        <v>6</v>
      </c>
      <c r="AZ67" t="s">
        <v>60</v>
      </c>
      <c r="BA67" t="s">
        <v>61</v>
      </c>
      <c r="BB67" t="s">
        <v>7</v>
      </c>
    </row>
    <row r="68" ht="168" spans="1:54">
      <c r="A68" t="s">
        <v>254</v>
      </c>
      <c r="B68" t="s">
        <v>55</v>
      </c>
      <c r="C68" t="s">
        <v>116</v>
      </c>
      <c r="D68">
        <v>562</v>
      </c>
      <c r="E68">
        <v>48</v>
      </c>
      <c r="F68">
        <v>113</v>
      </c>
      <c r="G68" t="s">
        <v>106</v>
      </c>
      <c r="H68" s="3" t="s">
        <v>255</v>
      </c>
      <c r="I68" s="3" t="s">
        <v>255</v>
      </c>
      <c r="J68">
        <f t="shared" si="13"/>
        <v>0</v>
      </c>
      <c r="K68">
        <f t="shared" si="14"/>
        <v>1</v>
      </c>
      <c r="L68">
        <f t="shared" si="15"/>
        <v>1</v>
      </c>
      <c r="M68">
        <f t="shared" si="16"/>
        <v>0</v>
      </c>
      <c r="N68">
        <f t="shared" si="17"/>
        <v>0</v>
      </c>
      <c r="O68">
        <f t="shared" si="18"/>
        <v>0</v>
      </c>
      <c r="P68">
        <f t="shared" si="19"/>
        <v>0</v>
      </c>
      <c r="Q68">
        <f t="shared" si="20"/>
        <v>0</v>
      </c>
      <c r="R68">
        <v>0</v>
      </c>
      <c r="S68">
        <v>0</v>
      </c>
      <c r="T68">
        <v>0</v>
      </c>
      <c r="U68">
        <v>1</v>
      </c>
      <c r="V68">
        <v>0</v>
      </c>
      <c r="W68">
        <v>0</v>
      </c>
      <c r="X68">
        <v>0</v>
      </c>
      <c r="Y68">
        <v>0</v>
      </c>
      <c r="Z68">
        <v>1</v>
      </c>
      <c r="AA68">
        <v>1</v>
      </c>
      <c r="AB68">
        <v>1</v>
      </c>
      <c r="AC68">
        <v>0</v>
      </c>
      <c r="AD68">
        <v>0</v>
      </c>
      <c r="AE68">
        <v>0</v>
      </c>
      <c r="AF68">
        <v>0</v>
      </c>
      <c r="AG68">
        <v>0</v>
      </c>
      <c r="AH68">
        <v>0</v>
      </c>
      <c r="AI68">
        <v>0</v>
      </c>
      <c r="AJ68">
        <v>0</v>
      </c>
      <c r="AK68">
        <v>0</v>
      </c>
      <c r="AL68">
        <v>0</v>
      </c>
      <c r="AM68">
        <v>0</v>
      </c>
      <c r="AN68">
        <v>0</v>
      </c>
      <c r="AO68">
        <v>0</v>
      </c>
      <c r="AP68">
        <v>0</v>
      </c>
      <c r="AQ68">
        <v>0</v>
      </c>
      <c r="AR68">
        <v>0</v>
      </c>
      <c r="AS68">
        <f t="shared" si="21"/>
        <v>2</v>
      </c>
      <c r="AT68">
        <f t="shared" si="22"/>
        <v>4</v>
      </c>
      <c r="AU68" s="3" t="s">
        <v>256</v>
      </c>
      <c r="AV68">
        <f t="shared" si="23"/>
        <v>1</v>
      </c>
      <c r="AW68">
        <f t="shared" si="24"/>
        <v>0</v>
      </c>
      <c r="AX68">
        <f t="shared" si="25"/>
        <v>0</v>
      </c>
      <c r="AY68">
        <v>-1.5</v>
      </c>
      <c r="AZ68" t="s">
        <v>133</v>
      </c>
      <c r="BA68" t="s">
        <v>134</v>
      </c>
      <c r="BB68" t="s">
        <v>7</v>
      </c>
    </row>
    <row r="69" ht="34" spans="1:54">
      <c r="A69" t="s">
        <v>257</v>
      </c>
      <c r="B69" t="s">
        <v>55</v>
      </c>
      <c r="C69" t="s">
        <v>56</v>
      </c>
      <c r="D69">
        <v>309</v>
      </c>
      <c r="E69">
        <v>7</v>
      </c>
      <c r="F69">
        <v>119.5</v>
      </c>
      <c r="G69" t="s">
        <v>106</v>
      </c>
      <c r="H69" s="3" t="s">
        <v>258</v>
      </c>
      <c r="I69" s="3" t="s">
        <v>258</v>
      </c>
      <c r="J69">
        <f t="shared" si="13"/>
        <v>0</v>
      </c>
      <c r="K69">
        <f t="shared" si="14"/>
        <v>0</v>
      </c>
      <c r="L69">
        <f t="shared" si="15"/>
        <v>0</v>
      </c>
      <c r="M69">
        <f t="shared" si="16"/>
        <v>0</v>
      </c>
      <c r="N69">
        <f t="shared" si="17"/>
        <v>1</v>
      </c>
      <c r="O69">
        <f t="shared" si="18"/>
        <v>0</v>
      </c>
      <c r="P69">
        <f t="shared" si="19"/>
        <v>0</v>
      </c>
      <c r="Q69">
        <f t="shared" si="20"/>
        <v>1</v>
      </c>
      <c r="R69">
        <v>0</v>
      </c>
      <c r="S69">
        <v>0</v>
      </c>
      <c r="T69">
        <v>0</v>
      </c>
      <c r="U69">
        <v>0</v>
      </c>
      <c r="V69">
        <v>0</v>
      </c>
      <c r="W69">
        <v>0</v>
      </c>
      <c r="X69">
        <v>0</v>
      </c>
      <c r="Y69">
        <v>0</v>
      </c>
      <c r="Z69">
        <v>0</v>
      </c>
      <c r="AA69">
        <v>0</v>
      </c>
      <c r="AB69">
        <v>0</v>
      </c>
      <c r="AC69">
        <v>0</v>
      </c>
      <c r="AD69">
        <v>0</v>
      </c>
      <c r="AE69">
        <v>0</v>
      </c>
      <c r="AF69">
        <v>0</v>
      </c>
      <c r="AG69">
        <v>1</v>
      </c>
      <c r="AH69">
        <v>1</v>
      </c>
      <c r="AI69">
        <v>0</v>
      </c>
      <c r="AJ69">
        <v>0</v>
      </c>
      <c r="AK69">
        <v>0</v>
      </c>
      <c r="AL69">
        <v>0</v>
      </c>
      <c r="AM69">
        <v>0</v>
      </c>
      <c r="AN69">
        <v>0</v>
      </c>
      <c r="AO69">
        <v>0</v>
      </c>
      <c r="AP69">
        <v>0</v>
      </c>
      <c r="AQ69">
        <v>0</v>
      </c>
      <c r="AR69">
        <v>1</v>
      </c>
      <c r="AS69">
        <f t="shared" si="21"/>
        <v>2</v>
      </c>
      <c r="AT69">
        <f t="shared" si="22"/>
        <v>3</v>
      </c>
      <c r="AU69" s="3" t="s">
        <v>259</v>
      </c>
      <c r="AV69">
        <f t="shared" si="23"/>
        <v>1</v>
      </c>
      <c r="AW69">
        <f t="shared" si="24"/>
        <v>0</v>
      </c>
      <c r="AX69">
        <f t="shared" si="25"/>
        <v>0</v>
      </c>
      <c r="AY69">
        <v>2</v>
      </c>
      <c r="AZ69" t="s">
        <v>60</v>
      </c>
      <c r="BA69" t="s">
        <v>61</v>
      </c>
      <c r="BB69" t="s">
        <v>7</v>
      </c>
    </row>
    <row r="70" ht="168" spans="1:54">
      <c r="A70" t="s">
        <v>260</v>
      </c>
      <c r="B70" t="s">
        <v>55</v>
      </c>
      <c r="C70" t="s">
        <v>116</v>
      </c>
      <c r="D70">
        <v>236</v>
      </c>
      <c r="E70">
        <v>15</v>
      </c>
      <c r="F70">
        <v>30.3</v>
      </c>
      <c r="G70" t="s">
        <v>106</v>
      </c>
      <c r="H70" s="3" t="s">
        <v>261</v>
      </c>
      <c r="I70" s="3" t="s">
        <v>261</v>
      </c>
      <c r="J70">
        <f t="shared" si="13"/>
        <v>0</v>
      </c>
      <c r="K70">
        <f t="shared" si="14"/>
        <v>1</v>
      </c>
      <c r="L70">
        <f t="shared" si="15"/>
        <v>0</v>
      </c>
      <c r="M70">
        <f t="shared" si="16"/>
        <v>0</v>
      </c>
      <c r="N70">
        <f t="shared" si="17"/>
        <v>1</v>
      </c>
      <c r="O70">
        <f t="shared" si="18"/>
        <v>0</v>
      </c>
      <c r="P70">
        <f t="shared" si="19"/>
        <v>0</v>
      </c>
      <c r="Q70">
        <f t="shared" si="20"/>
        <v>1</v>
      </c>
      <c r="R70">
        <v>0</v>
      </c>
      <c r="S70">
        <v>0</v>
      </c>
      <c r="T70">
        <v>0</v>
      </c>
      <c r="U70">
        <v>0</v>
      </c>
      <c r="V70">
        <v>1</v>
      </c>
      <c r="W70">
        <v>1</v>
      </c>
      <c r="X70">
        <v>0</v>
      </c>
      <c r="Y70">
        <v>0</v>
      </c>
      <c r="Z70">
        <v>0</v>
      </c>
      <c r="AA70">
        <v>0</v>
      </c>
      <c r="AB70">
        <v>0</v>
      </c>
      <c r="AC70">
        <v>0</v>
      </c>
      <c r="AD70">
        <v>0</v>
      </c>
      <c r="AE70">
        <v>0</v>
      </c>
      <c r="AF70">
        <v>0</v>
      </c>
      <c r="AG70">
        <v>0</v>
      </c>
      <c r="AH70">
        <v>1</v>
      </c>
      <c r="AI70">
        <v>0</v>
      </c>
      <c r="AJ70">
        <v>0</v>
      </c>
      <c r="AK70">
        <v>0</v>
      </c>
      <c r="AL70">
        <v>0</v>
      </c>
      <c r="AM70">
        <v>0</v>
      </c>
      <c r="AN70">
        <v>0</v>
      </c>
      <c r="AO70">
        <v>0</v>
      </c>
      <c r="AP70">
        <v>0</v>
      </c>
      <c r="AQ70">
        <v>0</v>
      </c>
      <c r="AR70">
        <v>1</v>
      </c>
      <c r="AS70">
        <f t="shared" si="21"/>
        <v>3</v>
      </c>
      <c r="AT70">
        <f t="shared" si="22"/>
        <v>4</v>
      </c>
      <c r="AU70" s="3" t="s">
        <v>262</v>
      </c>
      <c r="AV70">
        <f t="shared" si="23"/>
        <v>1</v>
      </c>
      <c r="AW70">
        <f t="shared" si="24"/>
        <v>0</v>
      </c>
      <c r="AX70">
        <f t="shared" si="25"/>
        <v>0</v>
      </c>
      <c r="AY70">
        <v>5.5</v>
      </c>
      <c r="AZ70" t="s">
        <v>60</v>
      </c>
      <c r="BA70" t="s">
        <v>61</v>
      </c>
      <c r="BB70" t="s">
        <v>7</v>
      </c>
    </row>
    <row r="71" ht="269" spans="1:54">
      <c r="A71" t="s">
        <v>263</v>
      </c>
      <c r="B71" t="s">
        <v>55</v>
      </c>
      <c r="C71" t="s">
        <v>116</v>
      </c>
      <c r="D71">
        <v>213</v>
      </c>
      <c r="E71">
        <v>64</v>
      </c>
      <c r="F71">
        <v>23.5</v>
      </c>
      <c r="G71" t="s">
        <v>106</v>
      </c>
      <c r="H71" s="3" t="s">
        <v>264</v>
      </c>
      <c r="I71" s="3" t="s">
        <v>264</v>
      </c>
      <c r="J71">
        <f t="shared" si="13"/>
        <v>1</v>
      </c>
      <c r="K71">
        <f t="shared" si="14"/>
        <v>0</v>
      </c>
      <c r="L71">
        <f t="shared" si="15"/>
        <v>0</v>
      </c>
      <c r="M71">
        <f t="shared" si="16"/>
        <v>0</v>
      </c>
      <c r="N71">
        <f t="shared" si="17"/>
        <v>1</v>
      </c>
      <c r="O71">
        <f t="shared" si="18"/>
        <v>1</v>
      </c>
      <c r="P71">
        <f t="shared" si="19"/>
        <v>0</v>
      </c>
      <c r="Q71">
        <f t="shared" si="20"/>
        <v>0</v>
      </c>
      <c r="R71">
        <v>1</v>
      </c>
      <c r="S71">
        <v>0</v>
      </c>
      <c r="T71">
        <v>0</v>
      </c>
      <c r="U71">
        <v>0</v>
      </c>
      <c r="V71">
        <v>0</v>
      </c>
      <c r="W71">
        <v>0</v>
      </c>
      <c r="X71">
        <v>0</v>
      </c>
      <c r="Y71">
        <v>0</v>
      </c>
      <c r="Z71">
        <v>0</v>
      </c>
      <c r="AA71">
        <v>0</v>
      </c>
      <c r="AB71">
        <v>0</v>
      </c>
      <c r="AC71">
        <v>0</v>
      </c>
      <c r="AD71">
        <v>0</v>
      </c>
      <c r="AE71">
        <v>0</v>
      </c>
      <c r="AF71">
        <v>0</v>
      </c>
      <c r="AG71">
        <v>0</v>
      </c>
      <c r="AH71">
        <v>1</v>
      </c>
      <c r="AI71">
        <v>1</v>
      </c>
      <c r="AJ71">
        <v>0</v>
      </c>
      <c r="AK71">
        <v>0</v>
      </c>
      <c r="AL71">
        <v>1</v>
      </c>
      <c r="AM71">
        <v>0</v>
      </c>
      <c r="AN71">
        <v>0</v>
      </c>
      <c r="AO71">
        <v>0</v>
      </c>
      <c r="AP71">
        <v>0</v>
      </c>
      <c r="AQ71">
        <v>0</v>
      </c>
      <c r="AR71">
        <v>0</v>
      </c>
      <c r="AS71">
        <f t="shared" si="21"/>
        <v>3</v>
      </c>
      <c r="AT71">
        <f t="shared" si="22"/>
        <v>4</v>
      </c>
      <c r="AU71" s="3" t="s">
        <v>265</v>
      </c>
      <c r="AV71">
        <f t="shared" si="23"/>
        <v>1</v>
      </c>
      <c r="AW71">
        <f t="shared" si="24"/>
        <v>0</v>
      </c>
      <c r="AX71">
        <f t="shared" si="25"/>
        <v>0</v>
      </c>
      <c r="AY71">
        <v>10.5</v>
      </c>
      <c r="AZ71" t="s">
        <v>60</v>
      </c>
      <c r="BA71" t="s">
        <v>61</v>
      </c>
      <c r="BB71" t="s">
        <v>7</v>
      </c>
    </row>
    <row r="72" ht="409.5" spans="1:54">
      <c r="A72" t="s">
        <v>266</v>
      </c>
      <c r="B72" t="s">
        <v>55</v>
      </c>
      <c r="C72" t="s">
        <v>116</v>
      </c>
      <c r="D72">
        <v>151</v>
      </c>
      <c r="E72">
        <v>9</v>
      </c>
      <c r="F72">
        <v>20.1</v>
      </c>
      <c r="G72" t="s">
        <v>106</v>
      </c>
      <c r="H72" s="3" t="s">
        <v>267</v>
      </c>
      <c r="I72" s="3" t="s">
        <v>267</v>
      </c>
      <c r="J72">
        <f t="shared" si="13"/>
        <v>1</v>
      </c>
      <c r="K72">
        <f t="shared" si="14"/>
        <v>1</v>
      </c>
      <c r="L72">
        <f t="shared" si="15"/>
        <v>1</v>
      </c>
      <c r="M72">
        <f t="shared" si="16"/>
        <v>0</v>
      </c>
      <c r="N72">
        <f t="shared" si="17"/>
        <v>1</v>
      </c>
      <c r="O72">
        <f t="shared" si="18"/>
        <v>1</v>
      </c>
      <c r="P72">
        <f t="shared" si="19"/>
        <v>0</v>
      </c>
      <c r="Q72">
        <f t="shared" si="20"/>
        <v>1</v>
      </c>
      <c r="R72">
        <v>1</v>
      </c>
      <c r="S72">
        <v>0</v>
      </c>
      <c r="T72">
        <v>0</v>
      </c>
      <c r="U72">
        <v>0</v>
      </c>
      <c r="V72">
        <v>1</v>
      </c>
      <c r="W72">
        <v>1</v>
      </c>
      <c r="X72">
        <v>0</v>
      </c>
      <c r="Y72">
        <v>0</v>
      </c>
      <c r="Z72">
        <v>1</v>
      </c>
      <c r="AA72">
        <v>0</v>
      </c>
      <c r="AB72">
        <v>0</v>
      </c>
      <c r="AC72">
        <v>1</v>
      </c>
      <c r="AD72">
        <v>0</v>
      </c>
      <c r="AE72">
        <v>0</v>
      </c>
      <c r="AF72">
        <v>0</v>
      </c>
      <c r="AG72">
        <v>1</v>
      </c>
      <c r="AH72">
        <v>1</v>
      </c>
      <c r="AI72">
        <v>1</v>
      </c>
      <c r="AJ72">
        <v>0</v>
      </c>
      <c r="AK72">
        <v>0</v>
      </c>
      <c r="AL72">
        <v>0</v>
      </c>
      <c r="AM72">
        <v>0</v>
      </c>
      <c r="AN72">
        <v>0</v>
      </c>
      <c r="AO72">
        <v>0</v>
      </c>
      <c r="AP72">
        <v>0</v>
      </c>
      <c r="AQ72">
        <v>0</v>
      </c>
      <c r="AR72">
        <v>1</v>
      </c>
      <c r="AS72">
        <f t="shared" si="21"/>
        <v>6</v>
      </c>
      <c r="AT72">
        <f t="shared" si="22"/>
        <v>9</v>
      </c>
      <c r="AU72" s="3" t="s">
        <v>268</v>
      </c>
      <c r="AV72">
        <f t="shared" si="23"/>
        <v>1</v>
      </c>
      <c r="AW72">
        <f t="shared" si="24"/>
        <v>0</v>
      </c>
      <c r="AX72">
        <f t="shared" si="25"/>
        <v>1</v>
      </c>
      <c r="AY72">
        <v>14</v>
      </c>
      <c r="AZ72" t="s">
        <v>60</v>
      </c>
      <c r="BA72" t="s">
        <v>61</v>
      </c>
      <c r="BB72" t="s">
        <v>7</v>
      </c>
    </row>
    <row r="73" ht="17" spans="1:54">
      <c r="A73" t="s">
        <v>269</v>
      </c>
      <c r="B73" t="s">
        <v>55</v>
      </c>
      <c r="C73" t="s">
        <v>56</v>
      </c>
      <c r="D73">
        <v>134</v>
      </c>
      <c r="E73">
        <v>7</v>
      </c>
      <c r="F73">
        <v>111.1</v>
      </c>
      <c r="G73" t="s">
        <v>106</v>
      </c>
      <c r="H73" s="3" t="s">
        <v>270</v>
      </c>
      <c r="I73" s="3" t="s">
        <v>270</v>
      </c>
      <c r="J73">
        <f t="shared" si="13"/>
        <v>0</v>
      </c>
      <c r="K73">
        <f t="shared" si="14"/>
        <v>1</v>
      </c>
      <c r="L73">
        <f t="shared" si="15"/>
        <v>0</v>
      </c>
      <c r="M73">
        <f t="shared" si="16"/>
        <v>0</v>
      </c>
      <c r="N73">
        <f t="shared" si="17"/>
        <v>0</v>
      </c>
      <c r="O73">
        <f t="shared" si="18"/>
        <v>0</v>
      </c>
      <c r="P73">
        <f t="shared" si="19"/>
        <v>0</v>
      </c>
      <c r="Q73">
        <f t="shared" si="20"/>
        <v>0</v>
      </c>
      <c r="R73">
        <v>0</v>
      </c>
      <c r="S73">
        <v>0</v>
      </c>
      <c r="T73">
        <v>0</v>
      </c>
      <c r="U73">
        <v>0</v>
      </c>
      <c r="V73">
        <v>0</v>
      </c>
      <c r="W73">
        <v>1</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f t="shared" si="21"/>
        <v>1</v>
      </c>
      <c r="AT73">
        <f t="shared" si="22"/>
        <v>1</v>
      </c>
      <c r="AU73" s="3" t="s">
        <v>271</v>
      </c>
      <c r="AV73">
        <f t="shared" si="23"/>
        <v>1</v>
      </c>
      <c r="AW73">
        <f t="shared" si="24"/>
        <v>0</v>
      </c>
      <c r="AX73">
        <f t="shared" si="25"/>
        <v>0</v>
      </c>
      <c r="AY73">
        <v>2</v>
      </c>
      <c r="AZ73" t="s">
        <v>60</v>
      </c>
      <c r="BA73" t="s">
        <v>61</v>
      </c>
      <c r="BB73" t="s">
        <v>7</v>
      </c>
    </row>
    <row r="74" ht="34" spans="1:54">
      <c r="A74" t="s">
        <v>272</v>
      </c>
      <c r="B74" t="s">
        <v>55</v>
      </c>
      <c r="C74" t="s">
        <v>56</v>
      </c>
      <c r="D74">
        <v>121</v>
      </c>
      <c r="E74">
        <v>0</v>
      </c>
      <c r="F74">
        <v>41.2</v>
      </c>
      <c r="G74" t="s">
        <v>106</v>
      </c>
      <c r="H74" s="3" t="s">
        <v>273</v>
      </c>
      <c r="I74" s="3" t="s">
        <v>273</v>
      </c>
      <c r="J74">
        <f t="shared" si="13"/>
        <v>0</v>
      </c>
      <c r="K74">
        <f t="shared" si="14"/>
        <v>0</v>
      </c>
      <c r="L74">
        <f t="shared" si="15"/>
        <v>0</v>
      </c>
      <c r="M74">
        <f t="shared" si="16"/>
        <v>0</v>
      </c>
      <c r="N74">
        <f t="shared" si="17"/>
        <v>1</v>
      </c>
      <c r="O74">
        <f t="shared" si="18"/>
        <v>0</v>
      </c>
      <c r="P74">
        <f t="shared" si="19"/>
        <v>0</v>
      </c>
      <c r="Q74">
        <f t="shared" si="20"/>
        <v>0</v>
      </c>
      <c r="R74">
        <v>0</v>
      </c>
      <c r="S74">
        <v>0</v>
      </c>
      <c r="T74">
        <v>0</v>
      </c>
      <c r="U74">
        <v>0</v>
      </c>
      <c r="V74">
        <v>0</v>
      </c>
      <c r="W74">
        <v>0</v>
      </c>
      <c r="X74">
        <v>0</v>
      </c>
      <c r="Y74">
        <v>0</v>
      </c>
      <c r="Z74">
        <v>0</v>
      </c>
      <c r="AA74">
        <v>0</v>
      </c>
      <c r="AB74">
        <v>0</v>
      </c>
      <c r="AC74">
        <v>0</v>
      </c>
      <c r="AD74">
        <v>0</v>
      </c>
      <c r="AE74">
        <v>0</v>
      </c>
      <c r="AF74">
        <v>0</v>
      </c>
      <c r="AG74">
        <v>0</v>
      </c>
      <c r="AH74">
        <v>1</v>
      </c>
      <c r="AI74">
        <v>0</v>
      </c>
      <c r="AJ74">
        <v>0</v>
      </c>
      <c r="AK74">
        <v>0</v>
      </c>
      <c r="AL74">
        <v>0</v>
      </c>
      <c r="AM74">
        <v>0</v>
      </c>
      <c r="AN74">
        <v>0</v>
      </c>
      <c r="AO74">
        <v>0</v>
      </c>
      <c r="AP74">
        <v>0</v>
      </c>
      <c r="AQ74">
        <v>0</v>
      </c>
      <c r="AR74">
        <v>0</v>
      </c>
      <c r="AS74">
        <f t="shared" si="21"/>
        <v>1</v>
      </c>
      <c r="AT74">
        <f t="shared" si="22"/>
        <v>1</v>
      </c>
      <c r="AU74" s="3" t="s">
        <v>129</v>
      </c>
      <c r="AV74">
        <f t="shared" si="23"/>
        <v>1</v>
      </c>
      <c r="AW74">
        <f t="shared" si="24"/>
        <v>0</v>
      </c>
      <c r="AX74">
        <f t="shared" si="25"/>
        <v>0</v>
      </c>
      <c r="AY74">
        <v>3</v>
      </c>
      <c r="AZ74" t="s">
        <v>60</v>
      </c>
      <c r="BA74" t="s">
        <v>61</v>
      </c>
      <c r="BB74" t="s">
        <v>7</v>
      </c>
    </row>
    <row r="75" ht="409.5" spans="1:54">
      <c r="A75" t="s">
        <v>274</v>
      </c>
      <c r="B75" t="s">
        <v>55</v>
      </c>
      <c r="C75" t="s">
        <v>56</v>
      </c>
      <c r="D75">
        <v>103</v>
      </c>
      <c r="E75">
        <v>1</v>
      </c>
      <c r="F75">
        <v>17</v>
      </c>
      <c r="G75" t="s">
        <v>106</v>
      </c>
      <c r="H75" s="3" t="s">
        <v>275</v>
      </c>
      <c r="I75" s="3" t="s">
        <v>275</v>
      </c>
      <c r="J75">
        <f t="shared" si="13"/>
        <v>1</v>
      </c>
      <c r="K75">
        <f t="shared" si="14"/>
        <v>1</v>
      </c>
      <c r="L75">
        <f t="shared" si="15"/>
        <v>1</v>
      </c>
      <c r="M75">
        <f t="shared" si="16"/>
        <v>1</v>
      </c>
      <c r="N75">
        <f t="shared" si="17"/>
        <v>1</v>
      </c>
      <c r="O75">
        <f t="shared" si="18"/>
        <v>1</v>
      </c>
      <c r="P75">
        <f t="shared" si="19"/>
        <v>1</v>
      </c>
      <c r="Q75">
        <f t="shared" si="20"/>
        <v>1</v>
      </c>
      <c r="R75">
        <v>1</v>
      </c>
      <c r="S75">
        <v>1</v>
      </c>
      <c r="T75">
        <v>1</v>
      </c>
      <c r="U75">
        <v>1</v>
      </c>
      <c r="V75">
        <v>1</v>
      </c>
      <c r="W75">
        <v>0</v>
      </c>
      <c r="X75">
        <v>0</v>
      </c>
      <c r="Y75">
        <v>1</v>
      </c>
      <c r="Z75">
        <v>0</v>
      </c>
      <c r="AA75">
        <v>0</v>
      </c>
      <c r="AB75">
        <v>1</v>
      </c>
      <c r="AC75">
        <v>0</v>
      </c>
      <c r="AD75">
        <v>1</v>
      </c>
      <c r="AE75">
        <v>1</v>
      </c>
      <c r="AF75">
        <v>1</v>
      </c>
      <c r="AG75">
        <v>1</v>
      </c>
      <c r="AH75">
        <v>1</v>
      </c>
      <c r="AI75">
        <v>1</v>
      </c>
      <c r="AJ75">
        <v>1</v>
      </c>
      <c r="AK75">
        <v>1</v>
      </c>
      <c r="AL75">
        <v>1</v>
      </c>
      <c r="AM75">
        <v>0</v>
      </c>
      <c r="AN75">
        <v>0</v>
      </c>
      <c r="AO75">
        <v>0</v>
      </c>
      <c r="AP75">
        <v>1</v>
      </c>
      <c r="AQ75">
        <v>1</v>
      </c>
      <c r="AR75">
        <v>1</v>
      </c>
      <c r="AS75">
        <f t="shared" si="21"/>
        <v>8</v>
      </c>
      <c r="AT75">
        <f t="shared" si="22"/>
        <v>19</v>
      </c>
      <c r="AU75" s="3" t="s">
        <v>276</v>
      </c>
      <c r="AV75">
        <f t="shared" si="23"/>
        <v>1</v>
      </c>
      <c r="AW75">
        <f t="shared" si="24"/>
        <v>0</v>
      </c>
      <c r="AX75">
        <f t="shared" si="25"/>
        <v>1</v>
      </c>
      <c r="AY75">
        <v>190.5</v>
      </c>
      <c r="AZ75" t="s">
        <v>60</v>
      </c>
      <c r="BA75" t="s">
        <v>61</v>
      </c>
      <c r="BB75" t="s">
        <v>7</v>
      </c>
    </row>
    <row r="76" ht="252" spans="1:54">
      <c r="A76" t="s">
        <v>277</v>
      </c>
      <c r="B76" t="s">
        <v>55</v>
      </c>
      <c r="C76" t="s">
        <v>116</v>
      </c>
      <c r="D76">
        <v>86</v>
      </c>
      <c r="E76">
        <v>3</v>
      </c>
      <c r="F76">
        <v>46.2</v>
      </c>
      <c r="G76" t="s">
        <v>106</v>
      </c>
      <c r="H76" s="3" t="s">
        <v>278</v>
      </c>
      <c r="I76" s="3" t="s">
        <v>278</v>
      </c>
      <c r="J76">
        <f t="shared" si="13"/>
        <v>1</v>
      </c>
      <c r="K76">
        <f t="shared" si="14"/>
        <v>1</v>
      </c>
      <c r="L76">
        <f t="shared" si="15"/>
        <v>1</v>
      </c>
      <c r="M76">
        <f t="shared" si="16"/>
        <v>0</v>
      </c>
      <c r="N76">
        <f t="shared" si="17"/>
        <v>0</v>
      </c>
      <c r="O76">
        <f t="shared" si="18"/>
        <v>0</v>
      </c>
      <c r="P76">
        <f t="shared" si="19"/>
        <v>0</v>
      </c>
      <c r="Q76">
        <f t="shared" si="20"/>
        <v>1</v>
      </c>
      <c r="R76">
        <v>1</v>
      </c>
      <c r="S76">
        <v>0</v>
      </c>
      <c r="T76">
        <v>0</v>
      </c>
      <c r="U76">
        <v>0</v>
      </c>
      <c r="V76">
        <v>1</v>
      </c>
      <c r="W76">
        <v>1</v>
      </c>
      <c r="X76">
        <v>0</v>
      </c>
      <c r="Y76">
        <v>0</v>
      </c>
      <c r="Z76">
        <v>1</v>
      </c>
      <c r="AA76">
        <v>1</v>
      </c>
      <c r="AB76">
        <v>1</v>
      </c>
      <c r="AC76">
        <v>1</v>
      </c>
      <c r="AD76">
        <v>0</v>
      </c>
      <c r="AE76">
        <v>0</v>
      </c>
      <c r="AF76">
        <v>0</v>
      </c>
      <c r="AG76">
        <v>0</v>
      </c>
      <c r="AH76">
        <v>0</v>
      </c>
      <c r="AI76">
        <v>0</v>
      </c>
      <c r="AJ76">
        <v>0</v>
      </c>
      <c r="AK76">
        <v>0</v>
      </c>
      <c r="AL76">
        <v>0</v>
      </c>
      <c r="AM76">
        <v>0</v>
      </c>
      <c r="AN76">
        <v>0</v>
      </c>
      <c r="AO76">
        <v>0</v>
      </c>
      <c r="AP76">
        <v>0</v>
      </c>
      <c r="AQ76">
        <v>0</v>
      </c>
      <c r="AR76">
        <v>1</v>
      </c>
      <c r="AS76">
        <f t="shared" si="21"/>
        <v>4</v>
      </c>
      <c r="AT76">
        <f t="shared" si="22"/>
        <v>8</v>
      </c>
      <c r="AU76" s="3" t="s">
        <v>279</v>
      </c>
      <c r="AV76">
        <f t="shared" si="23"/>
        <v>1</v>
      </c>
      <c r="AW76">
        <f t="shared" si="24"/>
        <v>0</v>
      </c>
      <c r="AX76">
        <f t="shared" si="25"/>
        <v>1</v>
      </c>
      <c r="AY76">
        <v>2</v>
      </c>
      <c r="AZ76" t="s">
        <v>60</v>
      </c>
      <c r="BA76" t="s">
        <v>61</v>
      </c>
      <c r="BB76" t="s">
        <v>7</v>
      </c>
    </row>
    <row r="77" ht="409.5" spans="1:54">
      <c r="A77" t="s">
        <v>280</v>
      </c>
      <c r="B77" t="s">
        <v>55</v>
      </c>
      <c r="C77" t="s">
        <v>116</v>
      </c>
      <c r="D77">
        <v>63</v>
      </c>
      <c r="E77">
        <v>0</v>
      </c>
      <c r="F77">
        <v>56.9</v>
      </c>
      <c r="G77" t="s">
        <v>106</v>
      </c>
      <c r="H77" s="3" t="s">
        <v>281</v>
      </c>
      <c r="I77" s="3" t="s">
        <v>281</v>
      </c>
      <c r="J77">
        <f t="shared" si="13"/>
        <v>1</v>
      </c>
      <c r="K77">
        <f t="shared" si="14"/>
        <v>1</v>
      </c>
      <c r="L77">
        <f t="shared" si="15"/>
        <v>1</v>
      </c>
      <c r="M77">
        <f t="shared" si="16"/>
        <v>0</v>
      </c>
      <c r="N77">
        <f t="shared" si="17"/>
        <v>1</v>
      </c>
      <c r="O77">
        <f t="shared" si="18"/>
        <v>1</v>
      </c>
      <c r="P77">
        <f t="shared" si="19"/>
        <v>0</v>
      </c>
      <c r="Q77">
        <f t="shared" si="20"/>
        <v>1</v>
      </c>
      <c r="R77">
        <v>0</v>
      </c>
      <c r="S77">
        <v>0</v>
      </c>
      <c r="T77">
        <v>1</v>
      </c>
      <c r="U77">
        <v>1</v>
      </c>
      <c r="V77">
        <v>1</v>
      </c>
      <c r="W77">
        <v>0</v>
      </c>
      <c r="X77">
        <v>0</v>
      </c>
      <c r="Y77">
        <v>1</v>
      </c>
      <c r="Z77">
        <v>1</v>
      </c>
      <c r="AA77">
        <v>1</v>
      </c>
      <c r="AB77">
        <v>0</v>
      </c>
      <c r="AC77">
        <v>1</v>
      </c>
      <c r="AD77">
        <v>0</v>
      </c>
      <c r="AE77">
        <v>0</v>
      </c>
      <c r="AF77">
        <v>0</v>
      </c>
      <c r="AG77">
        <v>1</v>
      </c>
      <c r="AH77">
        <v>1</v>
      </c>
      <c r="AI77">
        <v>0</v>
      </c>
      <c r="AJ77">
        <v>0</v>
      </c>
      <c r="AK77">
        <v>1</v>
      </c>
      <c r="AL77">
        <v>0</v>
      </c>
      <c r="AM77">
        <v>0</v>
      </c>
      <c r="AN77">
        <v>0</v>
      </c>
      <c r="AO77">
        <v>0</v>
      </c>
      <c r="AP77">
        <v>0</v>
      </c>
      <c r="AQ77">
        <v>0</v>
      </c>
      <c r="AR77">
        <v>1</v>
      </c>
      <c r="AS77">
        <f t="shared" si="21"/>
        <v>6</v>
      </c>
      <c r="AT77">
        <f t="shared" si="22"/>
        <v>11</v>
      </c>
      <c r="AU77" s="3" t="s">
        <v>282</v>
      </c>
      <c r="AV77">
        <f t="shared" si="23"/>
        <v>1</v>
      </c>
      <c r="AW77">
        <f t="shared" si="24"/>
        <v>0</v>
      </c>
      <c r="AX77">
        <f t="shared" si="25"/>
        <v>1</v>
      </c>
      <c r="AY77">
        <v>2.5</v>
      </c>
      <c r="AZ77" t="s">
        <v>60</v>
      </c>
      <c r="BA77" t="s">
        <v>61</v>
      </c>
      <c r="BB77" t="s">
        <v>7</v>
      </c>
    </row>
    <row r="78" ht="17" spans="1:54">
      <c r="A78" t="s">
        <v>283</v>
      </c>
      <c r="B78" t="s">
        <v>55</v>
      </c>
      <c r="C78" t="s">
        <v>56</v>
      </c>
      <c r="D78">
        <v>54</v>
      </c>
      <c r="E78">
        <v>1</v>
      </c>
      <c r="F78">
        <v>12.1</v>
      </c>
      <c r="G78" t="s">
        <v>106</v>
      </c>
      <c r="H78" s="3" t="s">
        <v>284</v>
      </c>
      <c r="I78" s="3" t="s">
        <v>284</v>
      </c>
      <c r="J78">
        <f t="shared" si="13"/>
        <v>0</v>
      </c>
      <c r="K78">
        <f t="shared" si="14"/>
        <v>0</v>
      </c>
      <c r="L78">
        <f t="shared" si="15"/>
        <v>0</v>
      </c>
      <c r="M78">
        <f t="shared" si="16"/>
        <v>0</v>
      </c>
      <c r="N78">
        <f t="shared" si="17"/>
        <v>0</v>
      </c>
      <c r="O78">
        <f t="shared" si="18"/>
        <v>0</v>
      </c>
      <c r="P78">
        <f t="shared" si="19"/>
        <v>0</v>
      </c>
      <c r="Q78">
        <f t="shared" si="20"/>
        <v>1</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1</v>
      </c>
      <c r="AS78">
        <f t="shared" si="21"/>
        <v>1</v>
      </c>
      <c r="AT78">
        <f t="shared" si="22"/>
        <v>1</v>
      </c>
      <c r="AU78" s="3" t="s">
        <v>157</v>
      </c>
      <c r="AV78">
        <f t="shared" si="23"/>
        <v>1</v>
      </c>
      <c r="AW78">
        <f t="shared" si="24"/>
        <v>0</v>
      </c>
      <c r="AX78">
        <f t="shared" si="25"/>
        <v>0</v>
      </c>
      <c r="AY78">
        <v>4</v>
      </c>
      <c r="AZ78" t="s">
        <v>60</v>
      </c>
      <c r="BA78" t="s">
        <v>61</v>
      </c>
      <c r="BB78" t="s">
        <v>7</v>
      </c>
    </row>
    <row r="79" ht="17" spans="1:54">
      <c r="A79" t="s">
        <v>285</v>
      </c>
      <c r="B79" t="s">
        <v>55</v>
      </c>
      <c r="C79" t="s">
        <v>56</v>
      </c>
      <c r="D79">
        <v>49</v>
      </c>
      <c r="E79">
        <v>0</v>
      </c>
      <c r="F79">
        <v>54.6</v>
      </c>
      <c r="G79" t="s">
        <v>106</v>
      </c>
      <c r="H79" s="3" t="s">
        <v>286</v>
      </c>
      <c r="I79" s="3" t="s">
        <v>286</v>
      </c>
      <c r="J79">
        <f t="shared" si="13"/>
        <v>0</v>
      </c>
      <c r="K79">
        <f t="shared" si="14"/>
        <v>0</v>
      </c>
      <c r="L79">
        <f t="shared" si="15"/>
        <v>0</v>
      </c>
      <c r="M79">
        <f t="shared" si="16"/>
        <v>1</v>
      </c>
      <c r="N79">
        <f t="shared" si="17"/>
        <v>0</v>
      </c>
      <c r="O79">
        <f t="shared" si="18"/>
        <v>0</v>
      </c>
      <c r="P79">
        <f t="shared" si="19"/>
        <v>0</v>
      </c>
      <c r="Q79">
        <f t="shared" si="20"/>
        <v>0</v>
      </c>
      <c r="R79">
        <v>0</v>
      </c>
      <c r="S79">
        <v>0</v>
      </c>
      <c r="T79">
        <v>0</v>
      </c>
      <c r="U79">
        <v>0</v>
      </c>
      <c r="V79">
        <v>0</v>
      </c>
      <c r="W79">
        <v>0</v>
      </c>
      <c r="X79">
        <v>0</v>
      </c>
      <c r="Y79">
        <v>0</v>
      </c>
      <c r="Z79">
        <v>0</v>
      </c>
      <c r="AA79">
        <v>0</v>
      </c>
      <c r="AB79">
        <v>0</v>
      </c>
      <c r="AC79">
        <v>0</v>
      </c>
      <c r="AD79">
        <v>1</v>
      </c>
      <c r="AE79">
        <v>0</v>
      </c>
      <c r="AF79">
        <v>0</v>
      </c>
      <c r="AG79">
        <v>0</v>
      </c>
      <c r="AH79">
        <v>0</v>
      </c>
      <c r="AI79">
        <v>0</v>
      </c>
      <c r="AJ79">
        <v>0</v>
      </c>
      <c r="AK79">
        <v>0</v>
      </c>
      <c r="AL79">
        <v>0</v>
      </c>
      <c r="AM79">
        <v>0</v>
      </c>
      <c r="AN79">
        <v>0</v>
      </c>
      <c r="AO79">
        <v>0</v>
      </c>
      <c r="AP79">
        <v>0</v>
      </c>
      <c r="AQ79">
        <v>0</v>
      </c>
      <c r="AR79">
        <v>0</v>
      </c>
      <c r="AS79">
        <f t="shared" si="21"/>
        <v>1</v>
      </c>
      <c r="AT79">
        <f t="shared" si="22"/>
        <v>1</v>
      </c>
      <c r="AU79" s="3" t="s">
        <v>287</v>
      </c>
      <c r="AV79">
        <f t="shared" si="23"/>
        <v>1</v>
      </c>
      <c r="AW79">
        <f t="shared" si="24"/>
        <v>0</v>
      </c>
      <c r="AX79">
        <f t="shared" si="25"/>
        <v>0</v>
      </c>
      <c r="AY79">
        <v>0</v>
      </c>
      <c r="AZ79" t="s">
        <v>147</v>
      </c>
      <c r="BA79" t="s">
        <v>148</v>
      </c>
      <c r="BB79" t="s">
        <v>7</v>
      </c>
    </row>
    <row r="80" ht="17" spans="1:54">
      <c r="A80" t="s">
        <v>288</v>
      </c>
      <c r="B80" t="s">
        <v>55</v>
      </c>
      <c r="C80" t="s">
        <v>56</v>
      </c>
      <c r="D80">
        <v>48</v>
      </c>
      <c r="E80">
        <v>1</v>
      </c>
      <c r="F80">
        <v>95.5</v>
      </c>
      <c r="G80" t="s">
        <v>106</v>
      </c>
      <c r="H80" s="3" t="s">
        <v>289</v>
      </c>
      <c r="I80" s="3" t="s">
        <v>289</v>
      </c>
      <c r="J80">
        <f t="shared" si="13"/>
        <v>0</v>
      </c>
      <c r="K80">
        <f t="shared" si="14"/>
        <v>0</v>
      </c>
      <c r="L80">
        <f t="shared" si="15"/>
        <v>0</v>
      </c>
      <c r="M80">
        <f t="shared" si="16"/>
        <v>0</v>
      </c>
      <c r="N80">
        <f t="shared" si="17"/>
        <v>0</v>
      </c>
      <c r="O80">
        <f t="shared" si="18"/>
        <v>0</v>
      </c>
      <c r="P80">
        <f t="shared" si="19"/>
        <v>0</v>
      </c>
      <c r="Q80">
        <f t="shared" si="2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f t="shared" si="21"/>
        <v>0</v>
      </c>
      <c r="AT80">
        <f t="shared" si="22"/>
        <v>0</v>
      </c>
      <c r="AU80" s="3" t="s">
        <v>118</v>
      </c>
      <c r="AV80">
        <f t="shared" si="23"/>
        <v>0</v>
      </c>
      <c r="AW80">
        <f t="shared" si="24"/>
        <v>1</v>
      </c>
      <c r="AX80">
        <f t="shared" si="25"/>
        <v>0</v>
      </c>
      <c r="AY80">
        <v>-1.5</v>
      </c>
      <c r="AZ80" t="s">
        <v>133</v>
      </c>
      <c r="BA80" t="s">
        <v>134</v>
      </c>
      <c r="BB80" t="s">
        <v>7</v>
      </c>
    </row>
    <row r="81" ht="34" spans="1:54">
      <c r="A81" t="s">
        <v>290</v>
      </c>
      <c r="B81" t="s">
        <v>55</v>
      </c>
      <c r="C81" t="s">
        <v>56</v>
      </c>
      <c r="D81">
        <v>47</v>
      </c>
      <c r="E81">
        <v>0</v>
      </c>
      <c r="F81">
        <v>91.4</v>
      </c>
      <c r="G81" t="s">
        <v>106</v>
      </c>
      <c r="H81" s="3" t="s">
        <v>291</v>
      </c>
      <c r="I81" s="3" t="s">
        <v>291</v>
      </c>
      <c r="J81">
        <f t="shared" si="13"/>
        <v>0</v>
      </c>
      <c r="K81">
        <f t="shared" si="14"/>
        <v>0</v>
      </c>
      <c r="L81">
        <f t="shared" si="15"/>
        <v>0</v>
      </c>
      <c r="M81">
        <f t="shared" si="16"/>
        <v>0</v>
      </c>
      <c r="N81">
        <f t="shared" si="17"/>
        <v>0</v>
      </c>
      <c r="O81">
        <f t="shared" si="18"/>
        <v>1</v>
      </c>
      <c r="P81">
        <f t="shared" si="19"/>
        <v>0</v>
      </c>
      <c r="Q81">
        <f t="shared" si="20"/>
        <v>0</v>
      </c>
      <c r="R81">
        <v>0</v>
      </c>
      <c r="S81">
        <v>0</v>
      </c>
      <c r="T81">
        <v>0</v>
      </c>
      <c r="U81">
        <v>0</v>
      </c>
      <c r="V81">
        <v>0</v>
      </c>
      <c r="W81">
        <v>0</v>
      </c>
      <c r="X81">
        <v>0</v>
      </c>
      <c r="Y81">
        <v>0</v>
      </c>
      <c r="Z81">
        <v>0</v>
      </c>
      <c r="AA81">
        <v>0</v>
      </c>
      <c r="AB81">
        <v>0</v>
      </c>
      <c r="AC81">
        <v>0</v>
      </c>
      <c r="AD81">
        <v>0</v>
      </c>
      <c r="AE81">
        <v>0</v>
      </c>
      <c r="AF81">
        <v>0</v>
      </c>
      <c r="AG81">
        <v>0</v>
      </c>
      <c r="AH81">
        <v>0</v>
      </c>
      <c r="AI81">
        <v>1</v>
      </c>
      <c r="AJ81">
        <v>0</v>
      </c>
      <c r="AK81">
        <v>0</v>
      </c>
      <c r="AL81">
        <v>0</v>
      </c>
      <c r="AM81">
        <v>0</v>
      </c>
      <c r="AN81">
        <v>0</v>
      </c>
      <c r="AO81">
        <v>0</v>
      </c>
      <c r="AP81">
        <v>0</v>
      </c>
      <c r="AQ81">
        <v>0</v>
      </c>
      <c r="AR81">
        <v>0</v>
      </c>
      <c r="AS81">
        <f t="shared" si="21"/>
        <v>1</v>
      </c>
      <c r="AT81">
        <f t="shared" si="22"/>
        <v>1</v>
      </c>
      <c r="AU81" s="3" t="s">
        <v>79</v>
      </c>
      <c r="AV81">
        <f t="shared" si="23"/>
        <v>1</v>
      </c>
      <c r="AW81">
        <f t="shared" si="24"/>
        <v>0</v>
      </c>
      <c r="AX81">
        <f t="shared" si="25"/>
        <v>0</v>
      </c>
      <c r="AY81">
        <v>3.5</v>
      </c>
      <c r="AZ81" t="s">
        <v>60</v>
      </c>
      <c r="BA81" t="s">
        <v>61</v>
      </c>
      <c r="BB81" t="s">
        <v>7</v>
      </c>
    </row>
    <row r="82" ht="409.5" spans="1:54">
      <c r="A82" t="s">
        <v>292</v>
      </c>
      <c r="B82" t="s">
        <v>55</v>
      </c>
      <c r="C82" t="s">
        <v>56</v>
      </c>
      <c r="D82">
        <v>9</v>
      </c>
      <c r="E82">
        <v>0</v>
      </c>
      <c r="F82" t="s">
        <v>293</v>
      </c>
      <c r="G82" t="s">
        <v>294</v>
      </c>
      <c r="H82" s="3" t="s">
        <v>295</v>
      </c>
      <c r="I82" s="3" t="s">
        <v>295</v>
      </c>
      <c r="J82">
        <f t="shared" si="13"/>
        <v>1</v>
      </c>
      <c r="K82">
        <f t="shared" si="14"/>
        <v>1</v>
      </c>
      <c r="L82">
        <f t="shared" si="15"/>
        <v>1</v>
      </c>
      <c r="M82">
        <f t="shared" si="16"/>
        <v>1</v>
      </c>
      <c r="N82">
        <f t="shared" si="17"/>
        <v>1</v>
      </c>
      <c r="O82">
        <f t="shared" si="18"/>
        <v>1</v>
      </c>
      <c r="P82">
        <f t="shared" si="19"/>
        <v>1</v>
      </c>
      <c r="Q82">
        <f t="shared" si="20"/>
        <v>1</v>
      </c>
      <c r="R82">
        <v>1</v>
      </c>
      <c r="S82">
        <v>1</v>
      </c>
      <c r="T82">
        <v>1</v>
      </c>
      <c r="U82">
        <v>1</v>
      </c>
      <c r="V82">
        <v>1</v>
      </c>
      <c r="W82">
        <v>1</v>
      </c>
      <c r="X82">
        <v>0</v>
      </c>
      <c r="Y82">
        <v>1</v>
      </c>
      <c r="Z82">
        <v>1</v>
      </c>
      <c r="AA82">
        <v>1</v>
      </c>
      <c r="AB82">
        <v>1</v>
      </c>
      <c r="AC82">
        <v>1</v>
      </c>
      <c r="AD82">
        <v>1</v>
      </c>
      <c r="AE82">
        <v>0</v>
      </c>
      <c r="AF82">
        <v>1</v>
      </c>
      <c r="AG82">
        <v>1</v>
      </c>
      <c r="AH82">
        <v>1</v>
      </c>
      <c r="AI82">
        <v>1</v>
      </c>
      <c r="AJ82">
        <v>0</v>
      </c>
      <c r="AK82">
        <v>1</v>
      </c>
      <c r="AL82">
        <v>0</v>
      </c>
      <c r="AM82">
        <v>0</v>
      </c>
      <c r="AN82">
        <v>0</v>
      </c>
      <c r="AO82">
        <v>0</v>
      </c>
      <c r="AP82">
        <v>1</v>
      </c>
      <c r="AQ82">
        <v>0</v>
      </c>
      <c r="AR82">
        <v>1</v>
      </c>
      <c r="AS82">
        <f t="shared" si="21"/>
        <v>8</v>
      </c>
      <c r="AT82">
        <f t="shared" si="22"/>
        <v>19</v>
      </c>
      <c r="AU82" s="3" t="s">
        <v>296</v>
      </c>
      <c r="AV82">
        <f t="shared" si="23"/>
        <v>1</v>
      </c>
      <c r="AW82">
        <f t="shared" si="24"/>
        <v>0</v>
      </c>
      <c r="AX82">
        <f t="shared" si="25"/>
        <v>1</v>
      </c>
      <c r="AY82">
        <v>30.5</v>
      </c>
      <c r="AZ82" t="s">
        <v>60</v>
      </c>
      <c r="BA82" t="s">
        <v>61</v>
      </c>
      <c r="BB82" t="s">
        <v>7</v>
      </c>
    </row>
    <row r="83" ht="409.5" spans="1:54">
      <c r="A83" t="s">
        <v>297</v>
      </c>
      <c r="B83" t="s">
        <v>55</v>
      </c>
      <c r="C83" t="s">
        <v>56</v>
      </c>
      <c r="D83">
        <v>39</v>
      </c>
      <c r="E83">
        <v>2</v>
      </c>
      <c r="F83">
        <v>41.6</v>
      </c>
      <c r="G83" t="s">
        <v>106</v>
      </c>
      <c r="H83" s="3" t="s">
        <v>298</v>
      </c>
      <c r="I83" s="3" t="s">
        <v>298</v>
      </c>
      <c r="J83">
        <f t="shared" si="13"/>
        <v>1</v>
      </c>
      <c r="K83">
        <f t="shared" si="14"/>
        <v>1</v>
      </c>
      <c r="L83">
        <f t="shared" si="15"/>
        <v>1</v>
      </c>
      <c r="M83">
        <f t="shared" si="16"/>
        <v>0</v>
      </c>
      <c r="N83">
        <f t="shared" si="17"/>
        <v>1</v>
      </c>
      <c r="O83">
        <f t="shared" si="18"/>
        <v>1</v>
      </c>
      <c r="P83">
        <f t="shared" si="19"/>
        <v>1</v>
      </c>
      <c r="Q83">
        <f t="shared" si="20"/>
        <v>1</v>
      </c>
      <c r="R83">
        <v>1</v>
      </c>
      <c r="S83">
        <v>1</v>
      </c>
      <c r="T83">
        <v>0</v>
      </c>
      <c r="U83">
        <v>1</v>
      </c>
      <c r="V83">
        <v>1</v>
      </c>
      <c r="W83">
        <v>1</v>
      </c>
      <c r="X83">
        <v>1</v>
      </c>
      <c r="Y83">
        <v>0</v>
      </c>
      <c r="Z83">
        <v>1</v>
      </c>
      <c r="AA83">
        <v>0</v>
      </c>
      <c r="AB83">
        <v>1</v>
      </c>
      <c r="AC83">
        <v>1</v>
      </c>
      <c r="AD83">
        <v>0</v>
      </c>
      <c r="AE83">
        <v>0</v>
      </c>
      <c r="AF83">
        <v>0</v>
      </c>
      <c r="AG83">
        <v>0</v>
      </c>
      <c r="AH83">
        <v>1</v>
      </c>
      <c r="AI83">
        <v>1</v>
      </c>
      <c r="AJ83">
        <v>0</v>
      </c>
      <c r="AK83">
        <v>1</v>
      </c>
      <c r="AL83">
        <v>1</v>
      </c>
      <c r="AM83">
        <v>0</v>
      </c>
      <c r="AN83">
        <v>1</v>
      </c>
      <c r="AO83">
        <v>0</v>
      </c>
      <c r="AP83">
        <v>0</v>
      </c>
      <c r="AQ83">
        <v>1</v>
      </c>
      <c r="AR83">
        <v>1</v>
      </c>
      <c r="AS83">
        <f t="shared" si="21"/>
        <v>7</v>
      </c>
      <c r="AT83">
        <f t="shared" si="22"/>
        <v>16</v>
      </c>
      <c r="AU83" s="3" t="s">
        <v>299</v>
      </c>
      <c r="AV83">
        <f t="shared" si="23"/>
        <v>1</v>
      </c>
      <c r="AW83">
        <f t="shared" si="24"/>
        <v>0</v>
      </c>
      <c r="AX83">
        <f t="shared" si="25"/>
        <v>1</v>
      </c>
      <c r="AY83">
        <v>26.5</v>
      </c>
      <c r="AZ83" t="s">
        <v>60</v>
      </c>
      <c r="BA83" t="s">
        <v>61</v>
      </c>
      <c r="BB83" t="s">
        <v>7</v>
      </c>
    </row>
    <row r="84" ht="17" spans="1:54">
      <c r="A84" t="s">
        <v>300</v>
      </c>
      <c r="B84" t="s">
        <v>55</v>
      </c>
      <c r="C84" t="s">
        <v>56</v>
      </c>
      <c r="D84">
        <v>35</v>
      </c>
      <c r="E84">
        <v>0</v>
      </c>
      <c r="F84">
        <v>85.6</v>
      </c>
      <c r="G84" t="s">
        <v>106</v>
      </c>
      <c r="H84" s="3" t="s">
        <v>301</v>
      </c>
      <c r="I84" s="3" t="s">
        <v>301</v>
      </c>
      <c r="J84">
        <f t="shared" si="13"/>
        <v>0</v>
      </c>
      <c r="K84">
        <f t="shared" si="14"/>
        <v>0</v>
      </c>
      <c r="L84">
        <f t="shared" si="15"/>
        <v>0</v>
      </c>
      <c r="M84">
        <f t="shared" si="16"/>
        <v>0</v>
      </c>
      <c r="N84">
        <f t="shared" si="17"/>
        <v>0</v>
      </c>
      <c r="O84">
        <f t="shared" si="18"/>
        <v>0</v>
      </c>
      <c r="P84">
        <f t="shared" si="19"/>
        <v>0</v>
      </c>
      <c r="Q84">
        <f t="shared" si="20"/>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f t="shared" si="21"/>
        <v>0</v>
      </c>
      <c r="AT84">
        <f t="shared" si="22"/>
        <v>0</v>
      </c>
      <c r="AU84" s="3" t="s">
        <v>118</v>
      </c>
      <c r="AV84">
        <f t="shared" si="23"/>
        <v>0</v>
      </c>
      <c r="AW84">
        <f t="shared" si="24"/>
        <v>1</v>
      </c>
      <c r="AX84">
        <f t="shared" si="25"/>
        <v>0</v>
      </c>
      <c r="AY84">
        <v>0</v>
      </c>
      <c r="AZ84" t="s">
        <v>147</v>
      </c>
      <c r="BA84" t="s">
        <v>148</v>
      </c>
      <c r="BB84" t="s">
        <v>7</v>
      </c>
    </row>
    <row r="85" ht="51" spans="1:54">
      <c r="A85" t="s">
        <v>302</v>
      </c>
      <c r="B85" t="s">
        <v>55</v>
      </c>
      <c r="C85" t="s">
        <v>56</v>
      </c>
      <c r="D85">
        <v>34</v>
      </c>
      <c r="E85">
        <v>3</v>
      </c>
      <c r="F85">
        <v>44.8</v>
      </c>
      <c r="G85" t="s">
        <v>106</v>
      </c>
      <c r="H85" s="3" t="s">
        <v>303</v>
      </c>
      <c r="I85" s="3" t="s">
        <v>303</v>
      </c>
      <c r="J85">
        <f t="shared" si="13"/>
        <v>1</v>
      </c>
      <c r="K85">
        <f t="shared" si="14"/>
        <v>1</v>
      </c>
      <c r="L85">
        <f t="shared" si="15"/>
        <v>1</v>
      </c>
      <c r="M85">
        <f t="shared" si="16"/>
        <v>0</v>
      </c>
      <c r="N85">
        <f t="shared" si="17"/>
        <v>1</v>
      </c>
      <c r="O85">
        <f t="shared" si="18"/>
        <v>1</v>
      </c>
      <c r="P85">
        <f t="shared" si="19"/>
        <v>0</v>
      </c>
      <c r="Q85">
        <f t="shared" si="20"/>
        <v>1</v>
      </c>
      <c r="R85">
        <v>1</v>
      </c>
      <c r="S85">
        <v>1</v>
      </c>
      <c r="T85">
        <v>1</v>
      </c>
      <c r="U85">
        <v>0</v>
      </c>
      <c r="V85">
        <v>1</v>
      </c>
      <c r="W85">
        <v>0</v>
      </c>
      <c r="X85">
        <v>0</v>
      </c>
      <c r="Y85">
        <v>0</v>
      </c>
      <c r="Z85">
        <v>1</v>
      </c>
      <c r="AA85">
        <v>0</v>
      </c>
      <c r="AB85">
        <v>0</v>
      </c>
      <c r="AC85">
        <v>0</v>
      </c>
      <c r="AD85">
        <v>0</v>
      </c>
      <c r="AE85">
        <v>0</v>
      </c>
      <c r="AF85">
        <v>0</v>
      </c>
      <c r="AG85">
        <v>0</v>
      </c>
      <c r="AH85">
        <v>1</v>
      </c>
      <c r="AI85">
        <v>0</v>
      </c>
      <c r="AJ85">
        <v>0</v>
      </c>
      <c r="AK85">
        <v>1</v>
      </c>
      <c r="AL85">
        <v>0</v>
      </c>
      <c r="AM85">
        <v>0</v>
      </c>
      <c r="AN85">
        <v>0</v>
      </c>
      <c r="AO85">
        <v>0</v>
      </c>
      <c r="AP85">
        <v>0</v>
      </c>
      <c r="AQ85">
        <v>0</v>
      </c>
      <c r="AR85">
        <v>1</v>
      </c>
      <c r="AS85">
        <f t="shared" si="21"/>
        <v>6</v>
      </c>
      <c r="AT85">
        <f t="shared" si="22"/>
        <v>8</v>
      </c>
      <c r="AU85" s="3" t="s">
        <v>304</v>
      </c>
      <c r="AV85">
        <f t="shared" si="23"/>
        <v>1</v>
      </c>
      <c r="AW85">
        <f t="shared" si="24"/>
        <v>0</v>
      </c>
      <c r="AX85">
        <f t="shared" si="25"/>
        <v>1</v>
      </c>
      <c r="AY85">
        <v>7.5</v>
      </c>
      <c r="AZ85" t="s">
        <v>60</v>
      </c>
      <c r="BA85" t="s">
        <v>61</v>
      </c>
      <c r="BB85" t="s">
        <v>7</v>
      </c>
    </row>
    <row r="86" ht="17" spans="1:54">
      <c r="A86" t="s">
        <v>305</v>
      </c>
      <c r="B86" t="s">
        <v>55</v>
      </c>
      <c r="C86" t="s">
        <v>56</v>
      </c>
      <c r="D86">
        <v>32</v>
      </c>
      <c r="E86">
        <v>2</v>
      </c>
      <c r="F86">
        <v>56.2</v>
      </c>
      <c r="G86" t="s">
        <v>106</v>
      </c>
      <c r="H86" s="3" t="s">
        <v>306</v>
      </c>
      <c r="I86" s="3" t="s">
        <v>306</v>
      </c>
      <c r="J86">
        <f t="shared" si="13"/>
        <v>0</v>
      </c>
      <c r="K86">
        <f t="shared" si="14"/>
        <v>0</v>
      </c>
      <c r="L86">
        <f t="shared" si="15"/>
        <v>0</v>
      </c>
      <c r="M86">
        <f t="shared" si="16"/>
        <v>0</v>
      </c>
      <c r="N86">
        <f t="shared" si="17"/>
        <v>0</v>
      </c>
      <c r="O86">
        <f t="shared" si="18"/>
        <v>0</v>
      </c>
      <c r="P86">
        <f t="shared" si="19"/>
        <v>0</v>
      </c>
      <c r="Q86">
        <f t="shared" si="20"/>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f t="shared" si="21"/>
        <v>0</v>
      </c>
      <c r="AT86">
        <f t="shared" si="22"/>
        <v>0</v>
      </c>
      <c r="AU86" s="3" t="s">
        <v>118</v>
      </c>
      <c r="AV86">
        <f t="shared" si="23"/>
        <v>0</v>
      </c>
      <c r="AW86">
        <f t="shared" si="24"/>
        <v>1</v>
      </c>
      <c r="AX86">
        <f t="shared" si="25"/>
        <v>0</v>
      </c>
      <c r="AY86">
        <v>1</v>
      </c>
      <c r="AZ86" t="s">
        <v>60</v>
      </c>
      <c r="BA86" t="s">
        <v>61</v>
      </c>
      <c r="BB86" t="s">
        <v>7</v>
      </c>
    </row>
    <row r="87" ht="34" spans="1:54">
      <c r="A87" t="s">
        <v>307</v>
      </c>
      <c r="B87" t="s">
        <v>55</v>
      </c>
      <c r="C87" t="s">
        <v>56</v>
      </c>
      <c r="D87">
        <v>31</v>
      </c>
      <c r="E87">
        <v>2</v>
      </c>
      <c r="F87">
        <v>34.1</v>
      </c>
      <c r="G87" t="s">
        <v>106</v>
      </c>
      <c r="H87" s="3" t="s">
        <v>308</v>
      </c>
      <c r="I87" s="3" t="s">
        <v>308</v>
      </c>
      <c r="J87">
        <f t="shared" si="13"/>
        <v>0</v>
      </c>
      <c r="K87">
        <f t="shared" si="14"/>
        <v>0</v>
      </c>
      <c r="L87">
        <f t="shared" si="15"/>
        <v>0</v>
      </c>
      <c r="M87">
        <f t="shared" si="16"/>
        <v>0</v>
      </c>
      <c r="N87">
        <f t="shared" si="17"/>
        <v>1</v>
      </c>
      <c r="O87">
        <f t="shared" si="18"/>
        <v>0</v>
      </c>
      <c r="P87">
        <f t="shared" si="19"/>
        <v>0</v>
      </c>
      <c r="Q87">
        <f t="shared" si="20"/>
        <v>0</v>
      </c>
      <c r="R87">
        <v>0</v>
      </c>
      <c r="S87">
        <v>0</v>
      </c>
      <c r="T87">
        <v>0</v>
      </c>
      <c r="U87">
        <v>0</v>
      </c>
      <c r="V87">
        <v>0</v>
      </c>
      <c r="W87">
        <v>0</v>
      </c>
      <c r="X87">
        <v>0</v>
      </c>
      <c r="Y87">
        <v>0</v>
      </c>
      <c r="Z87">
        <v>0</v>
      </c>
      <c r="AA87">
        <v>0</v>
      </c>
      <c r="AB87">
        <v>0</v>
      </c>
      <c r="AC87">
        <v>0</v>
      </c>
      <c r="AD87">
        <v>0</v>
      </c>
      <c r="AE87">
        <v>0</v>
      </c>
      <c r="AF87">
        <v>0</v>
      </c>
      <c r="AG87">
        <v>0</v>
      </c>
      <c r="AH87">
        <v>1</v>
      </c>
      <c r="AI87">
        <v>0</v>
      </c>
      <c r="AJ87">
        <v>0</v>
      </c>
      <c r="AK87">
        <v>0</v>
      </c>
      <c r="AL87">
        <v>0</v>
      </c>
      <c r="AM87">
        <v>0</v>
      </c>
      <c r="AN87">
        <v>0</v>
      </c>
      <c r="AO87">
        <v>0</v>
      </c>
      <c r="AP87">
        <v>0</v>
      </c>
      <c r="AQ87">
        <v>0</v>
      </c>
      <c r="AR87">
        <v>0</v>
      </c>
      <c r="AS87">
        <f t="shared" si="21"/>
        <v>1</v>
      </c>
      <c r="AT87">
        <f t="shared" si="22"/>
        <v>1</v>
      </c>
      <c r="AU87" s="3" t="s">
        <v>129</v>
      </c>
      <c r="AV87">
        <f t="shared" si="23"/>
        <v>1</v>
      </c>
      <c r="AW87">
        <f t="shared" si="24"/>
        <v>0</v>
      </c>
      <c r="AX87">
        <f t="shared" si="25"/>
        <v>0</v>
      </c>
      <c r="AY87">
        <v>3.5</v>
      </c>
      <c r="AZ87" t="s">
        <v>60</v>
      </c>
      <c r="BA87" t="s">
        <v>61</v>
      </c>
      <c r="BB87" t="s">
        <v>7</v>
      </c>
    </row>
    <row r="88" ht="101" spans="1:54">
      <c r="A88" t="s">
        <v>309</v>
      </c>
      <c r="B88" t="s">
        <v>55</v>
      </c>
      <c r="C88" t="s">
        <v>56</v>
      </c>
      <c r="D88">
        <v>29</v>
      </c>
      <c r="E88">
        <v>1</v>
      </c>
      <c r="F88">
        <v>95.2</v>
      </c>
      <c r="G88" t="s">
        <v>106</v>
      </c>
      <c r="H88" s="3" t="s">
        <v>310</v>
      </c>
      <c r="I88" s="3" t="s">
        <v>310</v>
      </c>
      <c r="J88">
        <f t="shared" si="13"/>
        <v>1</v>
      </c>
      <c r="K88">
        <f t="shared" si="14"/>
        <v>1</v>
      </c>
      <c r="L88">
        <f t="shared" si="15"/>
        <v>1</v>
      </c>
      <c r="M88">
        <f t="shared" si="16"/>
        <v>0</v>
      </c>
      <c r="N88">
        <f t="shared" si="17"/>
        <v>1</v>
      </c>
      <c r="O88">
        <f t="shared" si="18"/>
        <v>1</v>
      </c>
      <c r="P88">
        <f t="shared" si="19"/>
        <v>0</v>
      </c>
      <c r="Q88">
        <f t="shared" si="20"/>
        <v>0</v>
      </c>
      <c r="R88">
        <v>1</v>
      </c>
      <c r="S88">
        <v>0</v>
      </c>
      <c r="T88">
        <v>0</v>
      </c>
      <c r="U88">
        <v>1</v>
      </c>
      <c r="V88">
        <v>0</v>
      </c>
      <c r="W88">
        <v>0</v>
      </c>
      <c r="X88">
        <v>0</v>
      </c>
      <c r="Y88">
        <v>0</v>
      </c>
      <c r="Z88">
        <v>1</v>
      </c>
      <c r="AA88">
        <v>1</v>
      </c>
      <c r="AB88">
        <v>1</v>
      </c>
      <c r="AC88">
        <v>1</v>
      </c>
      <c r="AD88">
        <v>0</v>
      </c>
      <c r="AE88">
        <v>0</v>
      </c>
      <c r="AF88">
        <v>0</v>
      </c>
      <c r="AG88">
        <v>1</v>
      </c>
      <c r="AH88">
        <v>1</v>
      </c>
      <c r="AI88">
        <v>1</v>
      </c>
      <c r="AJ88">
        <v>1</v>
      </c>
      <c r="AK88">
        <v>0</v>
      </c>
      <c r="AL88">
        <v>0</v>
      </c>
      <c r="AM88">
        <v>0</v>
      </c>
      <c r="AN88">
        <v>0</v>
      </c>
      <c r="AO88">
        <v>0</v>
      </c>
      <c r="AP88">
        <v>0</v>
      </c>
      <c r="AQ88">
        <v>0</v>
      </c>
      <c r="AR88">
        <v>0</v>
      </c>
      <c r="AS88">
        <f t="shared" si="21"/>
        <v>5</v>
      </c>
      <c r="AT88">
        <f t="shared" si="22"/>
        <v>10</v>
      </c>
      <c r="AU88" s="3" t="s">
        <v>311</v>
      </c>
      <c r="AV88">
        <f t="shared" si="23"/>
        <v>1</v>
      </c>
      <c r="AW88">
        <f t="shared" si="24"/>
        <v>0</v>
      </c>
      <c r="AX88">
        <f t="shared" si="25"/>
        <v>1</v>
      </c>
      <c r="AY88">
        <v>7</v>
      </c>
      <c r="AZ88" t="s">
        <v>60</v>
      </c>
      <c r="BA88" t="s">
        <v>61</v>
      </c>
      <c r="BB88" t="s">
        <v>7</v>
      </c>
    </row>
    <row r="89" ht="34" spans="1:54">
      <c r="A89" t="s">
        <v>312</v>
      </c>
      <c r="B89" t="s">
        <v>55</v>
      </c>
      <c r="C89" t="s">
        <v>56</v>
      </c>
      <c r="D89">
        <v>29</v>
      </c>
      <c r="E89">
        <v>1</v>
      </c>
      <c r="F89">
        <v>68.5</v>
      </c>
      <c r="G89" t="s">
        <v>106</v>
      </c>
      <c r="H89" s="3" t="s">
        <v>313</v>
      </c>
      <c r="I89" s="3" t="s">
        <v>313</v>
      </c>
      <c r="J89">
        <f t="shared" si="13"/>
        <v>0</v>
      </c>
      <c r="K89">
        <f t="shared" si="14"/>
        <v>0</v>
      </c>
      <c r="L89">
        <f t="shared" si="15"/>
        <v>1</v>
      </c>
      <c r="M89">
        <f t="shared" si="16"/>
        <v>0</v>
      </c>
      <c r="N89">
        <f t="shared" si="17"/>
        <v>0</v>
      </c>
      <c r="O89">
        <f t="shared" si="18"/>
        <v>0</v>
      </c>
      <c r="P89">
        <f t="shared" si="19"/>
        <v>0</v>
      </c>
      <c r="Q89">
        <f t="shared" si="20"/>
        <v>0</v>
      </c>
      <c r="R89">
        <v>0</v>
      </c>
      <c r="S89">
        <v>0</v>
      </c>
      <c r="T89">
        <v>0</v>
      </c>
      <c r="U89">
        <v>0</v>
      </c>
      <c r="V89">
        <v>0</v>
      </c>
      <c r="W89">
        <v>0</v>
      </c>
      <c r="X89">
        <v>0</v>
      </c>
      <c r="Y89">
        <v>0</v>
      </c>
      <c r="Z89">
        <v>1</v>
      </c>
      <c r="AA89">
        <v>1</v>
      </c>
      <c r="AB89">
        <v>0</v>
      </c>
      <c r="AC89">
        <v>0</v>
      </c>
      <c r="AD89">
        <v>0</v>
      </c>
      <c r="AE89">
        <v>0</v>
      </c>
      <c r="AF89">
        <v>0</v>
      </c>
      <c r="AG89">
        <v>0</v>
      </c>
      <c r="AH89">
        <v>0</v>
      </c>
      <c r="AI89">
        <v>0</v>
      </c>
      <c r="AJ89">
        <v>0</v>
      </c>
      <c r="AK89">
        <v>0</v>
      </c>
      <c r="AL89">
        <v>0</v>
      </c>
      <c r="AM89">
        <v>0</v>
      </c>
      <c r="AN89">
        <v>0</v>
      </c>
      <c r="AO89">
        <v>0</v>
      </c>
      <c r="AP89">
        <v>0</v>
      </c>
      <c r="AQ89">
        <v>0</v>
      </c>
      <c r="AR89">
        <v>0</v>
      </c>
      <c r="AS89">
        <f t="shared" si="21"/>
        <v>1</v>
      </c>
      <c r="AT89">
        <f t="shared" si="22"/>
        <v>2</v>
      </c>
      <c r="AU89" s="3" t="s">
        <v>314</v>
      </c>
      <c r="AV89">
        <f t="shared" si="23"/>
        <v>1</v>
      </c>
      <c r="AW89">
        <f t="shared" si="24"/>
        <v>0</v>
      </c>
      <c r="AX89">
        <f t="shared" si="25"/>
        <v>0</v>
      </c>
      <c r="AY89">
        <v>0</v>
      </c>
      <c r="AZ89" t="s">
        <v>147</v>
      </c>
      <c r="BA89" t="s">
        <v>148</v>
      </c>
      <c r="BB89" t="s">
        <v>7</v>
      </c>
    </row>
    <row r="90" ht="17" spans="1:54">
      <c r="A90" t="s">
        <v>315</v>
      </c>
      <c r="B90" t="s">
        <v>55</v>
      </c>
      <c r="C90" t="s">
        <v>56</v>
      </c>
      <c r="D90">
        <v>27</v>
      </c>
      <c r="E90">
        <v>0</v>
      </c>
      <c r="F90">
        <v>38.8</v>
      </c>
      <c r="G90" t="s">
        <v>106</v>
      </c>
      <c r="H90" s="3" t="s">
        <v>316</v>
      </c>
      <c r="I90" s="3" t="s">
        <v>316</v>
      </c>
      <c r="J90">
        <f t="shared" si="13"/>
        <v>1</v>
      </c>
      <c r="K90">
        <f t="shared" si="14"/>
        <v>0</v>
      </c>
      <c r="L90">
        <f t="shared" si="15"/>
        <v>0</v>
      </c>
      <c r="M90">
        <f t="shared" si="16"/>
        <v>0</v>
      </c>
      <c r="N90">
        <f t="shared" si="17"/>
        <v>0</v>
      </c>
      <c r="O90">
        <f t="shared" si="18"/>
        <v>0</v>
      </c>
      <c r="P90">
        <f t="shared" si="19"/>
        <v>0</v>
      </c>
      <c r="Q90">
        <f t="shared" si="20"/>
        <v>0</v>
      </c>
      <c r="R90">
        <v>1</v>
      </c>
      <c r="S90">
        <v>0</v>
      </c>
      <c r="T90">
        <v>1</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f t="shared" si="21"/>
        <v>1</v>
      </c>
      <c r="AT90">
        <f t="shared" si="22"/>
        <v>2</v>
      </c>
      <c r="AU90" s="3" t="s">
        <v>317</v>
      </c>
      <c r="AV90">
        <f t="shared" si="23"/>
        <v>1</v>
      </c>
      <c r="AW90">
        <f t="shared" si="24"/>
        <v>0</v>
      </c>
      <c r="AX90">
        <f t="shared" si="25"/>
        <v>0</v>
      </c>
      <c r="AY90">
        <v>2.5</v>
      </c>
      <c r="AZ90" t="s">
        <v>60</v>
      </c>
      <c r="BA90" t="s">
        <v>61</v>
      </c>
      <c r="BB90" t="s">
        <v>7</v>
      </c>
    </row>
    <row r="91" ht="118" spans="1:54">
      <c r="A91" t="s">
        <v>318</v>
      </c>
      <c r="B91" t="s">
        <v>55</v>
      </c>
      <c r="C91" t="s">
        <v>56</v>
      </c>
      <c r="D91">
        <v>23</v>
      </c>
      <c r="E91">
        <v>6</v>
      </c>
      <c r="F91">
        <v>54.2</v>
      </c>
      <c r="G91" t="s">
        <v>106</v>
      </c>
      <c r="H91" s="3" t="s">
        <v>319</v>
      </c>
      <c r="I91" s="3" t="s">
        <v>319</v>
      </c>
      <c r="J91">
        <f t="shared" si="13"/>
        <v>0</v>
      </c>
      <c r="K91">
        <f t="shared" si="14"/>
        <v>0</v>
      </c>
      <c r="L91">
        <f t="shared" si="15"/>
        <v>0</v>
      </c>
      <c r="M91">
        <f t="shared" si="16"/>
        <v>0</v>
      </c>
      <c r="N91">
        <f t="shared" si="17"/>
        <v>0</v>
      </c>
      <c r="O91">
        <f t="shared" si="18"/>
        <v>0</v>
      </c>
      <c r="P91">
        <f t="shared" si="19"/>
        <v>0</v>
      </c>
      <c r="Q91">
        <f t="shared" si="20"/>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f t="shared" si="21"/>
        <v>0</v>
      </c>
      <c r="AT91">
        <f t="shared" si="22"/>
        <v>0</v>
      </c>
      <c r="AU91" s="3" t="s">
        <v>118</v>
      </c>
      <c r="AV91">
        <f t="shared" si="23"/>
        <v>0</v>
      </c>
      <c r="AW91">
        <f t="shared" si="24"/>
        <v>1</v>
      </c>
      <c r="AX91">
        <f t="shared" si="25"/>
        <v>0</v>
      </c>
      <c r="AY91">
        <v>2</v>
      </c>
      <c r="AZ91" t="s">
        <v>60</v>
      </c>
      <c r="BA91" t="s">
        <v>61</v>
      </c>
      <c r="BB91" t="s">
        <v>7</v>
      </c>
    </row>
    <row r="92" ht="34" spans="1:54">
      <c r="A92" t="s">
        <v>320</v>
      </c>
      <c r="B92" t="s">
        <v>55</v>
      </c>
      <c r="C92" t="s">
        <v>56</v>
      </c>
      <c r="D92">
        <v>22</v>
      </c>
      <c r="E92">
        <v>1</v>
      </c>
      <c r="F92">
        <v>87.7</v>
      </c>
      <c r="G92" t="s">
        <v>106</v>
      </c>
      <c r="H92" s="3" t="s">
        <v>321</v>
      </c>
      <c r="I92" s="3" t="s">
        <v>321</v>
      </c>
      <c r="J92">
        <f t="shared" si="13"/>
        <v>1</v>
      </c>
      <c r="K92">
        <f t="shared" si="14"/>
        <v>0</v>
      </c>
      <c r="L92">
        <f t="shared" si="15"/>
        <v>0</v>
      </c>
      <c r="M92">
        <f t="shared" si="16"/>
        <v>0</v>
      </c>
      <c r="N92">
        <f t="shared" si="17"/>
        <v>0</v>
      </c>
      <c r="O92">
        <f t="shared" si="18"/>
        <v>0</v>
      </c>
      <c r="P92">
        <f t="shared" si="19"/>
        <v>0</v>
      </c>
      <c r="Q92">
        <f t="shared" si="20"/>
        <v>1</v>
      </c>
      <c r="R92">
        <v>0</v>
      </c>
      <c r="S92">
        <v>1</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1</v>
      </c>
      <c r="AS92">
        <f t="shared" si="21"/>
        <v>2</v>
      </c>
      <c r="AT92">
        <f t="shared" si="22"/>
        <v>2</v>
      </c>
      <c r="AU92" s="3" t="s">
        <v>322</v>
      </c>
      <c r="AV92">
        <f t="shared" si="23"/>
        <v>1</v>
      </c>
      <c r="AW92">
        <f t="shared" si="24"/>
        <v>0</v>
      </c>
      <c r="AX92">
        <f t="shared" si="25"/>
        <v>0</v>
      </c>
      <c r="AY92">
        <v>3</v>
      </c>
      <c r="AZ92" t="s">
        <v>60</v>
      </c>
      <c r="BA92" t="s">
        <v>61</v>
      </c>
      <c r="BB92" t="s">
        <v>7</v>
      </c>
    </row>
    <row r="93" ht="101" spans="1:54">
      <c r="A93" t="s">
        <v>323</v>
      </c>
      <c r="B93" t="s">
        <v>55</v>
      </c>
      <c r="C93" t="s">
        <v>56</v>
      </c>
      <c r="D93">
        <v>1046</v>
      </c>
      <c r="E93">
        <v>937</v>
      </c>
      <c r="F93">
        <v>42.8</v>
      </c>
      <c r="G93" t="s">
        <v>324</v>
      </c>
      <c r="H93" s="3" t="s">
        <v>325</v>
      </c>
      <c r="I93" s="3" t="s">
        <v>325</v>
      </c>
      <c r="J93">
        <f t="shared" si="13"/>
        <v>1</v>
      </c>
      <c r="K93">
        <f t="shared" si="14"/>
        <v>0</v>
      </c>
      <c r="L93">
        <f t="shared" si="15"/>
        <v>1</v>
      </c>
      <c r="M93">
        <f t="shared" si="16"/>
        <v>0</v>
      </c>
      <c r="N93">
        <f t="shared" si="17"/>
        <v>0</v>
      </c>
      <c r="O93">
        <f t="shared" si="18"/>
        <v>0</v>
      </c>
      <c r="P93">
        <f t="shared" si="19"/>
        <v>0</v>
      </c>
      <c r="Q93">
        <f t="shared" si="20"/>
        <v>0</v>
      </c>
      <c r="R93">
        <v>1</v>
      </c>
      <c r="S93">
        <v>0</v>
      </c>
      <c r="T93">
        <v>0</v>
      </c>
      <c r="U93">
        <v>0</v>
      </c>
      <c r="V93">
        <v>0</v>
      </c>
      <c r="W93">
        <v>0</v>
      </c>
      <c r="X93">
        <v>0</v>
      </c>
      <c r="Y93">
        <v>0</v>
      </c>
      <c r="Z93">
        <v>0</v>
      </c>
      <c r="AA93">
        <v>1</v>
      </c>
      <c r="AB93">
        <v>0</v>
      </c>
      <c r="AC93">
        <v>0</v>
      </c>
      <c r="AD93">
        <v>0</v>
      </c>
      <c r="AE93">
        <v>0</v>
      </c>
      <c r="AF93">
        <v>0</v>
      </c>
      <c r="AG93">
        <v>0</v>
      </c>
      <c r="AH93">
        <v>0</v>
      </c>
      <c r="AI93">
        <v>0</v>
      </c>
      <c r="AJ93">
        <v>0</v>
      </c>
      <c r="AK93">
        <v>0</v>
      </c>
      <c r="AL93">
        <v>0</v>
      </c>
      <c r="AM93">
        <v>0</v>
      </c>
      <c r="AN93">
        <v>0</v>
      </c>
      <c r="AO93">
        <v>0</v>
      </c>
      <c r="AP93">
        <v>0</v>
      </c>
      <c r="AQ93">
        <v>0</v>
      </c>
      <c r="AR93">
        <v>0</v>
      </c>
      <c r="AS93">
        <f t="shared" si="21"/>
        <v>2</v>
      </c>
      <c r="AT93">
        <f t="shared" si="22"/>
        <v>2</v>
      </c>
      <c r="AU93" s="3" t="s">
        <v>326</v>
      </c>
      <c r="AV93">
        <f t="shared" si="23"/>
        <v>1</v>
      </c>
      <c r="AW93">
        <f t="shared" si="24"/>
        <v>0</v>
      </c>
      <c r="AX93">
        <f t="shared" si="25"/>
        <v>0</v>
      </c>
      <c r="AY93">
        <v>3</v>
      </c>
      <c r="AZ93" t="s">
        <v>60</v>
      </c>
      <c r="BA93" t="s">
        <v>61</v>
      </c>
      <c r="BB93" t="s">
        <v>7</v>
      </c>
    </row>
    <row r="94" ht="409.5" spans="1:54">
      <c r="A94" t="s">
        <v>327</v>
      </c>
      <c r="B94" t="s">
        <v>55</v>
      </c>
      <c r="C94" t="s">
        <v>116</v>
      </c>
      <c r="D94">
        <v>451</v>
      </c>
      <c r="E94">
        <v>15</v>
      </c>
      <c r="F94">
        <v>50.6</v>
      </c>
      <c r="G94" t="s">
        <v>324</v>
      </c>
      <c r="H94" s="3" t="s">
        <v>328</v>
      </c>
      <c r="I94" s="3" t="s">
        <v>328</v>
      </c>
      <c r="J94">
        <f t="shared" si="13"/>
        <v>1</v>
      </c>
      <c r="K94">
        <f t="shared" si="14"/>
        <v>1</v>
      </c>
      <c r="L94">
        <f t="shared" si="15"/>
        <v>1</v>
      </c>
      <c r="M94">
        <f t="shared" si="16"/>
        <v>1</v>
      </c>
      <c r="N94">
        <f t="shared" si="17"/>
        <v>1</v>
      </c>
      <c r="O94">
        <f t="shared" si="18"/>
        <v>1</v>
      </c>
      <c r="P94">
        <f t="shared" si="19"/>
        <v>1</v>
      </c>
      <c r="Q94">
        <f t="shared" si="20"/>
        <v>0</v>
      </c>
      <c r="R94">
        <v>1</v>
      </c>
      <c r="S94">
        <v>0</v>
      </c>
      <c r="T94">
        <v>1</v>
      </c>
      <c r="U94">
        <v>1</v>
      </c>
      <c r="V94">
        <v>1</v>
      </c>
      <c r="W94">
        <v>1</v>
      </c>
      <c r="X94">
        <v>1</v>
      </c>
      <c r="Y94">
        <v>1</v>
      </c>
      <c r="Z94">
        <v>1</v>
      </c>
      <c r="AA94">
        <v>1</v>
      </c>
      <c r="AB94">
        <v>1</v>
      </c>
      <c r="AC94">
        <v>1</v>
      </c>
      <c r="AD94">
        <v>1</v>
      </c>
      <c r="AE94">
        <v>0</v>
      </c>
      <c r="AF94">
        <v>1</v>
      </c>
      <c r="AG94">
        <v>1</v>
      </c>
      <c r="AH94">
        <v>1</v>
      </c>
      <c r="AI94">
        <v>0</v>
      </c>
      <c r="AJ94">
        <v>0</v>
      </c>
      <c r="AK94">
        <v>1</v>
      </c>
      <c r="AL94">
        <v>1</v>
      </c>
      <c r="AM94">
        <v>0</v>
      </c>
      <c r="AN94">
        <v>0</v>
      </c>
      <c r="AO94">
        <v>0</v>
      </c>
      <c r="AP94">
        <v>1</v>
      </c>
      <c r="AQ94">
        <v>1</v>
      </c>
      <c r="AR94">
        <v>0</v>
      </c>
      <c r="AS94">
        <f t="shared" si="21"/>
        <v>7</v>
      </c>
      <c r="AT94">
        <f t="shared" si="22"/>
        <v>19</v>
      </c>
      <c r="AU94" s="3" t="s">
        <v>329</v>
      </c>
      <c r="AV94">
        <f t="shared" si="23"/>
        <v>1</v>
      </c>
      <c r="AW94">
        <f t="shared" si="24"/>
        <v>0</v>
      </c>
      <c r="AX94">
        <f t="shared" si="25"/>
        <v>1</v>
      </c>
      <c r="AY94">
        <v>36.5</v>
      </c>
      <c r="AZ94" t="s">
        <v>60</v>
      </c>
      <c r="BA94" t="s">
        <v>61</v>
      </c>
      <c r="BB94" t="s">
        <v>7</v>
      </c>
    </row>
    <row r="95" ht="101" spans="1:54">
      <c r="A95" t="s">
        <v>330</v>
      </c>
      <c r="B95" t="s">
        <v>55</v>
      </c>
      <c r="C95" t="s">
        <v>56</v>
      </c>
      <c r="D95">
        <v>355</v>
      </c>
      <c r="E95">
        <v>12</v>
      </c>
      <c r="F95">
        <v>68.8</v>
      </c>
      <c r="G95" t="s">
        <v>324</v>
      </c>
      <c r="H95" s="3" t="s">
        <v>331</v>
      </c>
      <c r="I95" s="3" t="s">
        <v>331</v>
      </c>
      <c r="J95">
        <f t="shared" si="13"/>
        <v>1</v>
      </c>
      <c r="K95">
        <f t="shared" si="14"/>
        <v>1</v>
      </c>
      <c r="L95">
        <f t="shared" si="15"/>
        <v>1</v>
      </c>
      <c r="M95">
        <f t="shared" si="16"/>
        <v>0</v>
      </c>
      <c r="N95">
        <f t="shared" si="17"/>
        <v>1</v>
      </c>
      <c r="O95">
        <f t="shared" si="18"/>
        <v>1</v>
      </c>
      <c r="P95">
        <f t="shared" si="19"/>
        <v>1</v>
      </c>
      <c r="Q95">
        <f t="shared" si="20"/>
        <v>1</v>
      </c>
      <c r="R95">
        <v>1</v>
      </c>
      <c r="S95">
        <v>0</v>
      </c>
      <c r="T95">
        <v>0</v>
      </c>
      <c r="U95">
        <v>0</v>
      </c>
      <c r="V95">
        <v>1</v>
      </c>
      <c r="W95">
        <v>0</v>
      </c>
      <c r="X95">
        <v>0</v>
      </c>
      <c r="Y95">
        <v>0</v>
      </c>
      <c r="Z95">
        <v>1</v>
      </c>
      <c r="AA95">
        <v>0</v>
      </c>
      <c r="AB95">
        <v>1</v>
      </c>
      <c r="AC95">
        <v>0</v>
      </c>
      <c r="AD95">
        <v>0</v>
      </c>
      <c r="AE95">
        <v>0</v>
      </c>
      <c r="AF95">
        <v>0</v>
      </c>
      <c r="AG95">
        <v>0</v>
      </c>
      <c r="AH95">
        <v>1</v>
      </c>
      <c r="AI95">
        <v>0</v>
      </c>
      <c r="AJ95">
        <v>1</v>
      </c>
      <c r="AK95">
        <v>0</v>
      </c>
      <c r="AL95">
        <v>0</v>
      </c>
      <c r="AM95">
        <v>0</v>
      </c>
      <c r="AN95">
        <v>0</v>
      </c>
      <c r="AO95">
        <v>0</v>
      </c>
      <c r="AP95">
        <v>0</v>
      </c>
      <c r="AQ95">
        <v>1</v>
      </c>
      <c r="AR95">
        <v>1</v>
      </c>
      <c r="AS95">
        <f t="shared" si="21"/>
        <v>7</v>
      </c>
      <c r="AT95">
        <f t="shared" si="22"/>
        <v>8</v>
      </c>
      <c r="AU95" s="3" t="s">
        <v>332</v>
      </c>
      <c r="AV95">
        <f t="shared" si="23"/>
        <v>1</v>
      </c>
      <c r="AW95">
        <f t="shared" si="24"/>
        <v>0</v>
      </c>
      <c r="AX95">
        <f t="shared" si="25"/>
        <v>1</v>
      </c>
      <c r="AY95">
        <v>4.5</v>
      </c>
      <c r="AZ95" t="s">
        <v>60</v>
      </c>
      <c r="BA95" t="s">
        <v>61</v>
      </c>
      <c r="BB95" t="s">
        <v>7</v>
      </c>
    </row>
    <row r="96" ht="409.5" spans="1:54">
      <c r="A96" t="s">
        <v>333</v>
      </c>
      <c r="B96" t="s">
        <v>55</v>
      </c>
      <c r="C96" t="s">
        <v>116</v>
      </c>
      <c r="D96">
        <v>258</v>
      </c>
      <c r="E96">
        <v>12</v>
      </c>
      <c r="F96">
        <v>7.3</v>
      </c>
      <c r="G96" t="s">
        <v>324</v>
      </c>
      <c r="H96" s="3" t="s">
        <v>334</v>
      </c>
      <c r="I96" s="3" t="s">
        <v>334</v>
      </c>
      <c r="J96">
        <f t="shared" si="13"/>
        <v>1</v>
      </c>
      <c r="K96">
        <f t="shared" si="14"/>
        <v>1</v>
      </c>
      <c r="L96">
        <f t="shared" si="15"/>
        <v>1</v>
      </c>
      <c r="M96">
        <f t="shared" si="16"/>
        <v>1</v>
      </c>
      <c r="N96">
        <f t="shared" si="17"/>
        <v>1</v>
      </c>
      <c r="O96">
        <f t="shared" si="18"/>
        <v>1</v>
      </c>
      <c r="P96">
        <f t="shared" si="19"/>
        <v>1</v>
      </c>
      <c r="Q96">
        <f t="shared" si="20"/>
        <v>1</v>
      </c>
      <c r="R96">
        <v>1</v>
      </c>
      <c r="S96">
        <v>1</v>
      </c>
      <c r="T96">
        <v>0</v>
      </c>
      <c r="U96">
        <v>1</v>
      </c>
      <c r="V96">
        <v>1</v>
      </c>
      <c r="W96">
        <v>1</v>
      </c>
      <c r="X96">
        <v>0</v>
      </c>
      <c r="Y96">
        <v>0</v>
      </c>
      <c r="Z96">
        <v>1</v>
      </c>
      <c r="AA96">
        <v>1</v>
      </c>
      <c r="AB96">
        <v>1</v>
      </c>
      <c r="AC96">
        <v>1</v>
      </c>
      <c r="AD96">
        <v>1</v>
      </c>
      <c r="AE96">
        <v>0</v>
      </c>
      <c r="AF96">
        <v>0</v>
      </c>
      <c r="AG96">
        <v>1</v>
      </c>
      <c r="AH96">
        <v>1</v>
      </c>
      <c r="AI96">
        <v>1</v>
      </c>
      <c r="AJ96">
        <v>1</v>
      </c>
      <c r="AK96">
        <v>0</v>
      </c>
      <c r="AL96">
        <v>1</v>
      </c>
      <c r="AM96">
        <v>0</v>
      </c>
      <c r="AN96">
        <v>0</v>
      </c>
      <c r="AO96">
        <v>0</v>
      </c>
      <c r="AP96">
        <v>0</v>
      </c>
      <c r="AQ96">
        <v>1</v>
      </c>
      <c r="AR96">
        <v>1</v>
      </c>
      <c r="AS96">
        <f t="shared" si="21"/>
        <v>8</v>
      </c>
      <c r="AT96">
        <f t="shared" si="22"/>
        <v>17</v>
      </c>
      <c r="AU96" s="3" t="s">
        <v>335</v>
      </c>
      <c r="AV96">
        <f t="shared" si="23"/>
        <v>1</v>
      </c>
      <c r="AW96">
        <f t="shared" si="24"/>
        <v>0</v>
      </c>
      <c r="AX96">
        <f t="shared" si="25"/>
        <v>1</v>
      </c>
      <c r="AY96">
        <v>15</v>
      </c>
      <c r="AZ96" t="s">
        <v>60</v>
      </c>
      <c r="BA96" t="s">
        <v>61</v>
      </c>
      <c r="BB96" t="s">
        <v>7</v>
      </c>
    </row>
    <row r="97" ht="409.5" spans="1:54">
      <c r="A97" t="s">
        <v>336</v>
      </c>
      <c r="B97" t="s">
        <v>55</v>
      </c>
      <c r="C97" t="s">
        <v>116</v>
      </c>
      <c r="D97">
        <v>211</v>
      </c>
      <c r="E97">
        <v>8</v>
      </c>
      <c r="F97">
        <v>12.5</v>
      </c>
      <c r="G97" t="s">
        <v>324</v>
      </c>
      <c r="H97" s="3" t="s">
        <v>337</v>
      </c>
      <c r="I97" s="3" t="s">
        <v>337</v>
      </c>
      <c r="J97">
        <f t="shared" si="13"/>
        <v>1</v>
      </c>
      <c r="K97">
        <f t="shared" si="14"/>
        <v>1</v>
      </c>
      <c r="L97">
        <f t="shared" si="15"/>
        <v>0</v>
      </c>
      <c r="M97">
        <f t="shared" si="16"/>
        <v>0</v>
      </c>
      <c r="N97">
        <f t="shared" si="17"/>
        <v>1</v>
      </c>
      <c r="O97">
        <f t="shared" si="18"/>
        <v>1</v>
      </c>
      <c r="P97">
        <f t="shared" si="19"/>
        <v>1</v>
      </c>
      <c r="Q97">
        <f t="shared" si="20"/>
        <v>1</v>
      </c>
      <c r="R97">
        <v>1</v>
      </c>
      <c r="S97">
        <v>0</v>
      </c>
      <c r="T97">
        <v>0</v>
      </c>
      <c r="U97">
        <v>0</v>
      </c>
      <c r="V97">
        <v>0</v>
      </c>
      <c r="W97">
        <v>1</v>
      </c>
      <c r="X97">
        <v>1</v>
      </c>
      <c r="Y97">
        <v>0</v>
      </c>
      <c r="Z97">
        <v>0</v>
      </c>
      <c r="AA97">
        <v>0</v>
      </c>
      <c r="AB97">
        <v>0</v>
      </c>
      <c r="AC97">
        <v>0</v>
      </c>
      <c r="AD97">
        <v>0</v>
      </c>
      <c r="AE97">
        <v>0</v>
      </c>
      <c r="AF97">
        <v>0</v>
      </c>
      <c r="AG97">
        <v>1</v>
      </c>
      <c r="AH97">
        <v>1</v>
      </c>
      <c r="AI97">
        <v>1</v>
      </c>
      <c r="AJ97">
        <v>0</v>
      </c>
      <c r="AK97">
        <v>0</v>
      </c>
      <c r="AL97">
        <v>1</v>
      </c>
      <c r="AM97">
        <v>0</v>
      </c>
      <c r="AN97">
        <v>0</v>
      </c>
      <c r="AO97">
        <v>0</v>
      </c>
      <c r="AP97">
        <v>0</v>
      </c>
      <c r="AQ97">
        <v>1</v>
      </c>
      <c r="AR97">
        <v>1</v>
      </c>
      <c r="AS97">
        <f t="shared" si="21"/>
        <v>6</v>
      </c>
      <c r="AT97">
        <f t="shared" si="22"/>
        <v>9</v>
      </c>
      <c r="AU97" s="3" t="s">
        <v>338</v>
      </c>
      <c r="AV97">
        <f t="shared" si="23"/>
        <v>1</v>
      </c>
      <c r="AW97">
        <f t="shared" si="24"/>
        <v>0</v>
      </c>
      <c r="AX97">
        <f t="shared" si="25"/>
        <v>1</v>
      </c>
      <c r="AY97">
        <v>21</v>
      </c>
      <c r="AZ97" t="s">
        <v>60</v>
      </c>
      <c r="BA97" t="s">
        <v>61</v>
      </c>
      <c r="BB97" t="s">
        <v>7</v>
      </c>
    </row>
    <row r="98" ht="17" spans="1:54">
      <c r="A98" t="s">
        <v>339</v>
      </c>
      <c r="B98" t="s">
        <v>55</v>
      </c>
      <c r="C98" t="s">
        <v>56</v>
      </c>
      <c r="D98">
        <v>76</v>
      </c>
      <c r="E98">
        <v>3</v>
      </c>
      <c r="F98">
        <v>59.4</v>
      </c>
      <c r="G98" t="s">
        <v>324</v>
      </c>
      <c r="H98" s="3" t="s">
        <v>340</v>
      </c>
      <c r="I98" s="3" t="s">
        <v>340</v>
      </c>
      <c r="J98">
        <f t="shared" si="13"/>
        <v>1</v>
      </c>
      <c r="K98">
        <f t="shared" si="14"/>
        <v>1</v>
      </c>
      <c r="L98">
        <f t="shared" si="15"/>
        <v>0</v>
      </c>
      <c r="M98">
        <f t="shared" si="16"/>
        <v>1</v>
      </c>
      <c r="N98">
        <f t="shared" si="17"/>
        <v>1</v>
      </c>
      <c r="O98">
        <f t="shared" si="18"/>
        <v>0</v>
      </c>
      <c r="P98">
        <f t="shared" si="19"/>
        <v>0</v>
      </c>
      <c r="Q98">
        <f t="shared" si="20"/>
        <v>0</v>
      </c>
      <c r="R98">
        <v>1</v>
      </c>
      <c r="S98">
        <v>0</v>
      </c>
      <c r="T98">
        <v>0</v>
      </c>
      <c r="U98">
        <v>1</v>
      </c>
      <c r="V98">
        <v>0</v>
      </c>
      <c r="W98">
        <v>0</v>
      </c>
      <c r="X98">
        <v>0</v>
      </c>
      <c r="Y98">
        <v>0</v>
      </c>
      <c r="Z98">
        <v>0</v>
      </c>
      <c r="AA98">
        <v>0</v>
      </c>
      <c r="AB98">
        <v>0</v>
      </c>
      <c r="AC98">
        <v>0</v>
      </c>
      <c r="AD98">
        <v>1</v>
      </c>
      <c r="AE98">
        <v>0</v>
      </c>
      <c r="AF98">
        <v>0</v>
      </c>
      <c r="AG98">
        <v>0</v>
      </c>
      <c r="AH98">
        <v>1</v>
      </c>
      <c r="AI98">
        <v>0</v>
      </c>
      <c r="AJ98">
        <v>0</v>
      </c>
      <c r="AK98">
        <v>0</v>
      </c>
      <c r="AL98">
        <v>0</v>
      </c>
      <c r="AM98">
        <v>0</v>
      </c>
      <c r="AN98">
        <v>0</v>
      </c>
      <c r="AO98">
        <v>0</v>
      </c>
      <c r="AP98">
        <v>0</v>
      </c>
      <c r="AQ98">
        <v>0</v>
      </c>
      <c r="AR98">
        <v>0</v>
      </c>
      <c r="AS98">
        <f t="shared" si="21"/>
        <v>4</v>
      </c>
      <c r="AT98">
        <f t="shared" si="22"/>
        <v>4</v>
      </c>
      <c r="AU98" s="3" t="s">
        <v>341</v>
      </c>
      <c r="AV98">
        <f t="shared" si="23"/>
        <v>1</v>
      </c>
      <c r="AW98">
        <f t="shared" si="24"/>
        <v>0</v>
      </c>
      <c r="AX98">
        <f t="shared" si="25"/>
        <v>0</v>
      </c>
      <c r="AY98">
        <v>5.5</v>
      </c>
      <c r="AZ98" t="s">
        <v>60</v>
      </c>
      <c r="BA98" t="s">
        <v>61</v>
      </c>
      <c r="BB98" t="s">
        <v>7</v>
      </c>
    </row>
    <row r="99" ht="409.5" spans="1:54">
      <c r="A99" t="s">
        <v>342</v>
      </c>
      <c r="B99" t="s">
        <v>55</v>
      </c>
      <c r="C99" t="s">
        <v>56</v>
      </c>
      <c r="D99">
        <v>72</v>
      </c>
      <c r="E99">
        <v>1</v>
      </c>
      <c r="F99">
        <v>198.1</v>
      </c>
      <c r="G99" t="s">
        <v>324</v>
      </c>
      <c r="H99" s="3" t="s">
        <v>343</v>
      </c>
      <c r="I99" s="3" t="s">
        <v>343</v>
      </c>
      <c r="J99">
        <f t="shared" si="13"/>
        <v>1</v>
      </c>
      <c r="K99">
        <f t="shared" si="14"/>
        <v>1</v>
      </c>
      <c r="L99">
        <f t="shared" si="15"/>
        <v>1</v>
      </c>
      <c r="M99">
        <f t="shared" si="16"/>
        <v>0</v>
      </c>
      <c r="N99">
        <f t="shared" si="17"/>
        <v>1</v>
      </c>
      <c r="O99">
        <f t="shared" si="18"/>
        <v>1</v>
      </c>
      <c r="P99">
        <f t="shared" si="19"/>
        <v>1</v>
      </c>
      <c r="Q99">
        <f t="shared" si="20"/>
        <v>1</v>
      </c>
      <c r="R99">
        <v>1</v>
      </c>
      <c r="S99">
        <v>1</v>
      </c>
      <c r="T99">
        <v>0</v>
      </c>
      <c r="U99">
        <v>1</v>
      </c>
      <c r="V99">
        <v>1</v>
      </c>
      <c r="W99">
        <v>1</v>
      </c>
      <c r="X99">
        <v>1</v>
      </c>
      <c r="Y99">
        <v>0</v>
      </c>
      <c r="Z99">
        <v>1</v>
      </c>
      <c r="AA99">
        <v>0</v>
      </c>
      <c r="AB99">
        <v>1</v>
      </c>
      <c r="AC99">
        <v>1</v>
      </c>
      <c r="AD99">
        <v>0</v>
      </c>
      <c r="AE99">
        <v>0</v>
      </c>
      <c r="AF99">
        <v>0</v>
      </c>
      <c r="AG99">
        <v>0</v>
      </c>
      <c r="AH99">
        <v>1</v>
      </c>
      <c r="AI99">
        <v>1</v>
      </c>
      <c r="AJ99">
        <v>0</v>
      </c>
      <c r="AK99">
        <v>0</v>
      </c>
      <c r="AL99">
        <v>1</v>
      </c>
      <c r="AM99">
        <v>0</v>
      </c>
      <c r="AN99">
        <v>1</v>
      </c>
      <c r="AO99">
        <v>0</v>
      </c>
      <c r="AP99">
        <v>0</v>
      </c>
      <c r="AQ99">
        <v>0</v>
      </c>
      <c r="AR99">
        <v>1</v>
      </c>
      <c r="AS99">
        <f t="shared" si="21"/>
        <v>7</v>
      </c>
      <c r="AT99">
        <f t="shared" si="22"/>
        <v>14</v>
      </c>
      <c r="AU99" s="3" t="s">
        <v>344</v>
      </c>
      <c r="AV99">
        <f t="shared" si="23"/>
        <v>1</v>
      </c>
      <c r="AW99">
        <f t="shared" si="24"/>
        <v>0</v>
      </c>
      <c r="AX99">
        <f t="shared" si="25"/>
        <v>1</v>
      </c>
      <c r="AY99">
        <v>79.5</v>
      </c>
      <c r="AZ99" t="s">
        <v>60</v>
      </c>
      <c r="BA99" t="s">
        <v>61</v>
      </c>
      <c r="BB99" t="s">
        <v>7</v>
      </c>
    </row>
    <row r="100" ht="409.5" spans="1:54">
      <c r="A100" t="s">
        <v>345</v>
      </c>
      <c r="B100" t="s">
        <v>55</v>
      </c>
      <c r="C100" t="s">
        <v>116</v>
      </c>
      <c r="D100">
        <v>4660</v>
      </c>
      <c r="E100">
        <v>195</v>
      </c>
      <c r="F100">
        <v>64.5</v>
      </c>
      <c r="G100" t="s">
        <v>346</v>
      </c>
      <c r="H100" s="3" t="s">
        <v>347</v>
      </c>
      <c r="I100" s="3" t="s">
        <v>347</v>
      </c>
      <c r="J100">
        <f t="shared" si="13"/>
        <v>1</v>
      </c>
      <c r="K100">
        <f t="shared" si="14"/>
        <v>1</v>
      </c>
      <c r="L100">
        <f t="shared" si="15"/>
        <v>1</v>
      </c>
      <c r="M100">
        <f t="shared" si="16"/>
        <v>1</v>
      </c>
      <c r="N100">
        <f t="shared" si="17"/>
        <v>1</v>
      </c>
      <c r="O100">
        <f t="shared" si="18"/>
        <v>1</v>
      </c>
      <c r="P100">
        <f t="shared" si="19"/>
        <v>0</v>
      </c>
      <c r="Q100">
        <f t="shared" si="20"/>
        <v>1</v>
      </c>
      <c r="R100">
        <v>0</v>
      </c>
      <c r="S100">
        <v>0</v>
      </c>
      <c r="T100">
        <v>1</v>
      </c>
      <c r="U100">
        <v>1</v>
      </c>
      <c r="V100">
        <v>1</v>
      </c>
      <c r="W100">
        <v>1</v>
      </c>
      <c r="X100">
        <v>1</v>
      </c>
      <c r="Y100">
        <v>1</v>
      </c>
      <c r="Z100">
        <v>1</v>
      </c>
      <c r="AA100">
        <v>1</v>
      </c>
      <c r="AB100">
        <v>1</v>
      </c>
      <c r="AC100">
        <v>1</v>
      </c>
      <c r="AD100">
        <v>1</v>
      </c>
      <c r="AE100">
        <v>1</v>
      </c>
      <c r="AF100">
        <v>1</v>
      </c>
      <c r="AG100">
        <v>1</v>
      </c>
      <c r="AH100">
        <v>1</v>
      </c>
      <c r="AI100">
        <v>1</v>
      </c>
      <c r="AJ100">
        <v>1</v>
      </c>
      <c r="AK100">
        <v>0</v>
      </c>
      <c r="AL100">
        <v>0</v>
      </c>
      <c r="AM100">
        <v>0</v>
      </c>
      <c r="AN100">
        <v>0</v>
      </c>
      <c r="AO100">
        <v>0</v>
      </c>
      <c r="AP100">
        <v>0</v>
      </c>
      <c r="AQ100">
        <v>0</v>
      </c>
      <c r="AR100">
        <v>1</v>
      </c>
      <c r="AS100">
        <f t="shared" si="21"/>
        <v>7</v>
      </c>
      <c r="AT100">
        <f t="shared" si="22"/>
        <v>18</v>
      </c>
      <c r="AU100" s="3" t="s">
        <v>348</v>
      </c>
      <c r="AV100">
        <f t="shared" si="23"/>
        <v>1</v>
      </c>
      <c r="AW100">
        <f t="shared" si="24"/>
        <v>0</v>
      </c>
      <c r="AX100">
        <f t="shared" si="25"/>
        <v>1</v>
      </c>
      <c r="AY100">
        <v>27.5</v>
      </c>
      <c r="AZ100" t="s">
        <v>60</v>
      </c>
      <c r="BA100" t="s">
        <v>61</v>
      </c>
      <c r="BB100" t="s">
        <v>7</v>
      </c>
    </row>
    <row r="101" ht="409.5" spans="1:54">
      <c r="A101" t="s">
        <v>349</v>
      </c>
      <c r="B101" t="s">
        <v>55</v>
      </c>
      <c r="C101" t="s">
        <v>116</v>
      </c>
      <c r="D101">
        <v>824</v>
      </c>
      <c r="E101">
        <v>60</v>
      </c>
      <c r="F101">
        <v>38.7</v>
      </c>
      <c r="G101" t="s">
        <v>346</v>
      </c>
      <c r="H101" s="3" t="s">
        <v>350</v>
      </c>
      <c r="I101" s="3" t="s">
        <v>350</v>
      </c>
      <c r="J101">
        <f t="shared" si="13"/>
        <v>1</v>
      </c>
      <c r="K101">
        <f t="shared" si="14"/>
        <v>1</v>
      </c>
      <c r="L101">
        <f t="shared" si="15"/>
        <v>1</v>
      </c>
      <c r="M101">
        <f t="shared" si="16"/>
        <v>0</v>
      </c>
      <c r="N101">
        <f t="shared" si="17"/>
        <v>1</v>
      </c>
      <c r="O101">
        <f t="shared" si="18"/>
        <v>1</v>
      </c>
      <c r="P101">
        <f t="shared" si="19"/>
        <v>1</v>
      </c>
      <c r="Q101">
        <f t="shared" si="20"/>
        <v>1</v>
      </c>
      <c r="R101">
        <v>1</v>
      </c>
      <c r="S101">
        <v>1</v>
      </c>
      <c r="T101">
        <v>1</v>
      </c>
      <c r="U101">
        <v>0</v>
      </c>
      <c r="V101">
        <v>1</v>
      </c>
      <c r="W101">
        <v>0</v>
      </c>
      <c r="X101">
        <v>0</v>
      </c>
      <c r="Y101">
        <v>0</v>
      </c>
      <c r="Z101">
        <v>1</v>
      </c>
      <c r="AA101">
        <v>0</v>
      </c>
      <c r="AB101">
        <v>0</v>
      </c>
      <c r="AC101">
        <v>1</v>
      </c>
      <c r="AD101">
        <v>0</v>
      </c>
      <c r="AE101">
        <v>0</v>
      </c>
      <c r="AF101">
        <v>0</v>
      </c>
      <c r="AG101">
        <v>1</v>
      </c>
      <c r="AH101">
        <v>1</v>
      </c>
      <c r="AI101">
        <v>1</v>
      </c>
      <c r="AJ101">
        <v>0</v>
      </c>
      <c r="AK101">
        <v>1</v>
      </c>
      <c r="AL101">
        <v>1</v>
      </c>
      <c r="AM101">
        <v>1</v>
      </c>
      <c r="AN101">
        <v>1</v>
      </c>
      <c r="AO101">
        <v>0</v>
      </c>
      <c r="AP101">
        <v>0</v>
      </c>
      <c r="AQ101">
        <v>1</v>
      </c>
      <c r="AR101">
        <v>1</v>
      </c>
      <c r="AS101">
        <f t="shared" si="21"/>
        <v>7</v>
      </c>
      <c r="AT101">
        <f t="shared" si="22"/>
        <v>15</v>
      </c>
      <c r="AU101" s="3" t="s">
        <v>351</v>
      </c>
      <c r="AV101">
        <f t="shared" si="23"/>
        <v>1</v>
      </c>
      <c r="AW101">
        <f t="shared" si="24"/>
        <v>0</v>
      </c>
      <c r="AX101">
        <f t="shared" si="25"/>
        <v>1</v>
      </c>
      <c r="AY101">
        <v>1</v>
      </c>
      <c r="AZ101" t="s">
        <v>60</v>
      </c>
      <c r="BA101" t="s">
        <v>61</v>
      </c>
      <c r="BB101" t="s">
        <v>7</v>
      </c>
    </row>
    <row r="102" ht="409.5" spans="1:54">
      <c r="A102" t="s">
        <v>352</v>
      </c>
      <c r="B102" t="s">
        <v>55</v>
      </c>
      <c r="C102" t="s">
        <v>116</v>
      </c>
      <c r="D102">
        <v>601</v>
      </c>
      <c r="E102">
        <v>24</v>
      </c>
      <c r="F102">
        <v>53.3</v>
      </c>
      <c r="G102" t="s">
        <v>346</v>
      </c>
      <c r="H102" s="3" t="s">
        <v>353</v>
      </c>
      <c r="I102" s="3" t="s">
        <v>353</v>
      </c>
      <c r="J102">
        <f t="shared" si="13"/>
        <v>1</v>
      </c>
      <c r="K102">
        <f t="shared" si="14"/>
        <v>1</v>
      </c>
      <c r="L102">
        <f t="shared" si="15"/>
        <v>1</v>
      </c>
      <c r="M102">
        <f t="shared" si="16"/>
        <v>1</v>
      </c>
      <c r="N102">
        <f t="shared" si="17"/>
        <v>1</v>
      </c>
      <c r="O102">
        <f t="shared" si="18"/>
        <v>1</v>
      </c>
      <c r="P102">
        <f t="shared" si="19"/>
        <v>1</v>
      </c>
      <c r="Q102">
        <f t="shared" si="20"/>
        <v>0</v>
      </c>
      <c r="R102">
        <v>1</v>
      </c>
      <c r="S102">
        <v>1</v>
      </c>
      <c r="T102">
        <v>1</v>
      </c>
      <c r="U102">
        <v>1</v>
      </c>
      <c r="V102">
        <v>1</v>
      </c>
      <c r="W102">
        <v>1</v>
      </c>
      <c r="X102">
        <v>1</v>
      </c>
      <c r="Y102">
        <v>1</v>
      </c>
      <c r="Z102">
        <v>1</v>
      </c>
      <c r="AA102">
        <v>1</v>
      </c>
      <c r="AB102">
        <v>1</v>
      </c>
      <c r="AC102">
        <v>1</v>
      </c>
      <c r="AD102">
        <v>1</v>
      </c>
      <c r="AE102">
        <v>1</v>
      </c>
      <c r="AF102">
        <v>1</v>
      </c>
      <c r="AG102">
        <v>1</v>
      </c>
      <c r="AH102">
        <v>1</v>
      </c>
      <c r="AI102">
        <v>1</v>
      </c>
      <c r="AJ102">
        <v>0</v>
      </c>
      <c r="AK102">
        <v>1</v>
      </c>
      <c r="AL102">
        <v>1</v>
      </c>
      <c r="AM102">
        <v>0</v>
      </c>
      <c r="AN102">
        <v>1</v>
      </c>
      <c r="AO102">
        <v>0</v>
      </c>
      <c r="AP102">
        <v>0</v>
      </c>
      <c r="AQ102">
        <v>1</v>
      </c>
      <c r="AR102">
        <v>0</v>
      </c>
      <c r="AS102">
        <f t="shared" si="21"/>
        <v>7</v>
      </c>
      <c r="AT102">
        <f t="shared" si="22"/>
        <v>22</v>
      </c>
      <c r="AU102" s="3" t="s">
        <v>354</v>
      </c>
      <c r="AV102">
        <f t="shared" si="23"/>
        <v>1</v>
      </c>
      <c r="AW102">
        <f t="shared" si="24"/>
        <v>0</v>
      </c>
      <c r="AX102">
        <f t="shared" si="25"/>
        <v>1</v>
      </c>
      <c r="AY102">
        <v>-4</v>
      </c>
      <c r="AZ102" t="s">
        <v>133</v>
      </c>
      <c r="BA102" t="s">
        <v>134</v>
      </c>
      <c r="BB102" t="s">
        <v>7</v>
      </c>
    </row>
    <row r="103" ht="409.5" spans="1:54">
      <c r="A103" t="s">
        <v>355</v>
      </c>
      <c r="B103" t="s">
        <v>55</v>
      </c>
      <c r="C103" t="s">
        <v>56</v>
      </c>
      <c r="D103">
        <v>480</v>
      </c>
      <c r="E103">
        <v>26</v>
      </c>
      <c r="F103">
        <v>61.7</v>
      </c>
      <c r="G103" t="s">
        <v>346</v>
      </c>
      <c r="H103" s="3" t="s">
        <v>356</v>
      </c>
      <c r="I103" s="3" t="s">
        <v>356</v>
      </c>
      <c r="J103">
        <f t="shared" si="13"/>
        <v>1</v>
      </c>
      <c r="K103">
        <f t="shared" si="14"/>
        <v>1</v>
      </c>
      <c r="L103">
        <f t="shared" si="15"/>
        <v>1</v>
      </c>
      <c r="M103">
        <f t="shared" si="16"/>
        <v>1</v>
      </c>
      <c r="N103">
        <f t="shared" si="17"/>
        <v>1</v>
      </c>
      <c r="O103">
        <f t="shared" si="18"/>
        <v>1</v>
      </c>
      <c r="P103">
        <f t="shared" si="19"/>
        <v>0</v>
      </c>
      <c r="Q103">
        <f t="shared" si="20"/>
        <v>1</v>
      </c>
      <c r="R103">
        <v>0</v>
      </c>
      <c r="S103">
        <v>1</v>
      </c>
      <c r="T103">
        <v>1</v>
      </c>
      <c r="U103">
        <v>1</v>
      </c>
      <c r="V103">
        <v>1</v>
      </c>
      <c r="W103">
        <v>0</v>
      </c>
      <c r="X103">
        <v>0</v>
      </c>
      <c r="Y103">
        <v>1</v>
      </c>
      <c r="Z103">
        <v>1</v>
      </c>
      <c r="AA103">
        <v>1</v>
      </c>
      <c r="AB103">
        <v>1</v>
      </c>
      <c r="AC103">
        <v>1</v>
      </c>
      <c r="AD103">
        <v>1</v>
      </c>
      <c r="AE103">
        <v>0</v>
      </c>
      <c r="AF103">
        <v>0</v>
      </c>
      <c r="AG103">
        <v>0</v>
      </c>
      <c r="AH103">
        <v>1</v>
      </c>
      <c r="AI103">
        <v>1</v>
      </c>
      <c r="AJ103">
        <v>0</v>
      </c>
      <c r="AK103">
        <v>0</v>
      </c>
      <c r="AL103">
        <v>0</v>
      </c>
      <c r="AM103">
        <v>0</v>
      </c>
      <c r="AN103">
        <v>0</v>
      </c>
      <c r="AO103">
        <v>0</v>
      </c>
      <c r="AP103">
        <v>0</v>
      </c>
      <c r="AQ103">
        <v>0</v>
      </c>
      <c r="AR103">
        <v>1</v>
      </c>
      <c r="AS103">
        <f t="shared" si="21"/>
        <v>7</v>
      </c>
      <c r="AT103">
        <f t="shared" si="22"/>
        <v>13</v>
      </c>
      <c r="AU103" s="3" t="s">
        <v>357</v>
      </c>
      <c r="AV103">
        <f t="shared" si="23"/>
        <v>1</v>
      </c>
      <c r="AW103">
        <f t="shared" si="24"/>
        <v>0</v>
      </c>
      <c r="AX103">
        <f t="shared" si="25"/>
        <v>1</v>
      </c>
      <c r="AY103">
        <v>14</v>
      </c>
      <c r="AZ103" t="s">
        <v>60</v>
      </c>
      <c r="BA103" t="s">
        <v>61</v>
      </c>
      <c r="BB103" t="s">
        <v>7</v>
      </c>
    </row>
    <row r="104" ht="51" spans="1:54">
      <c r="A104" t="s">
        <v>358</v>
      </c>
      <c r="B104" t="s">
        <v>55</v>
      </c>
      <c r="C104" t="s">
        <v>56</v>
      </c>
      <c r="D104">
        <v>295</v>
      </c>
      <c r="E104">
        <v>12</v>
      </c>
      <c r="F104">
        <v>159.1</v>
      </c>
      <c r="G104" t="s">
        <v>346</v>
      </c>
      <c r="H104" s="3" t="s">
        <v>359</v>
      </c>
      <c r="I104" s="3" t="s">
        <v>359</v>
      </c>
      <c r="J104">
        <f t="shared" si="13"/>
        <v>0</v>
      </c>
      <c r="K104">
        <f t="shared" si="14"/>
        <v>0</v>
      </c>
      <c r="L104">
        <f t="shared" si="15"/>
        <v>0</v>
      </c>
      <c r="M104">
        <f t="shared" si="16"/>
        <v>0</v>
      </c>
      <c r="N104">
        <f t="shared" si="17"/>
        <v>0</v>
      </c>
      <c r="O104">
        <f t="shared" si="18"/>
        <v>1</v>
      </c>
      <c r="P104">
        <f t="shared" si="19"/>
        <v>1</v>
      </c>
      <c r="Q104">
        <f t="shared" si="20"/>
        <v>1</v>
      </c>
      <c r="R104">
        <v>0</v>
      </c>
      <c r="S104">
        <v>0</v>
      </c>
      <c r="T104">
        <v>0</v>
      </c>
      <c r="U104">
        <v>0</v>
      </c>
      <c r="V104">
        <v>0</v>
      </c>
      <c r="W104">
        <v>0</v>
      </c>
      <c r="X104">
        <v>0</v>
      </c>
      <c r="Y104">
        <v>0</v>
      </c>
      <c r="Z104">
        <v>0</v>
      </c>
      <c r="AA104">
        <v>0</v>
      </c>
      <c r="AB104">
        <v>0</v>
      </c>
      <c r="AC104">
        <v>0</v>
      </c>
      <c r="AD104">
        <v>0</v>
      </c>
      <c r="AE104">
        <v>0</v>
      </c>
      <c r="AF104">
        <v>0</v>
      </c>
      <c r="AG104">
        <v>0</v>
      </c>
      <c r="AH104">
        <v>0</v>
      </c>
      <c r="AI104">
        <v>1</v>
      </c>
      <c r="AJ104">
        <v>0</v>
      </c>
      <c r="AK104">
        <v>0</v>
      </c>
      <c r="AL104">
        <v>0</v>
      </c>
      <c r="AM104">
        <v>0</v>
      </c>
      <c r="AN104">
        <v>0</v>
      </c>
      <c r="AO104">
        <v>0</v>
      </c>
      <c r="AP104">
        <v>0</v>
      </c>
      <c r="AQ104">
        <v>1</v>
      </c>
      <c r="AR104">
        <v>1</v>
      </c>
      <c r="AS104">
        <f t="shared" si="21"/>
        <v>3</v>
      </c>
      <c r="AT104">
        <f t="shared" si="22"/>
        <v>3</v>
      </c>
      <c r="AU104" s="3" t="s">
        <v>360</v>
      </c>
      <c r="AV104">
        <f t="shared" si="23"/>
        <v>1</v>
      </c>
      <c r="AW104">
        <f t="shared" si="24"/>
        <v>0</v>
      </c>
      <c r="AX104">
        <f t="shared" si="25"/>
        <v>0</v>
      </c>
      <c r="AY104">
        <v>3</v>
      </c>
      <c r="AZ104" t="s">
        <v>60</v>
      </c>
      <c r="BA104" t="s">
        <v>61</v>
      </c>
      <c r="BB104" t="s">
        <v>7</v>
      </c>
    </row>
    <row r="105" ht="17" spans="1:54">
      <c r="A105" t="s">
        <v>361</v>
      </c>
      <c r="B105" t="s">
        <v>55</v>
      </c>
      <c r="C105" t="s">
        <v>56</v>
      </c>
      <c r="D105">
        <v>180</v>
      </c>
      <c r="E105">
        <v>19</v>
      </c>
      <c r="F105">
        <v>33.3</v>
      </c>
      <c r="G105" t="s">
        <v>346</v>
      </c>
      <c r="H105" s="3" t="s">
        <v>362</v>
      </c>
      <c r="I105" s="3" t="s">
        <v>362</v>
      </c>
      <c r="J105">
        <f t="shared" si="13"/>
        <v>0</v>
      </c>
      <c r="K105">
        <f t="shared" si="14"/>
        <v>0</v>
      </c>
      <c r="L105">
        <f t="shared" si="15"/>
        <v>0</v>
      </c>
      <c r="M105">
        <f t="shared" si="16"/>
        <v>0</v>
      </c>
      <c r="N105">
        <f t="shared" si="17"/>
        <v>0</v>
      </c>
      <c r="O105">
        <f t="shared" si="18"/>
        <v>0</v>
      </c>
      <c r="P105">
        <f t="shared" si="19"/>
        <v>0</v>
      </c>
      <c r="Q105">
        <f t="shared" si="20"/>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f t="shared" si="21"/>
        <v>0</v>
      </c>
      <c r="AT105">
        <f t="shared" si="22"/>
        <v>0</v>
      </c>
      <c r="AU105" s="3" t="s">
        <v>118</v>
      </c>
      <c r="AV105">
        <f t="shared" si="23"/>
        <v>0</v>
      </c>
      <c r="AW105">
        <f t="shared" si="24"/>
        <v>1</v>
      </c>
      <c r="AX105">
        <f t="shared" si="25"/>
        <v>0</v>
      </c>
      <c r="AY105">
        <v>-3</v>
      </c>
      <c r="AZ105" t="s">
        <v>133</v>
      </c>
      <c r="BA105" t="s">
        <v>134</v>
      </c>
      <c r="BB105" t="s">
        <v>7</v>
      </c>
    </row>
    <row r="106" ht="269" spans="1:54">
      <c r="A106" t="s">
        <v>363</v>
      </c>
      <c r="B106" t="s">
        <v>55</v>
      </c>
      <c r="C106" t="s">
        <v>116</v>
      </c>
      <c r="D106">
        <v>178</v>
      </c>
      <c r="E106">
        <v>25</v>
      </c>
      <c r="F106">
        <v>175.5</v>
      </c>
      <c r="G106" t="s">
        <v>346</v>
      </c>
      <c r="H106" s="3" t="s">
        <v>364</v>
      </c>
      <c r="I106" s="3" t="s">
        <v>364</v>
      </c>
      <c r="J106">
        <f t="shared" si="13"/>
        <v>1</v>
      </c>
      <c r="K106">
        <f t="shared" si="14"/>
        <v>1</v>
      </c>
      <c r="L106">
        <f t="shared" si="15"/>
        <v>1</v>
      </c>
      <c r="M106">
        <f t="shared" si="16"/>
        <v>0</v>
      </c>
      <c r="N106">
        <f t="shared" si="17"/>
        <v>0</v>
      </c>
      <c r="O106">
        <f t="shared" si="18"/>
        <v>0</v>
      </c>
      <c r="P106">
        <f t="shared" si="19"/>
        <v>0</v>
      </c>
      <c r="Q106">
        <f t="shared" si="20"/>
        <v>0</v>
      </c>
      <c r="R106">
        <v>1</v>
      </c>
      <c r="S106">
        <v>0</v>
      </c>
      <c r="T106">
        <v>1</v>
      </c>
      <c r="U106">
        <v>0</v>
      </c>
      <c r="V106">
        <v>0</v>
      </c>
      <c r="W106">
        <v>1</v>
      </c>
      <c r="X106">
        <v>0</v>
      </c>
      <c r="Y106">
        <v>0</v>
      </c>
      <c r="Z106">
        <v>1</v>
      </c>
      <c r="AA106">
        <v>1</v>
      </c>
      <c r="AB106">
        <v>0</v>
      </c>
      <c r="AC106">
        <v>1</v>
      </c>
      <c r="AD106">
        <v>0</v>
      </c>
      <c r="AE106">
        <v>0</v>
      </c>
      <c r="AF106">
        <v>0</v>
      </c>
      <c r="AG106">
        <v>0</v>
      </c>
      <c r="AH106">
        <v>0</v>
      </c>
      <c r="AI106">
        <v>0</v>
      </c>
      <c r="AJ106">
        <v>0</v>
      </c>
      <c r="AK106">
        <v>0</v>
      </c>
      <c r="AL106">
        <v>0</v>
      </c>
      <c r="AM106">
        <v>0</v>
      </c>
      <c r="AN106">
        <v>0</v>
      </c>
      <c r="AO106">
        <v>0</v>
      </c>
      <c r="AP106">
        <v>0</v>
      </c>
      <c r="AQ106">
        <v>0</v>
      </c>
      <c r="AR106">
        <v>0</v>
      </c>
      <c r="AS106">
        <f t="shared" si="21"/>
        <v>3</v>
      </c>
      <c r="AT106">
        <f t="shared" si="22"/>
        <v>6</v>
      </c>
      <c r="AU106" s="3" t="s">
        <v>365</v>
      </c>
      <c r="AV106">
        <f t="shared" si="23"/>
        <v>1</v>
      </c>
      <c r="AW106">
        <f t="shared" si="24"/>
        <v>0</v>
      </c>
      <c r="AX106">
        <f t="shared" si="25"/>
        <v>0</v>
      </c>
      <c r="AY106">
        <v>1</v>
      </c>
      <c r="AZ106" t="s">
        <v>60</v>
      </c>
      <c r="BA106" t="s">
        <v>61</v>
      </c>
      <c r="BB106" t="s">
        <v>7</v>
      </c>
    </row>
    <row r="107" ht="168" spans="1:54">
      <c r="A107" t="s">
        <v>366</v>
      </c>
      <c r="B107" t="s">
        <v>55</v>
      </c>
      <c r="C107" t="s">
        <v>116</v>
      </c>
      <c r="D107">
        <v>35</v>
      </c>
      <c r="E107">
        <v>1</v>
      </c>
      <c r="F107">
        <v>25</v>
      </c>
      <c r="G107" t="s">
        <v>346</v>
      </c>
      <c r="H107" s="3" t="s">
        <v>367</v>
      </c>
      <c r="I107" s="3" t="s">
        <v>367</v>
      </c>
      <c r="J107">
        <f t="shared" si="13"/>
        <v>1</v>
      </c>
      <c r="K107">
        <f t="shared" si="14"/>
        <v>1</v>
      </c>
      <c r="L107">
        <f t="shared" si="15"/>
        <v>0</v>
      </c>
      <c r="M107">
        <f t="shared" si="16"/>
        <v>0</v>
      </c>
      <c r="N107">
        <f t="shared" si="17"/>
        <v>1</v>
      </c>
      <c r="O107">
        <f t="shared" si="18"/>
        <v>1</v>
      </c>
      <c r="P107">
        <f t="shared" si="19"/>
        <v>0</v>
      </c>
      <c r="Q107">
        <f t="shared" si="20"/>
        <v>1</v>
      </c>
      <c r="R107">
        <v>1</v>
      </c>
      <c r="S107">
        <v>0</v>
      </c>
      <c r="T107">
        <v>0</v>
      </c>
      <c r="U107">
        <v>0</v>
      </c>
      <c r="V107">
        <v>0</v>
      </c>
      <c r="W107">
        <v>1</v>
      </c>
      <c r="X107">
        <v>0</v>
      </c>
      <c r="Y107">
        <v>0</v>
      </c>
      <c r="Z107">
        <v>0</v>
      </c>
      <c r="AA107">
        <v>0</v>
      </c>
      <c r="AB107">
        <v>0</v>
      </c>
      <c r="AC107">
        <v>0</v>
      </c>
      <c r="AD107">
        <v>0</v>
      </c>
      <c r="AE107">
        <v>0</v>
      </c>
      <c r="AF107">
        <v>0</v>
      </c>
      <c r="AG107">
        <v>0</v>
      </c>
      <c r="AH107">
        <v>1</v>
      </c>
      <c r="AI107">
        <v>1</v>
      </c>
      <c r="AJ107">
        <v>0</v>
      </c>
      <c r="AK107">
        <v>0</v>
      </c>
      <c r="AL107">
        <v>0</v>
      </c>
      <c r="AM107">
        <v>0</v>
      </c>
      <c r="AN107">
        <v>0</v>
      </c>
      <c r="AO107">
        <v>0</v>
      </c>
      <c r="AP107">
        <v>0</v>
      </c>
      <c r="AQ107">
        <v>0</v>
      </c>
      <c r="AR107">
        <v>1</v>
      </c>
      <c r="AS107">
        <f t="shared" si="21"/>
        <v>5</v>
      </c>
      <c r="AT107">
        <f t="shared" si="22"/>
        <v>5</v>
      </c>
      <c r="AU107" s="3" t="s">
        <v>368</v>
      </c>
      <c r="AV107">
        <f t="shared" si="23"/>
        <v>1</v>
      </c>
      <c r="AW107">
        <f t="shared" si="24"/>
        <v>0</v>
      </c>
      <c r="AX107">
        <f t="shared" si="25"/>
        <v>0</v>
      </c>
      <c r="AY107">
        <v>11.5</v>
      </c>
      <c r="AZ107" t="s">
        <v>60</v>
      </c>
      <c r="BA107" t="s">
        <v>61</v>
      </c>
      <c r="BB107" t="s">
        <v>7</v>
      </c>
    </row>
    <row r="108" ht="34" spans="1:54">
      <c r="A108" t="s">
        <v>369</v>
      </c>
      <c r="B108" t="s">
        <v>55</v>
      </c>
      <c r="C108" t="s">
        <v>56</v>
      </c>
      <c r="D108">
        <v>22</v>
      </c>
      <c r="E108">
        <v>0</v>
      </c>
      <c r="F108">
        <v>8.4</v>
      </c>
      <c r="G108" t="s">
        <v>346</v>
      </c>
      <c r="H108" s="3" t="s">
        <v>370</v>
      </c>
      <c r="I108" s="3" t="s">
        <v>370</v>
      </c>
      <c r="J108">
        <f t="shared" si="13"/>
        <v>0</v>
      </c>
      <c r="K108">
        <f t="shared" si="14"/>
        <v>0</v>
      </c>
      <c r="L108">
        <f t="shared" si="15"/>
        <v>0</v>
      </c>
      <c r="M108">
        <f t="shared" si="16"/>
        <v>0</v>
      </c>
      <c r="N108">
        <f t="shared" si="17"/>
        <v>0</v>
      </c>
      <c r="O108">
        <f t="shared" si="18"/>
        <v>1</v>
      </c>
      <c r="P108">
        <f t="shared" si="19"/>
        <v>0</v>
      </c>
      <c r="Q108">
        <f t="shared" si="20"/>
        <v>0</v>
      </c>
      <c r="R108">
        <v>0</v>
      </c>
      <c r="S108">
        <v>0</v>
      </c>
      <c r="T108">
        <v>0</v>
      </c>
      <c r="U108">
        <v>0</v>
      </c>
      <c r="V108">
        <v>0</v>
      </c>
      <c r="W108">
        <v>0</v>
      </c>
      <c r="X108">
        <v>0</v>
      </c>
      <c r="Y108">
        <v>0</v>
      </c>
      <c r="Z108">
        <v>0</v>
      </c>
      <c r="AA108">
        <v>0</v>
      </c>
      <c r="AB108">
        <v>0</v>
      </c>
      <c r="AC108">
        <v>0</v>
      </c>
      <c r="AD108">
        <v>0</v>
      </c>
      <c r="AE108">
        <v>0</v>
      </c>
      <c r="AF108">
        <v>0</v>
      </c>
      <c r="AG108">
        <v>0</v>
      </c>
      <c r="AH108">
        <v>0</v>
      </c>
      <c r="AI108">
        <v>1</v>
      </c>
      <c r="AJ108">
        <v>0</v>
      </c>
      <c r="AK108">
        <v>0</v>
      </c>
      <c r="AL108">
        <v>0</v>
      </c>
      <c r="AM108">
        <v>0</v>
      </c>
      <c r="AN108">
        <v>0</v>
      </c>
      <c r="AO108">
        <v>0</v>
      </c>
      <c r="AP108">
        <v>0</v>
      </c>
      <c r="AQ108">
        <v>0</v>
      </c>
      <c r="AR108">
        <v>0</v>
      </c>
      <c r="AS108">
        <f t="shared" si="21"/>
        <v>1</v>
      </c>
      <c r="AT108">
        <f t="shared" si="22"/>
        <v>1</v>
      </c>
      <c r="AU108" s="3" t="s">
        <v>79</v>
      </c>
      <c r="AV108">
        <f t="shared" si="23"/>
        <v>1</v>
      </c>
      <c r="AW108">
        <f t="shared" si="24"/>
        <v>0</v>
      </c>
      <c r="AX108">
        <f t="shared" si="25"/>
        <v>0</v>
      </c>
      <c r="AY108">
        <v>2</v>
      </c>
      <c r="AZ108" t="s">
        <v>60</v>
      </c>
      <c r="BA108" t="s">
        <v>61</v>
      </c>
      <c r="BB108" t="s">
        <v>7</v>
      </c>
    </row>
    <row r="109" ht="51" spans="1:54">
      <c r="A109" t="s">
        <v>371</v>
      </c>
      <c r="B109" t="s">
        <v>55</v>
      </c>
      <c r="C109" t="s">
        <v>116</v>
      </c>
      <c r="D109">
        <v>22</v>
      </c>
      <c r="E109">
        <v>0</v>
      </c>
      <c r="F109">
        <v>38.2</v>
      </c>
      <c r="G109" t="s">
        <v>346</v>
      </c>
      <c r="H109" s="3" t="s">
        <v>372</v>
      </c>
      <c r="I109" s="3" t="s">
        <v>372</v>
      </c>
      <c r="J109">
        <f t="shared" si="13"/>
        <v>1</v>
      </c>
      <c r="K109">
        <f t="shared" si="14"/>
        <v>1</v>
      </c>
      <c r="L109">
        <f t="shared" si="15"/>
        <v>1</v>
      </c>
      <c r="M109">
        <f t="shared" si="16"/>
        <v>0</v>
      </c>
      <c r="N109">
        <f t="shared" si="17"/>
        <v>0</v>
      </c>
      <c r="O109">
        <f t="shared" si="18"/>
        <v>0</v>
      </c>
      <c r="P109">
        <f t="shared" si="19"/>
        <v>0</v>
      </c>
      <c r="Q109">
        <f t="shared" si="20"/>
        <v>0</v>
      </c>
      <c r="R109">
        <v>1</v>
      </c>
      <c r="S109">
        <v>0</v>
      </c>
      <c r="T109">
        <v>0</v>
      </c>
      <c r="U109">
        <v>0</v>
      </c>
      <c r="V109">
        <v>1</v>
      </c>
      <c r="W109">
        <v>0</v>
      </c>
      <c r="X109">
        <v>0</v>
      </c>
      <c r="Y109">
        <v>0</v>
      </c>
      <c r="Z109">
        <v>1</v>
      </c>
      <c r="AA109">
        <v>0</v>
      </c>
      <c r="AB109">
        <v>0</v>
      </c>
      <c r="AC109">
        <v>1</v>
      </c>
      <c r="AD109">
        <v>0</v>
      </c>
      <c r="AE109">
        <v>0</v>
      </c>
      <c r="AF109">
        <v>0</v>
      </c>
      <c r="AG109">
        <v>0</v>
      </c>
      <c r="AH109">
        <v>0</v>
      </c>
      <c r="AI109">
        <v>0</v>
      </c>
      <c r="AJ109">
        <v>0</v>
      </c>
      <c r="AK109">
        <v>0</v>
      </c>
      <c r="AL109">
        <v>0</v>
      </c>
      <c r="AM109">
        <v>0</v>
      </c>
      <c r="AN109">
        <v>0</v>
      </c>
      <c r="AO109">
        <v>0</v>
      </c>
      <c r="AP109">
        <v>0</v>
      </c>
      <c r="AQ109">
        <v>0</v>
      </c>
      <c r="AR109">
        <v>0</v>
      </c>
      <c r="AS109">
        <f t="shared" si="21"/>
        <v>3</v>
      </c>
      <c r="AT109">
        <f t="shared" si="22"/>
        <v>4</v>
      </c>
      <c r="AU109" s="3" t="s">
        <v>373</v>
      </c>
      <c r="AV109">
        <f t="shared" si="23"/>
        <v>1</v>
      </c>
      <c r="AW109">
        <f t="shared" si="24"/>
        <v>0</v>
      </c>
      <c r="AX109">
        <f t="shared" si="25"/>
        <v>0</v>
      </c>
      <c r="AY109">
        <v>5.5</v>
      </c>
      <c r="AZ109" t="s">
        <v>60</v>
      </c>
      <c r="BA109" t="s">
        <v>61</v>
      </c>
      <c r="BB109" t="s">
        <v>7</v>
      </c>
    </row>
    <row r="110" ht="168" spans="1:54">
      <c r="A110" t="s">
        <v>374</v>
      </c>
      <c r="B110" t="s">
        <v>55</v>
      </c>
      <c r="C110" t="s">
        <v>56</v>
      </c>
      <c r="D110">
        <v>7451</v>
      </c>
      <c r="E110">
        <v>266</v>
      </c>
      <c r="F110">
        <v>91.3</v>
      </c>
      <c r="G110" t="s">
        <v>375</v>
      </c>
      <c r="H110" s="3" t="s">
        <v>376</v>
      </c>
      <c r="I110" s="3" t="s">
        <v>376</v>
      </c>
      <c r="J110">
        <f t="shared" si="13"/>
        <v>1</v>
      </c>
      <c r="K110">
        <f t="shared" si="14"/>
        <v>1</v>
      </c>
      <c r="L110">
        <f t="shared" si="15"/>
        <v>0</v>
      </c>
      <c r="M110">
        <f t="shared" si="16"/>
        <v>0</v>
      </c>
      <c r="N110">
        <f t="shared" si="17"/>
        <v>0</v>
      </c>
      <c r="O110">
        <f t="shared" si="18"/>
        <v>1</v>
      </c>
      <c r="P110">
        <f t="shared" si="19"/>
        <v>0</v>
      </c>
      <c r="Q110">
        <f t="shared" si="20"/>
        <v>0</v>
      </c>
      <c r="R110">
        <v>0</v>
      </c>
      <c r="S110">
        <v>0</v>
      </c>
      <c r="T110">
        <v>1</v>
      </c>
      <c r="U110">
        <v>0</v>
      </c>
      <c r="V110">
        <v>0</v>
      </c>
      <c r="W110">
        <v>1</v>
      </c>
      <c r="X110">
        <v>0</v>
      </c>
      <c r="Y110">
        <v>0</v>
      </c>
      <c r="Z110">
        <v>0</v>
      </c>
      <c r="AA110">
        <v>0</v>
      </c>
      <c r="AB110">
        <v>0</v>
      </c>
      <c r="AC110">
        <v>0</v>
      </c>
      <c r="AD110">
        <v>0</v>
      </c>
      <c r="AE110">
        <v>0</v>
      </c>
      <c r="AF110">
        <v>0</v>
      </c>
      <c r="AG110">
        <v>0</v>
      </c>
      <c r="AH110">
        <v>0</v>
      </c>
      <c r="AI110">
        <v>1</v>
      </c>
      <c r="AJ110">
        <v>0</v>
      </c>
      <c r="AK110">
        <v>0</v>
      </c>
      <c r="AL110">
        <v>0</v>
      </c>
      <c r="AM110">
        <v>0</v>
      </c>
      <c r="AN110">
        <v>0</v>
      </c>
      <c r="AO110">
        <v>0</v>
      </c>
      <c r="AP110">
        <v>0</v>
      </c>
      <c r="AQ110">
        <v>0</v>
      </c>
      <c r="AR110">
        <v>0</v>
      </c>
      <c r="AS110">
        <f t="shared" si="21"/>
        <v>3</v>
      </c>
      <c r="AT110">
        <f t="shared" si="22"/>
        <v>3</v>
      </c>
      <c r="AU110" s="3" t="s">
        <v>377</v>
      </c>
      <c r="AV110">
        <f t="shared" si="23"/>
        <v>1</v>
      </c>
      <c r="AW110">
        <f t="shared" si="24"/>
        <v>0</v>
      </c>
      <c r="AX110">
        <f t="shared" si="25"/>
        <v>0</v>
      </c>
      <c r="AY110">
        <v>2</v>
      </c>
      <c r="AZ110" t="s">
        <v>60</v>
      </c>
      <c r="BA110" t="s">
        <v>61</v>
      </c>
      <c r="BB110" t="s">
        <v>7</v>
      </c>
    </row>
    <row r="111" ht="185" spans="1:54">
      <c r="A111" t="s">
        <v>378</v>
      </c>
      <c r="B111" t="s">
        <v>55</v>
      </c>
      <c r="C111" t="s">
        <v>56</v>
      </c>
      <c r="D111">
        <v>1339</v>
      </c>
      <c r="E111">
        <v>66</v>
      </c>
      <c r="F111">
        <v>50</v>
      </c>
      <c r="G111" t="s">
        <v>375</v>
      </c>
      <c r="H111" s="3" t="s">
        <v>379</v>
      </c>
      <c r="I111" s="3" t="s">
        <v>379</v>
      </c>
      <c r="J111">
        <f t="shared" si="13"/>
        <v>0</v>
      </c>
      <c r="K111">
        <f t="shared" si="14"/>
        <v>0</v>
      </c>
      <c r="L111">
        <f t="shared" si="15"/>
        <v>0</v>
      </c>
      <c r="M111">
        <f t="shared" si="16"/>
        <v>0</v>
      </c>
      <c r="N111">
        <f t="shared" si="17"/>
        <v>0</v>
      </c>
      <c r="O111">
        <f t="shared" si="18"/>
        <v>0</v>
      </c>
      <c r="P111">
        <f t="shared" si="19"/>
        <v>0</v>
      </c>
      <c r="Q111">
        <f t="shared" si="20"/>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f t="shared" si="21"/>
        <v>0</v>
      </c>
      <c r="AT111">
        <f t="shared" si="22"/>
        <v>0</v>
      </c>
      <c r="AU111" s="3" t="s">
        <v>118</v>
      </c>
      <c r="AV111">
        <f t="shared" si="23"/>
        <v>0</v>
      </c>
      <c r="AW111">
        <f t="shared" si="24"/>
        <v>1</v>
      </c>
      <c r="AX111">
        <f t="shared" si="25"/>
        <v>0</v>
      </c>
      <c r="AY111">
        <v>-4.5</v>
      </c>
      <c r="AZ111" t="s">
        <v>133</v>
      </c>
      <c r="BA111" t="s">
        <v>134</v>
      </c>
      <c r="BB111" t="s">
        <v>7</v>
      </c>
    </row>
    <row r="112" ht="409.5" spans="1:54">
      <c r="A112" t="s">
        <v>380</v>
      </c>
      <c r="B112" t="s">
        <v>55</v>
      </c>
      <c r="C112" t="s">
        <v>56</v>
      </c>
      <c r="D112">
        <v>1086</v>
      </c>
      <c r="E112">
        <v>92</v>
      </c>
      <c r="F112">
        <v>45.5</v>
      </c>
      <c r="G112" t="s">
        <v>375</v>
      </c>
      <c r="H112" s="3" t="s">
        <v>381</v>
      </c>
      <c r="I112" s="3" t="s">
        <v>381</v>
      </c>
      <c r="J112">
        <f t="shared" si="13"/>
        <v>1</v>
      </c>
      <c r="K112">
        <f t="shared" si="14"/>
        <v>1</v>
      </c>
      <c r="L112">
        <f t="shared" si="15"/>
        <v>1</v>
      </c>
      <c r="M112">
        <f t="shared" si="16"/>
        <v>0</v>
      </c>
      <c r="N112">
        <f t="shared" si="17"/>
        <v>1</v>
      </c>
      <c r="O112">
        <f t="shared" si="18"/>
        <v>1</v>
      </c>
      <c r="P112">
        <f t="shared" si="19"/>
        <v>1</v>
      </c>
      <c r="Q112">
        <f t="shared" si="20"/>
        <v>1</v>
      </c>
      <c r="R112">
        <v>1</v>
      </c>
      <c r="S112">
        <v>0</v>
      </c>
      <c r="T112">
        <v>0</v>
      </c>
      <c r="U112">
        <v>1</v>
      </c>
      <c r="V112">
        <v>1</v>
      </c>
      <c r="W112">
        <v>1</v>
      </c>
      <c r="X112">
        <v>0</v>
      </c>
      <c r="Y112">
        <v>0</v>
      </c>
      <c r="Z112">
        <v>0</v>
      </c>
      <c r="AA112">
        <v>1</v>
      </c>
      <c r="AB112">
        <v>1</v>
      </c>
      <c r="AC112">
        <v>1</v>
      </c>
      <c r="AD112">
        <v>0</v>
      </c>
      <c r="AE112">
        <v>0</v>
      </c>
      <c r="AF112">
        <v>0</v>
      </c>
      <c r="AG112">
        <v>1</v>
      </c>
      <c r="AH112">
        <v>1</v>
      </c>
      <c r="AI112">
        <v>1</v>
      </c>
      <c r="AJ112">
        <v>1</v>
      </c>
      <c r="AK112">
        <v>0</v>
      </c>
      <c r="AL112">
        <v>0</v>
      </c>
      <c r="AM112">
        <v>0</v>
      </c>
      <c r="AN112">
        <v>0</v>
      </c>
      <c r="AO112">
        <v>0</v>
      </c>
      <c r="AP112">
        <v>1</v>
      </c>
      <c r="AQ112">
        <v>0</v>
      </c>
      <c r="AR112">
        <v>1</v>
      </c>
      <c r="AS112">
        <f t="shared" si="21"/>
        <v>7</v>
      </c>
      <c r="AT112">
        <f t="shared" si="22"/>
        <v>13</v>
      </c>
      <c r="AU112" s="3" t="s">
        <v>382</v>
      </c>
      <c r="AV112">
        <f t="shared" si="23"/>
        <v>1</v>
      </c>
      <c r="AW112">
        <f t="shared" si="24"/>
        <v>0</v>
      </c>
      <c r="AX112">
        <f t="shared" si="25"/>
        <v>1</v>
      </c>
      <c r="AY112">
        <v>59.5</v>
      </c>
      <c r="AZ112" t="s">
        <v>60</v>
      </c>
      <c r="BA112" t="s">
        <v>61</v>
      </c>
      <c r="BB112" t="s">
        <v>7</v>
      </c>
    </row>
    <row r="113" ht="409.5" spans="1:54">
      <c r="A113" t="s">
        <v>383</v>
      </c>
      <c r="B113" t="s">
        <v>55</v>
      </c>
      <c r="C113" t="s">
        <v>116</v>
      </c>
      <c r="D113">
        <v>619</v>
      </c>
      <c r="E113">
        <v>21</v>
      </c>
      <c r="F113">
        <v>50.3</v>
      </c>
      <c r="G113" t="s">
        <v>375</v>
      </c>
      <c r="H113" s="3" t="s">
        <v>384</v>
      </c>
      <c r="I113" s="3" t="s">
        <v>384</v>
      </c>
      <c r="J113">
        <f t="shared" si="13"/>
        <v>1</v>
      </c>
      <c r="K113">
        <f t="shared" si="14"/>
        <v>1</v>
      </c>
      <c r="L113">
        <f t="shared" si="15"/>
        <v>1</v>
      </c>
      <c r="M113">
        <f t="shared" si="16"/>
        <v>1</v>
      </c>
      <c r="N113">
        <f t="shared" si="17"/>
        <v>1</v>
      </c>
      <c r="O113">
        <f t="shared" si="18"/>
        <v>1</v>
      </c>
      <c r="P113">
        <f t="shared" si="19"/>
        <v>1</v>
      </c>
      <c r="Q113">
        <f t="shared" si="20"/>
        <v>1</v>
      </c>
      <c r="R113">
        <v>1</v>
      </c>
      <c r="S113">
        <v>1</v>
      </c>
      <c r="T113">
        <v>1</v>
      </c>
      <c r="U113">
        <v>1</v>
      </c>
      <c r="V113">
        <v>1</v>
      </c>
      <c r="W113">
        <v>1</v>
      </c>
      <c r="X113">
        <v>1</v>
      </c>
      <c r="Y113">
        <v>0</v>
      </c>
      <c r="Z113">
        <v>1</v>
      </c>
      <c r="AA113">
        <v>1</v>
      </c>
      <c r="AB113">
        <v>1</v>
      </c>
      <c r="AC113">
        <v>1</v>
      </c>
      <c r="AD113">
        <v>1</v>
      </c>
      <c r="AE113">
        <v>0</v>
      </c>
      <c r="AF113">
        <v>0</v>
      </c>
      <c r="AG113">
        <v>1</v>
      </c>
      <c r="AH113">
        <v>1</v>
      </c>
      <c r="AI113">
        <v>1</v>
      </c>
      <c r="AJ113">
        <v>0</v>
      </c>
      <c r="AK113">
        <v>1</v>
      </c>
      <c r="AL113">
        <v>1</v>
      </c>
      <c r="AM113">
        <v>0</v>
      </c>
      <c r="AN113">
        <v>0</v>
      </c>
      <c r="AO113">
        <v>0</v>
      </c>
      <c r="AP113">
        <v>1</v>
      </c>
      <c r="AQ113">
        <v>1</v>
      </c>
      <c r="AR113">
        <v>1</v>
      </c>
      <c r="AS113">
        <f t="shared" si="21"/>
        <v>8</v>
      </c>
      <c r="AT113">
        <f t="shared" si="22"/>
        <v>20</v>
      </c>
      <c r="AU113" s="3" t="s">
        <v>385</v>
      </c>
      <c r="AV113">
        <f t="shared" si="23"/>
        <v>1</v>
      </c>
      <c r="AW113">
        <f t="shared" si="24"/>
        <v>0</v>
      </c>
      <c r="AX113">
        <f t="shared" si="25"/>
        <v>1</v>
      </c>
      <c r="AY113">
        <v>173.5</v>
      </c>
      <c r="AZ113" t="s">
        <v>60</v>
      </c>
      <c r="BA113" t="s">
        <v>61</v>
      </c>
      <c r="BB113" t="s">
        <v>7</v>
      </c>
    </row>
    <row r="114" ht="269" spans="1:54">
      <c r="A114" t="s">
        <v>386</v>
      </c>
      <c r="B114" t="s">
        <v>55</v>
      </c>
      <c r="C114" t="s">
        <v>116</v>
      </c>
      <c r="D114">
        <v>467</v>
      </c>
      <c r="E114">
        <v>25</v>
      </c>
      <c r="F114">
        <v>78.9</v>
      </c>
      <c r="G114" t="s">
        <v>375</v>
      </c>
      <c r="H114" s="3" t="s">
        <v>387</v>
      </c>
      <c r="I114" s="3" t="s">
        <v>387</v>
      </c>
      <c r="J114">
        <f t="shared" si="13"/>
        <v>1</v>
      </c>
      <c r="K114">
        <f t="shared" si="14"/>
        <v>1</v>
      </c>
      <c r="L114">
        <f t="shared" si="15"/>
        <v>1</v>
      </c>
      <c r="M114">
        <f t="shared" si="16"/>
        <v>1</v>
      </c>
      <c r="N114">
        <f t="shared" si="17"/>
        <v>1</v>
      </c>
      <c r="O114">
        <f t="shared" si="18"/>
        <v>0</v>
      </c>
      <c r="P114">
        <f t="shared" si="19"/>
        <v>0</v>
      </c>
      <c r="Q114">
        <f t="shared" si="20"/>
        <v>0</v>
      </c>
      <c r="R114">
        <v>1</v>
      </c>
      <c r="S114">
        <v>0</v>
      </c>
      <c r="T114">
        <v>0</v>
      </c>
      <c r="U114">
        <v>1</v>
      </c>
      <c r="V114">
        <v>1</v>
      </c>
      <c r="W114">
        <v>1</v>
      </c>
      <c r="X114">
        <v>0</v>
      </c>
      <c r="Y114">
        <v>1</v>
      </c>
      <c r="Z114">
        <v>1</v>
      </c>
      <c r="AA114">
        <v>1</v>
      </c>
      <c r="AB114">
        <v>1</v>
      </c>
      <c r="AC114">
        <v>0</v>
      </c>
      <c r="AD114">
        <v>1</v>
      </c>
      <c r="AE114">
        <v>0</v>
      </c>
      <c r="AF114">
        <v>0</v>
      </c>
      <c r="AG114">
        <v>1</v>
      </c>
      <c r="AH114">
        <v>0</v>
      </c>
      <c r="AI114">
        <v>0</v>
      </c>
      <c r="AJ114">
        <v>0</v>
      </c>
      <c r="AK114">
        <v>0</v>
      </c>
      <c r="AL114">
        <v>0</v>
      </c>
      <c r="AM114">
        <v>0</v>
      </c>
      <c r="AN114">
        <v>0</v>
      </c>
      <c r="AO114">
        <v>0</v>
      </c>
      <c r="AP114">
        <v>0</v>
      </c>
      <c r="AQ114">
        <v>0</v>
      </c>
      <c r="AR114">
        <v>0</v>
      </c>
      <c r="AS114">
        <f t="shared" si="21"/>
        <v>5</v>
      </c>
      <c r="AT114">
        <f t="shared" si="22"/>
        <v>10</v>
      </c>
      <c r="AU114" s="3" t="s">
        <v>388</v>
      </c>
      <c r="AV114">
        <f t="shared" si="23"/>
        <v>1</v>
      </c>
      <c r="AW114">
        <f t="shared" si="24"/>
        <v>0</v>
      </c>
      <c r="AX114">
        <f t="shared" si="25"/>
        <v>1</v>
      </c>
      <c r="AY114">
        <v>0</v>
      </c>
      <c r="AZ114" t="s">
        <v>147</v>
      </c>
      <c r="BA114" t="s">
        <v>148</v>
      </c>
      <c r="BB114" t="s">
        <v>7</v>
      </c>
    </row>
    <row r="115" ht="51" spans="1:54">
      <c r="A115" t="s">
        <v>389</v>
      </c>
      <c r="B115" t="s">
        <v>55</v>
      </c>
      <c r="C115" t="s">
        <v>56</v>
      </c>
      <c r="D115">
        <v>462</v>
      </c>
      <c r="E115">
        <v>28</v>
      </c>
      <c r="F115">
        <v>18.2</v>
      </c>
      <c r="G115" t="s">
        <v>375</v>
      </c>
      <c r="H115" s="3" t="s">
        <v>390</v>
      </c>
      <c r="I115" s="3" t="s">
        <v>390</v>
      </c>
      <c r="J115">
        <f t="shared" si="13"/>
        <v>0</v>
      </c>
      <c r="K115">
        <f t="shared" si="14"/>
        <v>0</v>
      </c>
      <c r="L115">
        <f t="shared" si="15"/>
        <v>0</v>
      </c>
      <c r="M115">
        <f t="shared" si="16"/>
        <v>0</v>
      </c>
      <c r="N115">
        <f t="shared" si="17"/>
        <v>0</v>
      </c>
      <c r="O115">
        <f t="shared" si="18"/>
        <v>1</v>
      </c>
      <c r="P115">
        <f t="shared" si="19"/>
        <v>0</v>
      </c>
      <c r="Q115">
        <f t="shared" si="20"/>
        <v>0</v>
      </c>
      <c r="R115">
        <v>0</v>
      </c>
      <c r="S115">
        <v>0</v>
      </c>
      <c r="T115">
        <v>0</v>
      </c>
      <c r="U115">
        <v>0</v>
      </c>
      <c r="V115">
        <v>0</v>
      </c>
      <c r="W115">
        <v>0</v>
      </c>
      <c r="X115">
        <v>0</v>
      </c>
      <c r="Y115">
        <v>0</v>
      </c>
      <c r="Z115">
        <v>0</v>
      </c>
      <c r="AA115">
        <v>0</v>
      </c>
      <c r="AB115">
        <v>0</v>
      </c>
      <c r="AC115">
        <v>0</v>
      </c>
      <c r="AD115">
        <v>0</v>
      </c>
      <c r="AE115">
        <v>0</v>
      </c>
      <c r="AF115">
        <v>0</v>
      </c>
      <c r="AG115">
        <v>0</v>
      </c>
      <c r="AH115">
        <v>0</v>
      </c>
      <c r="AI115">
        <v>1</v>
      </c>
      <c r="AJ115">
        <v>1</v>
      </c>
      <c r="AK115">
        <v>0</v>
      </c>
      <c r="AL115">
        <v>0</v>
      </c>
      <c r="AM115">
        <v>0</v>
      </c>
      <c r="AN115">
        <v>0</v>
      </c>
      <c r="AO115">
        <v>0</v>
      </c>
      <c r="AP115">
        <v>0</v>
      </c>
      <c r="AQ115">
        <v>0</v>
      </c>
      <c r="AR115">
        <v>0</v>
      </c>
      <c r="AS115">
        <f t="shared" si="21"/>
        <v>1</v>
      </c>
      <c r="AT115">
        <f t="shared" si="22"/>
        <v>2</v>
      </c>
      <c r="AU115" s="3" t="s">
        <v>391</v>
      </c>
      <c r="AV115">
        <f t="shared" si="23"/>
        <v>1</v>
      </c>
      <c r="AW115">
        <f t="shared" si="24"/>
        <v>0</v>
      </c>
      <c r="AX115">
        <f t="shared" si="25"/>
        <v>0</v>
      </c>
      <c r="AY115">
        <v>1</v>
      </c>
      <c r="AZ115" t="s">
        <v>60</v>
      </c>
      <c r="BA115" t="s">
        <v>61</v>
      </c>
      <c r="BB115" t="s">
        <v>7</v>
      </c>
    </row>
    <row r="116" ht="409.5" spans="1:54">
      <c r="A116" t="s">
        <v>392</v>
      </c>
      <c r="B116" t="s">
        <v>55</v>
      </c>
      <c r="C116" t="s">
        <v>116</v>
      </c>
      <c r="D116">
        <v>226</v>
      </c>
      <c r="E116">
        <v>7</v>
      </c>
      <c r="F116">
        <v>52.8</v>
      </c>
      <c r="G116" t="s">
        <v>375</v>
      </c>
      <c r="H116" s="3" t="s">
        <v>393</v>
      </c>
      <c r="I116" s="3" t="s">
        <v>393</v>
      </c>
      <c r="J116">
        <f t="shared" si="13"/>
        <v>0</v>
      </c>
      <c r="K116">
        <f t="shared" si="14"/>
        <v>1</v>
      </c>
      <c r="L116">
        <f t="shared" si="15"/>
        <v>1</v>
      </c>
      <c r="M116">
        <f t="shared" si="16"/>
        <v>1</v>
      </c>
      <c r="N116">
        <f t="shared" si="17"/>
        <v>0</v>
      </c>
      <c r="O116">
        <f t="shared" si="18"/>
        <v>1</v>
      </c>
      <c r="P116">
        <f t="shared" si="19"/>
        <v>1</v>
      </c>
      <c r="Q116">
        <f t="shared" si="20"/>
        <v>0</v>
      </c>
      <c r="R116">
        <v>0</v>
      </c>
      <c r="S116">
        <v>0</v>
      </c>
      <c r="T116">
        <v>0</v>
      </c>
      <c r="U116">
        <v>1</v>
      </c>
      <c r="V116">
        <v>1</v>
      </c>
      <c r="W116">
        <v>1</v>
      </c>
      <c r="X116">
        <v>1</v>
      </c>
      <c r="Y116">
        <v>1</v>
      </c>
      <c r="Z116">
        <v>1</v>
      </c>
      <c r="AA116">
        <v>1</v>
      </c>
      <c r="AB116">
        <v>1</v>
      </c>
      <c r="AC116">
        <v>1</v>
      </c>
      <c r="AD116">
        <v>1</v>
      </c>
      <c r="AE116">
        <v>0</v>
      </c>
      <c r="AF116">
        <v>0</v>
      </c>
      <c r="AG116">
        <v>0</v>
      </c>
      <c r="AH116">
        <v>0</v>
      </c>
      <c r="AI116">
        <v>1</v>
      </c>
      <c r="AJ116">
        <v>0</v>
      </c>
      <c r="AK116">
        <v>0</v>
      </c>
      <c r="AL116">
        <v>1</v>
      </c>
      <c r="AM116">
        <v>0</v>
      </c>
      <c r="AN116">
        <v>1</v>
      </c>
      <c r="AO116">
        <v>0</v>
      </c>
      <c r="AP116">
        <v>0</v>
      </c>
      <c r="AQ116">
        <v>0</v>
      </c>
      <c r="AR116">
        <v>0</v>
      </c>
      <c r="AS116">
        <f t="shared" si="21"/>
        <v>5</v>
      </c>
      <c r="AT116">
        <f t="shared" si="22"/>
        <v>13</v>
      </c>
      <c r="AU116" s="3" t="s">
        <v>394</v>
      </c>
      <c r="AV116">
        <f t="shared" si="23"/>
        <v>1</v>
      </c>
      <c r="AW116">
        <f t="shared" si="24"/>
        <v>0</v>
      </c>
      <c r="AX116">
        <f t="shared" si="25"/>
        <v>1</v>
      </c>
      <c r="AY116">
        <v>5.5</v>
      </c>
      <c r="AZ116" t="s">
        <v>60</v>
      </c>
      <c r="BA116" t="s">
        <v>61</v>
      </c>
      <c r="BB116" t="s">
        <v>7</v>
      </c>
    </row>
    <row r="117" ht="135" spans="1:54">
      <c r="A117" t="s">
        <v>395</v>
      </c>
      <c r="B117" t="s">
        <v>55</v>
      </c>
      <c r="C117" t="s">
        <v>56</v>
      </c>
      <c r="D117">
        <v>68</v>
      </c>
      <c r="E117">
        <v>0</v>
      </c>
      <c r="F117">
        <v>64.9</v>
      </c>
      <c r="G117" t="s">
        <v>375</v>
      </c>
      <c r="H117" s="3" t="s">
        <v>396</v>
      </c>
      <c r="I117" s="3" t="s">
        <v>396</v>
      </c>
      <c r="J117">
        <f t="shared" si="13"/>
        <v>1</v>
      </c>
      <c r="K117">
        <f t="shared" si="14"/>
        <v>1</v>
      </c>
      <c r="L117">
        <f t="shared" si="15"/>
        <v>1</v>
      </c>
      <c r="M117">
        <f t="shared" si="16"/>
        <v>0</v>
      </c>
      <c r="N117">
        <f t="shared" si="17"/>
        <v>1</v>
      </c>
      <c r="O117">
        <f t="shared" si="18"/>
        <v>1</v>
      </c>
      <c r="P117">
        <f t="shared" si="19"/>
        <v>1</v>
      </c>
      <c r="Q117">
        <f t="shared" si="20"/>
        <v>0</v>
      </c>
      <c r="R117">
        <v>0</v>
      </c>
      <c r="S117">
        <v>0</v>
      </c>
      <c r="T117">
        <v>1</v>
      </c>
      <c r="U117">
        <v>0</v>
      </c>
      <c r="V117">
        <v>1</v>
      </c>
      <c r="W117">
        <v>1</v>
      </c>
      <c r="X117">
        <v>0</v>
      </c>
      <c r="Y117">
        <v>0</v>
      </c>
      <c r="Z117">
        <v>0</v>
      </c>
      <c r="AA117">
        <v>0</v>
      </c>
      <c r="AB117">
        <v>1</v>
      </c>
      <c r="AC117">
        <v>0</v>
      </c>
      <c r="AD117">
        <v>0</v>
      </c>
      <c r="AE117">
        <v>0</v>
      </c>
      <c r="AF117">
        <v>0</v>
      </c>
      <c r="AG117">
        <v>1</v>
      </c>
      <c r="AH117">
        <v>1</v>
      </c>
      <c r="AI117">
        <v>1</v>
      </c>
      <c r="AJ117">
        <v>0</v>
      </c>
      <c r="AK117">
        <v>0</v>
      </c>
      <c r="AL117">
        <v>0</v>
      </c>
      <c r="AM117">
        <v>0</v>
      </c>
      <c r="AN117">
        <v>0</v>
      </c>
      <c r="AO117">
        <v>0</v>
      </c>
      <c r="AP117">
        <v>1</v>
      </c>
      <c r="AQ117">
        <v>0</v>
      </c>
      <c r="AR117">
        <v>0</v>
      </c>
      <c r="AS117">
        <f t="shared" si="21"/>
        <v>6</v>
      </c>
      <c r="AT117">
        <f t="shared" si="22"/>
        <v>8</v>
      </c>
      <c r="AU117" s="3" t="s">
        <v>397</v>
      </c>
      <c r="AV117">
        <f t="shared" si="23"/>
        <v>1</v>
      </c>
      <c r="AW117">
        <f t="shared" si="24"/>
        <v>0</v>
      </c>
      <c r="AX117">
        <f t="shared" si="25"/>
        <v>1</v>
      </c>
      <c r="AY117">
        <v>13.5</v>
      </c>
      <c r="AZ117" t="s">
        <v>60</v>
      </c>
      <c r="BA117" t="s">
        <v>61</v>
      </c>
      <c r="BB117" t="s">
        <v>7</v>
      </c>
    </row>
    <row r="118" ht="168" spans="1:54">
      <c r="A118" t="s">
        <v>398</v>
      </c>
      <c r="B118" t="s">
        <v>55</v>
      </c>
      <c r="C118" t="s">
        <v>56</v>
      </c>
      <c r="D118">
        <v>53</v>
      </c>
      <c r="E118">
        <v>22</v>
      </c>
      <c r="F118">
        <v>18.6</v>
      </c>
      <c r="G118" t="s">
        <v>375</v>
      </c>
      <c r="H118" s="3" t="s">
        <v>399</v>
      </c>
      <c r="I118" s="3" t="s">
        <v>399</v>
      </c>
      <c r="J118">
        <f t="shared" si="13"/>
        <v>1</v>
      </c>
      <c r="K118">
        <f t="shared" si="14"/>
        <v>0</v>
      </c>
      <c r="L118">
        <f t="shared" si="15"/>
        <v>0</v>
      </c>
      <c r="M118">
        <f t="shared" si="16"/>
        <v>0</v>
      </c>
      <c r="N118">
        <f t="shared" si="17"/>
        <v>1</v>
      </c>
      <c r="O118">
        <f t="shared" si="18"/>
        <v>1</v>
      </c>
      <c r="P118">
        <f t="shared" si="19"/>
        <v>0</v>
      </c>
      <c r="Q118">
        <f t="shared" si="20"/>
        <v>1</v>
      </c>
      <c r="R118">
        <v>1</v>
      </c>
      <c r="S118">
        <v>0</v>
      </c>
      <c r="T118">
        <v>0</v>
      </c>
      <c r="U118">
        <v>0</v>
      </c>
      <c r="V118">
        <v>0</v>
      </c>
      <c r="W118">
        <v>0</v>
      </c>
      <c r="X118">
        <v>0</v>
      </c>
      <c r="Y118">
        <v>0</v>
      </c>
      <c r="Z118">
        <v>0</v>
      </c>
      <c r="AA118">
        <v>0</v>
      </c>
      <c r="AB118">
        <v>0</v>
      </c>
      <c r="AC118">
        <v>0</v>
      </c>
      <c r="AD118">
        <v>0</v>
      </c>
      <c r="AE118">
        <v>0</v>
      </c>
      <c r="AF118">
        <v>0</v>
      </c>
      <c r="AG118">
        <v>0</v>
      </c>
      <c r="AH118">
        <v>1</v>
      </c>
      <c r="AI118">
        <v>1</v>
      </c>
      <c r="AJ118">
        <v>0</v>
      </c>
      <c r="AK118">
        <v>0</v>
      </c>
      <c r="AL118">
        <v>1</v>
      </c>
      <c r="AM118">
        <v>0</v>
      </c>
      <c r="AN118">
        <v>0</v>
      </c>
      <c r="AO118">
        <v>0</v>
      </c>
      <c r="AP118">
        <v>0</v>
      </c>
      <c r="AQ118">
        <v>0</v>
      </c>
      <c r="AR118">
        <v>1</v>
      </c>
      <c r="AS118">
        <f t="shared" si="21"/>
        <v>4</v>
      </c>
      <c r="AT118">
        <f t="shared" si="22"/>
        <v>5</v>
      </c>
      <c r="AU118" s="3" t="s">
        <v>400</v>
      </c>
      <c r="AV118">
        <f t="shared" si="23"/>
        <v>1</v>
      </c>
      <c r="AW118">
        <f t="shared" si="24"/>
        <v>0</v>
      </c>
      <c r="AX118">
        <f t="shared" si="25"/>
        <v>0</v>
      </c>
      <c r="AY118">
        <v>6.5</v>
      </c>
      <c r="AZ118" t="s">
        <v>60</v>
      </c>
      <c r="BA118" t="s">
        <v>61</v>
      </c>
      <c r="BB118" t="s">
        <v>7</v>
      </c>
    </row>
    <row r="119" ht="118" spans="1:54">
      <c r="A119" t="s">
        <v>401</v>
      </c>
      <c r="B119" t="s">
        <v>55</v>
      </c>
      <c r="C119" t="s">
        <v>56</v>
      </c>
      <c r="D119">
        <v>6079</v>
      </c>
      <c r="E119">
        <v>4088</v>
      </c>
      <c r="F119">
        <v>88.4</v>
      </c>
      <c r="G119" t="s">
        <v>402</v>
      </c>
      <c r="H119" s="3" t="s">
        <v>403</v>
      </c>
      <c r="I119" s="3" t="s">
        <v>403</v>
      </c>
      <c r="J119">
        <f t="shared" si="13"/>
        <v>0</v>
      </c>
      <c r="K119">
        <f t="shared" si="14"/>
        <v>0</v>
      </c>
      <c r="L119">
        <f t="shared" si="15"/>
        <v>0</v>
      </c>
      <c r="M119">
        <f t="shared" si="16"/>
        <v>0</v>
      </c>
      <c r="N119">
        <f t="shared" si="17"/>
        <v>0</v>
      </c>
      <c r="O119">
        <f t="shared" si="18"/>
        <v>1</v>
      </c>
      <c r="P119">
        <f t="shared" si="19"/>
        <v>0</v>
      </c>
      <c r="Q119">
        <f t="shared" si="20"/>
        <v>0</v>
      </c>
      <c r="R119">
        <v>0</v>
      </c>
      <c r="S119">
        <v>0</v>
      </c>
      <c r="T119">
        <v>0</v>
      </c>
      <c r="U119">
        <v>0</v>
      </c>
      <c r="V119">
        <v>0</v>
      </c>
      <c r="W119">
        <v>0</v>
      </c>
      <c r="X119">
        <v>0</v>
      </c>
      <c r="Y119">
        <v>0</v>
      </c>
      <c r="Z119">
        <v>0</v>
      </c>
      <c r="AA119">
        <v>0</v>
      </c>
      <c r="AB119">
        <v>0</v>
      </c>
      <c r="AC119">
        <v>0</v>
      </c>
      <c r="AD119">
        <v>0</v>
      </c>
      <c r="AE119">
        <v>0</v>
      </c>
      <c r="AF119">
        <v>0</v>
      </c>
      <c r="AG119">
        <v>0</v>
      </c>
      <c r="AH119">
        <v>0</v>
      </c>
      <c r="AI119">
        <v>1</v>
      </c>
      <c r="AJ119">
        <v>0</v>
      </c>
      <c r="AK119">
        <v>0</v>
      </c>
      <c r="AL119">
        <v>0</v>
      </c>
      <c r="AM119">
        <v>0</v>
      </c>
      <c r="AN119">
        <v>0</v>
      </c>
      <c r="AO119">
        <v>0</v>
      </c>
      <c r="AP119">
        <v>0</v>
      </c>
      <c r="AQ119">
        <v>0</v>
      </c>
      <c r="AR119">
        <v>0</v>
      </c>
      <c r="AS119">
        <f t="shared" si="21"/>
        <v>1</v>
      </c>
      <c r="AT119">
        <f t="shared" si="22"/>
        <v>1</v>
      </c>
      <c r="AU119" s="3" t="s">
        <v>79</v>
      </c>
      <c r="AV119">
        <f t="shared" si="23"/>
        <v>1</v>
      </c>
      <c r="AW119">
        <f t="shared" si="24"/>
        <v>0</v>
      </c>
      <c r="AX119">
        <f t="shared" si="25"/>
        <v>0</v>
      </c>
      <c r="AY119">
        <v>13</v>
      </c>
      <c r="AZ119" t="s">
        <v>60</v>
      </c>
      <c r="BA119" t="s">
        <v>61</v>
      </c>
      <c r="BB119" t="s">
        <v>7</v>
      </c>
    </row>
    <row r="120" ht="409.5" spans="1:54">
      <c r="A120" t="s">
        <v>404</v>
      </c>
      <c r="B120" t="s">
        <v>55</v>
      </c>
      <c r="C120" t="s">
        <v>116</v>
      </c>
      <c r="D120">
        <v>2475</v>
      </c>
      <c r="E120">
        <v>178</v>
      </c>
      <c r="F120">
        <v>58.5</v>
      </c>
      <c r="G120" t="s">
        <v>402</v>
      </c>
      <c r="H120" s="3" t="s">
        <v>405</v>
      </c>
      <c r="I120" s="3" t="s">
        <v>405</v>
      </c>
      <c r="J120">
        <f t="shared" si="13"/>
        <v>1</v>
      </c>
      <c r="K120">
        <f t="shared" si="14"/>
        <v>1</v>
      </c>
      <c r="L120">
        <f t="shared" si="15"/>
        <v>1</v>
      </c>
      <c r="M120">
        <f t="shared" si="16"/>
        <v>0</v>
      </c>
      <c r="N120">
        <f t="shared" si="17"/>
        <v>1</v>
      </c>
      <c r="O120">
        <f t="shared" si="18"/>
        <v>1</v>
      </c>
      <c r="P120">
        <f t="shared" si="19"/>
        <v>1</v>
      </c>
      <c r="Q120">
        <f t="shared" si="20"/>
        <v>0</v>
      </c>
      <c r="R120">
        <v>1</v>
      </c>
      <c r="S120">
        <v>1</v>
      </c>
      <c r="T120">
        <v>1</v>
      </c>
      <c r="U120">
        <v>1</v>
      </c>
      <c r="V120">
        <v>1</v>
      </c>
      <c r="W120">
        <v>1</v>
      </c>
      <c r="X120">
        <v>0</v>
      </c>
      <c r="Y120">
        <v>0</v>
      </c>
      <c r="Z120">
        <v>1</v>
      </c>
      <c r="AA120">
        <v>1</v>
      </c>
      <c r="AB120">
        <v>0</v>
      </c>
      <c r="AC120">
        <v>0</v>
      </c>
      <c r="AD120">
        <v>0</v>
      </c>
      <c r="AE120">
        <v>0</v>
      </c>
      <c r="AF120">
        <v>0</v>
      </c>
      <c r="AG120">
        <v>0</v>
      </c>
      <c r="AH120">
        <v>1</v>
      </c>
      <c r="AI120">
        <v>1</v>
      </c>
      <c r="AJ120">
        <v>0</v>
      </c>
      <c r="AK120">
        <v>1</v>
      </c>
      <c r="AL120">
        <v>1</v>
      </c>
      <c r="AM120">
        <v>0</v>
      </c>
      <c r="AN120">
        <v>1</v>
      </c>
      <c r="AO120">
        <v>0</v>
      </c>
      <c r="AP120">
        <v>0</v>
      </c>
      <c r="AQ120">
        <v>1</v>
      </c>
      <c r="AR120">
        <v>0</v>
      </c>
      <c r="AS120">
        <f t="shared" si="21"/>
        <v>6</v>
      </c>
      <c r="AT120">
        <f t="shared" si="22"/>
        <v>14</v>
      </c>
      <c r="AU120" s="3" t="s">
        <v>406</v>
      </c>
      <c r="AV120">
        <f t="shared" si="23"/>
        <v>1</v>
      </c>
      <c r="AW120">
        <f t="shared" si="24"/>
        <v>0</v>
      </c>
      <c r="AX120">
        <f t="shared" si="25"/>
        <v>1</v>
      </c>
      <c r="AY120">
        <v>-5.5</v>
      </c>
      <c r="AZ120" t="s">
        <v>133</v>
      </c>
      <c r="BA120" t="s">
        <v>134</v>
      </c>
      <c r="BB120" t="s">
        <v>7</v>
      </c>
    </row>
    <row r="121" ht="409.5" spans="1:54">
      <c r="A121" t="s">
        <v>407</v>
      </c>
      <c r="B121" t="s">
        <v>55</v>
      </c>
      <c r="C121" t="s">
        <v>116</v>
      </c>
      <c r="D121">
        <v>1063</v>
      </c>
      <c r="E121">
        <v>76</v>
      </c>
      <c r="F121">
        <v>56.7</v>
      </c>
      <c r="G121" t="s">
        <v>402</v>
      </c>
      <c r="H121" s="3" t="s">
        <v>408</v>
      </c>
      <c r="I121" s="3" t="s">
        <v>408</v>
      </c>
      <c r="J121">
        <f t="shared" si="13"/>
        <v>1</v>
      </c>
      <c r="K121">
        <f t="shared" si="14"/>
        <v>1</v>
      </c>
      <c r="L121">
        <f t="shared" si="15"/>
        <v>1</v>
      </c>
      <c r="M121">
        <f t="shared" si="16"/>
        <v>1</v>
      </c>
      <c r="N121">
        <f t="shared" si="17"/>
        <v>1</v>
      </c>
      <c r="O121">
        <f t="shared" si="18"/>
        <v>1</v>
      </c>
      <c r="P121">
        <f t="shared" si="19"/>
        <v>1</v>
      </c>
      <c r="Q121">
        <f t="shared" si="20"/>
        <v>1</v>
      </c>
      <c r="R121">
        <v>1</v>
      </c>
      <c r="S121">
        <v>0</v>
      </c>
      <c r="T121">
        <v>1</v>
      </c>
      <c r="U121">
        <v>1</v>
      </c>
      <c r="V121">
        <v>1</v>
      </c>
      <c r="W121">
        <v>1</v>
      </c>
      <c r="X121">
        <v>1</v>
      </c>
      <c r="Y121">
        <v>1</v>
      </c>
      <c r="Z121">
        <v>1</v>
      </c>
      <c r="AA121">
        <v>1</v>
      </c>
      <c r="AB121">
        <v>1</v>
      </c>
      <c r="AC121">
        <v>1</v>
      </c>
      <c r="AD121">
        <v>1</v>
      </c>
      <c r="AE121">
        <v>0</v>
      </c>
      <c r="AF121">
        <v>0</v>
      </c>
      <c r="AG121">
        <v>0</v>
      </c>
      <c r="AH121">
        <v>1</v>
      </c>
      <c r="AI121">
        <v>1</v>
      </c>
      <c r="AJ121">
        <v>0</v>
      </c>
      <c r="AK121">
        <v>1</v>
      </c>
      <c r="AL121">
        <v>1</v>
      </c>
      <c r="AM121">
        <v>0</v>
      </c>
      <c r="AN121">
        <v>0</v>
      </c>
      <c r="AO121">
        <v>0</v>
      </c>
      <c r="AP121">
        <v>1</v>
      </c>
      <c r="AQ121">
        <v>1</v>
      </c>
      <c r="AR121">
        <v>1</v>
      </c>
      <c r="AS121">
        <f t="shared" si="21"/>
        <v>8</v>
      </c>
      <c r="AT121">
        <f t="shared" si="22"/>
        <v>19</v>
      </c>
      <c r="AU121" s="3" t="s">
        <v>409</v>
      </c>
      <c r="AV121">
        <f t="shared" si="23"/>
        <v>1</v>
      </c>
      <c r="AW121">
        <f t="shared" si="24"/>
        <v>0</v>
      </c>
      <c r="AX121">
        <f t="shared" si="25"/>
        <v>1</v>
      </c>
      <c r="AY121">
        <v>1.5</v>
      </c>
      <c r="AZ121" t="s">
        <v>60</v>
      </c>
      <c r="BA121" t="s">
        <v>61</v>
      </c>
      <c r="BB121" t="s">
        <v>7</v>
      </c>
    </row>
    <row r="122" ht="409.5" spans="1:54">
      <c r="A122" t="s">
        <v>410</v>
      </c>
      <c r="B122" t="s">
        <v>55</v>
      </c>
      <c r="C122" t="s">
        <v>56</v>
      </c>
      <c r="D122">
        <v>1010</v>
      </c>
      <c r="E122">
        <v>139</v>
      </c>
      <c r="F122">
        <v>81</v>
      </c>
      <c r="G122" t="s">
        <v>402</v>
      </c>
      <c r="H122" s="3" t="s">
        <v>411</v>
      </c>
      <c r="I122" s="3" t="s">
        <v>411</v>
      </c>
      <c r="J122">
        <f t="shared" si="13"/>
        <v>1</v>
      </c>
      <c r="K122">
        <f t="shared" si="14"/>
        <v>1</v>
      </c>
      <c r="L122">
        <f t="shared" si="15"/>
        <v>1</v>
      </c>
      <c r="M122">
        <f t="shared" si="16"/>
        <v>0</v>
      </c>
      <c r="N122">
        <f t="shared" si="17"/>
        <v>1</v>
      </c>
      <c r="O122">
        <f t="shared" si="18"/>
        <v>1</v>
      </c>
      <c r="P122">
        <f t="shared" si="19"/>
        <v>0</v>
      </c>
      <c r="Q122">
        <f t="shared" si="20"/>
        <v>1</v>
      </c>
      <c r="R122">
        <v>1</v>
      </c>
      <c r="S122">
        <v>1</v>
      </c>
      <c r="T122">
        <v>1</v>
      </c>
      <c r="U122">
        <v>1</v>
      </c>
      <c r="V122">
        <v>1</v>
      </c>
      <c r="W122">
        <v>1</v>
      </c>
      <c r="X122">
        <v>0</v>
      </c>
      <c r="Y122">
        <v>0</v>
      </c>
      <c r="Z122">
        <v>1</v>
      </c>
      <c r="AA122">
        <v>1</v>
      </c>
      <c r="AB122">
        <v>0</v>
      </c>
      <c r="AC122">
        <v>1</v>
      </c>
      <c r="AD122">
        <v>0</v>
      </c>
      <c r="AE122">
        <v>0</v>
      </c>
      <c r="AF122">
        <v>0</v>
      </c>
      <c r="AG122">
        <v>1</v>
      </c>
      <c r="AH122">
        <v>1</v>
      </c>
      <c r="AI122">
        <v>1</v>
      </c>
      <c r="AJ122">
        <v>0</v>
      </c>
      <c r="AK122">
        <v>0</v>
      </c>
      <c r="AL122">
        <v>1</v>
      </c>
      <c r="AM122">
        <v>0</v>
      </c>
      <c r="AN122">
        <v>0</v>
      </c>
      <c r="AO122">
        <v>0</v>
      </c>
      <c r="AP122">
        <v>0</v>
      </c>
      <c r="AQ122">
        <v>0</v>
      </c>
      <c r="AR122">
        <v>1</v>
      </c>
      <c r="AS122">
        <f t="shared" si="21"/>
        <v>6</v>
      </c>
      <c r="AT122">
        <f t="shared" si="22"/>
        <v>14</v>
      </c>
      <c r="AU122" s="3" t="s">
        <v>412</v>
      </c>
      <c r="AV122">
        <f t="shared" si="23"/>
        <v>1</v>
      </c>
      <c r="AW122">
        <f t="shared" si="24"/>
        <v>0</v>
      </c>
      <c r="AX122">
        <f t="shared" si="25"/>
        <v>1</v>
      </c>
      <c r="AY122">
        <v>90.5</v>
      </c>
      <c r="AZ122" t="s">
        <v>60</v>
      </c>
      <c r="BA122" t="s">
        <v>61</v>
      </c>
      <c r="BB122" t="s">
        <v>7</v>
      </c>
    </row>
    <row r="123" ht="286" spans="1:54">
      <c r="A123" t="s">
        <v>413</v>
      </c>
      <c r="B123" t="s">
        <v>55</v>
      </c>
      <c r="C123" t="s">
        <v>116</v>
      </c>
      <c r="D123">
        <v>372</v>
      </c>
      <c r="E123">
        <v>17</v>
      </c>
      <c r="F123">
        <v>21.5</v>
      </c>
      <c r="G123" t="s">
        <v>402</v>
      </c>
      <c r="H123" s="3" t="s">
        <v>414</v>
      </c>
      <c r="I123" s="3" t="s">
        <v>414</v>
      </c>
      <c r="J123">
        <f t="shared" si="13"/>
        <v>0</v>
      </c>
      <c r="K123">
        <f t="shared" si="14"/>
        <v>0</v>
      </c>
      <c r="L123">
        <f t="shared" si="15"/>
        <v>0</v>
      </c>
      <c r="M123">
        <f t="shared" si="16"/>
        <v>0</v>
      </c>
      <c r="N123">
        <f t="shared" si="17"/>
        <v>1</v>
      </c>
      <c r="O123">
        <f t="shared" si="18"/>
        <v>1</v>
      </c>
      <c r="P123">
        <f t="shared" si="19"/>
        <v>1</v>
      </c>
      <c r="Q123">
        <f t="shared" si="20"/>
        <v>0</v>
      </c>
      <c r="R123">
        <v>0</v>
      </c>
      <c r="S123">
        <v>0</v>
      </c>
      <c r="T123">
        <v>0</v>
      </c>
      <c r="U123">
        <v>0</v>
      </c>
      <c r="V123">
        <v>0</v>
      </c>
      <c r="W123">
        <v>0</v>
      </c>
      <c r="X123">
        <v>0</v>
      </c>
      <c r="Y123">
        <v>0</v>
      </c>
      <c r="Z123">
        <v>0</v>
      </c>
      <c r="AA123">
        <v>0</v>
      </c>
      <c r="AB123">
        <v>0</v>
      </c>
      <c r="AC123">
        <v>0</v>
      </c>
      <c r="AD123">
        <v>0</v>
      </c>
      <c r="AE123">
        <v>0</v>
      </c>
      <c r="AF123">
        <v>0</v>
      </c>
      <c r="AG123">
        <v>1</v>
      </c>
      <c r="AH123">
        <v>0</v>
      </c>
      <c r="AI123">
        <v>1</v>
      </c>
      <c r="AJ123">
        <v>0</v>
      </c>
      <c r="AK123">
        <v>0</v>
      </c>
      <c r="AL123">
        <v>1</v>
      </c>
      <c r="AM123">
        <v>0</v>
      </c>
      <c r="AN123">
        <v>0</v>
      </c>
      <c r="AO123">
        <v>0</v>
      </c>
      <c r="AP123">
        <v>0</v>
      </c>
      <c r="AQ123">
        <v>1</v>
      </c>
      <c r="AR123">
        <v>0</v>
      </c>
      <c r="AS123">
        <f t="shared" si="21"/>
        <v>3</v>
      </c>
      <c r="AT123">
        <f t="shared" si="22"/>
        <v>4</v>
      </c>
      <c r="AU123" s="3" t="s">
        <v>415</v>
      </c>
      <c r="AV123">
        <f t="shared" si="23"/>
        <v>1</v>
      </c>
      <c r="AW123">
        <f t="shared" si="24"/>
        <v>0</v>
      </c>
      <c r="AX123">
        <f t="shared" si="25"/>
        <v>0</v>
      </c>
      <c r="AY123">
        <v>1.5</v>
      </c>
      <c r="AZ123" t="s">
        <v>60</v>
      </c>
      <c r="BA123" t="s">
        <v>61</v>
      </c>
      <c r="BB123" t="s">
        <v>7</v>
      </c>
    </row>
    <row r="124" ht="409.5" spans="1:54">
      <c r="A124" t="s">
        <v>416</v>
      </c>
      <c r="B124" t="s">
        <v>55</v>
      </c>
      <c r="C124" t="s">
        <v>56</v>
      </c>
      <c r="D124">
        <v>274</v>
      </c>
      <c r="E124">
        <v>4</v>
      </c>
      <c r="F124">
        <v>32.2</v>
      </c>
      <c r="G124" t="s">
        <v>402</v>
      </c>
      <c r="H124" s="3" t="s">
        <v>417</v>
      </c>
      <c r="I124" s="3" t="s">
        <v>417</v>
      </c>
      <c r="J124">
        <f t="shared" si="13"/>
        <v>1</v>
      </c>
      <c r="K124">
        <f t="shared" si="14"/>
        <v>1</v>
      </c>
      <c r="L124">
        <f t="shared" si="15"/>
        <v>1</v>
      </c>
      <c r="M124">
        <f t="shared" si="16"/>
        <v>0</v>
      </c>
      <c r="N124">
        <f t="shared" si="17"/>
        <v>1</v>
      </c>
      <c r="O124">
        <f t="shared" si="18"/>
        <v>1</v>
      </c>
      <c r="P124">
        <f t="shared" si="19"/>
        <v>1</v>
      </c>
      <c r="Q124">
        <f t="shared" si="20"/>
        <v>1</v>
      </c>
      <c r="R124">
        <v>1</v>
      </c>
      <c r="S124">
        <v>0</v>
      </c>
      <c r="T124">
        <v>1</v>
      </c>
      <c r="U124">
        <v>1</v>
      </c>
      <c r="V124">
        <v>1</v>
      </c>
      <c r="W124">
        <v>1</v>
      </c>
      <c r="X124">
        <v>0</v>
      </c>
      <c r="Y124">
        <v>0</v>
      </c>
      <c r="Z124">
        <v>1</v>
      </c>
      <c r="AA124">
        <v>1</v>
      </c>
      <c r="AB124">
        <v>1</v>
      </c>
      <c r="AC124">
        <v>1</v>
      </c>
      <c r="AD124">
        <v>0</v>
      </c>
      <c r="AE124">
        <v>0</v>
      </c>
      <c r="AF124">
        <v>0</v>
      </c>
      <c r="AG124">
        <v>1</v>
      </c>
      <c r="AH124">
        <v>1</v>
      </c>
      <c r="AI124">
        <v>1</v>
      </c>
      <c r="AJ124">
        <v>0</v>
      </c>
      <c r="AK124">
        <v>0</v>
      </c>
      <c r="AL124">
        <v>1</v>
      </c>
      <c r="AM124">
        <v>0</v>
      </c>
      <c r="AN124">
        <v>1</v>
      </c>
      <c r="AO124">
        <v>0</v>
      </c>
      <c r="AP124">
        <v>1</v>
      </c>
      <c r="AQ124">
        <v>0</v>
      </c>
      <c r="AR124">
        <v>1</v>
      </c>
      <c r="AS124">
        <f t="shared" si="21"/>
        <v>7</v>
      </c>
      <c r="AT124">
        <f t="shared" si="22"/>
        <v>16</v>
      </c>
      <c r="AU124" s="3" t="s">
        <v>418</v>
      </c>
      <c r="AV124">
        <f t="shared" si="23"/>
        <v>1</v>
      </c>
      <c r="AW124">
        <f t="shared" si="24"/>
        <v>0</v>
      </c>
      <c r="AX124">
        <f t="shared" si="25"/>
        <v>1</v>
      </c>
      <c r="AY124">
        <v>116</v>
      </c>
      <c r="AZ124" t="s">
        <v>60</v>
      </c>
      <c r="BA124" t="s">
        <v>61</v>
      </c>
      <c r="BB124" t="s">
        <v>7</v>
      </c>
    </row>
    <row r="125" ht="219" spans="1:54">
      <c r="A125" t="s">
        <v>419</v>
      </c>
      <c r="B125" t="s">
        <v>55</v>
      </c>
      <c r="C125" t="s">
        <v>116</v>
      </c>
      <c r="D125">
        <v>267</v>
      </c>
      <c r="E125">
        <v>22</v>
      </c>
      <c r="F125">
        <v>84.6</v>
      </c>
      <c r="G125" t="s">
        <v>402</v>
      </c>
      <c r="H125" s="3" t="s">
        <v>420</v>
      </c>
      <c r="I125" s="3" t="s">
        <v>420</v>
      </c>
      <c r="J125">
        <f t="shared" si="13"/>
        <v>0</v>
      </c>
      <c r="K125">
        <f t="shared" si="14"/>
        <v>1</v>
      </c>
      <c r="L125">
        <f t="shared" si="15"/>
        <v>0</v>
      </c>
      <c r="M125">
        <f t="shared" si="16"/>
        <v>1</v>
      </c>
      <c r="N125">
        <f t="shared" si="17"/>
        <v>1</v>
      </c>
      <c r="O125">
        <f t="shared" si="18"/>
        <v>1</v>
      </c>
      <c r="P125">
        <f t="shared" si="19"/>
        <v>0</v>
      </c>
      <c r="Q125">
        <f t="shared" si="20"/>
        <v>0</v>
      </c>
      <c r="R125">
        <v>0</v>
      </c>
      <c r="S125">
        <v>0</v>
      </c>
      <c r="T125">
        <v>0</v>
      </c>
      <c r="U125">
        <v>1</v>
      </c>
      <c r="V125">
        <v>1</v>
      </c>
      <c r="W125">
        <v>0</v>
      </c>
      <c r="X125">
        <v>0</v>
      </c>
      <c r="Y125">
        <v>0</v>
      </c>
      <c r="Z125">
        <v>0</v>
      </c>
      <c r="AA125">
        <v>0</v>
      </c>
      <c r="AB125">
        <v>0</v>
      </c>
      <c r="AC125">
        <v>0</v>
      </c>
      <c r="AD125">
        <v>1</v>
      </c>
      <c r="AE125">
        <v>0</v>
      </c>
      <c r="AF125">
        <v>0</v>
      </c>
      <c r="AG125">
        <v>0</v>
      </c>
      <c r="AH125">
        <v>1</v>
      </c>
      <c r="AI125">
        <v>1</v>
      </c>
      <c r="AJ125">
        <v>0</v>
      </c>
      <c r="AK125">
        <v>0</v>
      </c>
      <c r="AL125">
        <v>0</v>
      </c>
      <c r="AM125">
        <v>0</v>
      </c>
      <c r="AN125">
        <v>0</v>
      </c>
      <c r="AO125">
        <v>0</v>
      </c>
      <c r="AP125">
        <v>0</v>
      </c>
      <c r="AQ125">
        <v>0</v>
      </c>
      <c r="AR125">
        <v>0</v>
      </c>
      <c r="AS125">
        <f t="shared" si="21"/>
        <v>4</v>
      </c>
      <c r="AT125">
        <f t="shared" si="22"/>
        <v>5</v>
      </c>
      <c r="AU125" s="3" t="s">
        <v>421</v>
      </c>
      <c r="AV125">
        <f t="shared" si="23"/>
        <v>1</v>
      </c>
      <c r="AW125">
        <f t="shared" si="24"/>
        <v>0</v>
      </c>
      <c r="AX125">
        <f t="shared" si="25"/>
        <v>0</v>
      </c>
      <c r="AY125">
        <v>-5</v>
      </c>
      <c r="AZ125" t="s">
        <v>133</v>
      </c>
      <c r="BA125" t="s">
        <v>134</v>
      </c>
      <c r="BB125" t="s">
        <v>7</v>
      </c>
    </row>
    <row r="126" ht="34" spans="1:54">
      <c r="A126" t="s">
        <v>422</v>
      </c>
      <c r="B126" t="s">
        <v>55</v>
      </c>
      <c r="C126" t="s">
        <v>56</v>
      </c>
      <c r="D126">
        <v>49</v>
      </c>
      <c r="E126">
        <v>3</v>
      </c>
      <c r="F126">
        <v>66.5</v>
      </c>
      <c r="G126" t="s">
        <v>402</v>
      </c>
      <c r="H126" s="3" t="s">
        <v>423</v>
      </c>
      <c r="I126" s="3" t="s">
        <v>423</v>
      </c>
      <c r="J126">
        <f t="shared" si="13"/>
        <v>0</v>
      </c>
      <c r="K126">
        <f t="shared" si="14"/>
        <v>0</v>
      </c>
      <c r="L126">
        <f t="shared" si="15"/>
        <v>0</v>
      </c>
      <c r="M126">
        <f t="shared" si="16"/>
        <v>0</v>
      </c>
      <c r="N126">
        <f t="shared" si="17"/>
        <v>0</v>
      </c>
      <c r="O126">
        <f t="shared" si="18"/>
        <v>1</v>
      </c>
      <c r="P126">
        <f t="shared" si="19"/>
        <v>0</v>
      </c>
      <c r="Q126">
        <f t="shared" si="20"/>
        <v>0</v>
      </c>
      <c r="R126">
        <v>0</v>
      </c>
      <c r="S126">
        <v>0</v>
      </c>
      <c r="T126">
        <v>0</v>
      </c>
      <c r="U126">
        <v>0</v>
      </c>
      <c r="V126">
        <v>0</v>
      </c>
      <c r="W126">
        <v>0</v>
      </c>
      <c r="X126">
        <v>0</v>
      </c>
      <c r="Y126">
        <v>0</v>
      </c>
      <c r="Z126">
        <v>0</v>
      </c>
      <c r="AA126">
        <v>0</v>
      </c>
      <c r="AB126">
        <v>0</v>
      </c>
      <c r="AC126">
        <v>0</v>
      </c>
      <c r="AD126">
        <v>0</v>
      </c>
      <c r="AE126">
        <v>0</v>
      </c>
      <c r="AF126">
        <v>0</v>
      </c>
      <c r="AG126">
        <v>0</v>
      </c>
      <c r="AH126">
        <v>0</v>
      </c>
      <c r="AI126">
        <v>1</v>
      </c>
      <c r="AJ126">
        <v>0</v>
      </c>
      <c r="AK126">
        <v>0</v>
      </c>
      <c r="AL126">
        <v>0</v>
      </c>
      <c r="AM126">
        <v>0</v>
      </c>
      <c r="AN126">
        <v>0</v>
      </c>
      <c r="AO126">
        <v>0</v>
      </c>
      <c r="AP126">
        <v>0</v>
      </c>
      <c r="AQ126">
        <v>0</v>
      </c>
      <c r="AR126">
        <v>0</v>
      </c>
      <c r="AS126">
        <f t="shared" si="21"/>
        <v>1</v>
      </c>
      <c r="AT126">
        <f t="shared" si="22"/>
        <v>1</v>
      </c>
      <c r="AU126" s="3" t="s">
        <v>79</v>
      </c>
      <c r="AV126">
        <f t="shared" si="23"/>
        <v>1</v>
      </c>
      <c r="AW126">
        <f t="shared" si="24"/>
        <v>0</v>
      </c>
      <c r="AX126">
        <f t="shared" si="25"/>
        <v>0</v>
      </c>
      <c r="AY126">
        <v>1</v>
      </c>
      <c r="AZ126" t="s">
        <v>60</v>
      </c>
      <c r="BA126" t="s">
        <v>61</v>
      </c>
      <c r="BB126" t="s">
        <v>7</v>
      </c>
    </row>
    <row r="127" ht="168" spans="1:54">
      <c r="A127" t="s">
        <v>424</v>
      </c>
      <c r="B127" t="s">
        <v>55</v>
      </c>
      <c r="C127" t="s">
        <v>56</v>
      </c>
      <c r="D127">
        <v>1763</v>
      </c>
      <c r="E127">
        <v>846</v>
      </c>
      <c r="F127">
        <v>51</v>
      </c>
      <c r="G127" t="s">
        <v>425</v>
      </c>
      <c r="H127" s="3" t="s">
        <v>426</v>
      </c>
      <c r="I127" s="3" t="s">
        <v>426</v>
      </c>
      <c r="J127">
        <f t="shared" si="13"/>
        <v>0</v>
      </c>
      <c r="K127">
        <f t="shared" si="14"/>
        <v>1</v>
      </c>
      <c r="L127">
        <f t="shared" si="15"/>
        <v>0</v>
      </c>
      <c r="M127">
        <f t="shared" si="16"/>
        <v>0</v>
      </c>
      <c r="N127">
        <f t="shared" si="17"/>
        <v>0</v>
      </c>
      <c r="O127">
        <f t="shared" si="18"/>
        <v>1</v>
      </c>
      <c r="P127">
        <f t="shared" si="19"/>
        <v>1</v>
      </c>
      <c r="Q127">
        <f t="shared" si="20"/>
        <v>1</v>
      </c>
      <c r="R127">
        <v>0</v>
      </c>
      <c r="S127">
        <v>0</v>
      </c>
      <c r="T127">
        <v>0</v>
      </c>
      <c r="U127">
        <v>0</v>
      </c>
      <c r="V127">
        <v>1</v>
      </c>
      <c r="W127">
        <v>1</v>
      </c>
      <c r="X127">
        <v>0</v>
      </c>
      <c r="Y127">
        <v>0</v>
      </c>
      <c r="Z127">
        <v>0</v>
      </c>
      <c r="AA127">
        <v>0</v>
      </c>
      <c r="AB127">
        <v>0</v>
      </c>
      <c r="AC127">
        <v>0</v>
      </c>
      <c r="AD127">
        <v>0</v>
      </c>
      <c r="AE127">
        <v>0</v>
      </c>
      <c r="AF127">
        <v>0</v>
      </c>
      <c r="AG127">
        <v>0</v>
      </c>
      <c r="AH127">
        <v>0</v>
      </c>
      <c r="AI127">
        <v>1</v>
      </c>
      <c r="AJ127">
        <v>0</v>
      </c>
      <c r="AK127">
        <v>0</v>
      </c>
      <c r="AL127">
        <v>0</v>
      </c>
      <c r="AM127">
        <v>0</v>
      </c>
      <c r="AN127">
        <v>0</v>
      </c>
      <c r="AO127">
        <v>0</v>
      </c>
      <c r="AP127">
        <v>1</v>
      </c>
      <c r="AQ127">
        <v>0</v>
      </c>
      <c r="AR127">
        <v>1</v>
      </c>
      <c r="AS127">
        <f t="shared" si="21"/>
        <v>4</v>
      </c>
      <c r="AT127">
        <f t="shared" si="22"/>
        <v>5</v>
      </c>
      <c r="AU127" s="3" t="s">
        <v>427</v>
      </c>
      <c r="AV127">
        <f t="shared" si="23"/>
        <v>1</v>
      </c>
      <c r="AW127">
        <f t="shared" si="24"/>
        <v>0</v>
      </c>
      <c r="AX127">
        <f t="shared" si="25"/>
        <v>0</v>
      </c>
      <c r="AY127">
        <v>19</v>
      </c>
      <c r="AZ127" t="s">
        <v>60</v>
      </c>
      <c r="BA127" t="s">
        <v>61</v>
      </c>
      <c r="BB127" t="s">
        <v>7</v>
      </c>
    </row>
    <row r="128" ht="353" spans="1:54">
      <c r="A128" t="s">
        <v>428</v>
      </c>
      <c r="B128" t="s">
        <v>55</v>
      </c>
      <c r="C128" t="s">
        <v>56</v>
      </c>
      <c r="D128">
        <v>373</v>
      </c>
      <c r="E128">
        <v>20</v>
      </c>
      <c r="F128">
        <v>56.2</v>
      </c>
      <c r="G128" t="s">
        <v>425</v>
      </c>
      <c r="H128" s="3" t="s">
        <v>429</v>
      </c>
      <c r="I128" s="3" t="s">
        <v>429</v>
      </c>
      <c r="J128">
        <f t="shared" si="13"/>
        <v>1</v>
      </c>
      <c r="K128">
        <f t="shared" si="14"/>
        <v>1</v>
      </c>
      <c r="L128">
        <f t="shared" si="15"/>
        <v>0</v>
      </c>
      <c r="M128">
        <f t="shared" si="16"/>
        <v>0</v>
      </c>
      <c r="N128">
        <f t="shared" si="17"/>
        <v>1</v>
      </c>
      <c r="O128">
        <f t="shared" si="18"/>
        <v>1</v>
      </c>
      <c r="P128">
        <f t="shared" si="19"/>
        <v>1</v>
      </c>
      <c r="Q128">
        <f t="shared" si="20"/>
        <v>1</v>
      </c>
      <c r="R128">
        <v>0</v>
      </c>
      <c r="S128">
        <v>0</v>
      </c>
      <c r="T128">
        <v>1</v>
      </c>
      <c r="U128">
        <v>0</v>
      </c>
      <c r="V128">
        <v>1</v>
      </c>
      <c r="W128">
        <v>0</v>
      </c>
      <c r="X128">
        <v>0</v>
      </c>
      <c r="Y128">
        <v>0</v>
      </c>
      <c r="Z128">
        <v>0</v>
      </c>
      <c r="AA128">
        <v>0</v>
      </c>
      <c r="AB128">
        <v>0</v>
      </c>
      <c r="AC128">
        <v>0</v>
      </c>
      <c r="AD128">
        <v>0</v>
      </c>
      <c r="AE128">
        <v>0</v>
      </c>
      <c r="AF128">
        <v>0</v>
      </c>
      <c r="AG128">
        <v>0</v>
      </c>
      <c r="AH128">
        <v>1</v>
      </c>
      <c r="AI128">
        <v>0</v>
      </c>
      <c r="AJ128">
        <v>0</v>
      </c>
      <c r="AK128">
        <v>1</v>
      </c>
      <c r="AL128">
        <v>0</v>
      </c>
      <c r="AM128">
        <v>0</v>
      </c>
      <c r="AN128">
        <v>0</v>
      </c>
      <c r="AO128">
        <v>0</v>
      </c>
      <c r="AP128">
        <v>1</v>
      </c>
      <c r="AQ128">
        <v>0</v>
      </c>
      <c r="AR128">
        <v>1</v>
      </c>
      <c r="AS128">
        <f t="shared" si="21"/>
        <v>6</v>
      </c>
      <c r="AT128">
        <f t="shared" si="22"/>
        <v>6</v>
      </c>
      <c r="AU128" s="3" t="s">
        <v>430</v>
      </c>
      <c r="AV128">
        <f t="shared" si="23"/>
        <v>1</v>
      </c>
      <c r="AW128">
        <f t="shared" si="24"/>
        <v>0</v>
      </c>
      <c r="AX128">
        <f t="shared" si="25"/>
        <v>0</v>
      </c>
      <c r="AY128">
        <v>15.5</v>
      </c>
      <c r="AZ128" t="s">
        <v>60</v>
      </c>
      <c r="BA128" t="s">
        <v>61</v>
      </c>
      <c r="BB128" t="s">
        <v>7</v>
      </c>
    </row>
    <row r="129" ht="34" spans="1:54">
      <c r="A129" t="s">
        <v>431</v>
      </c>
      <c r="B129" t="s">
        <v>55</v>
      </c>
      <c r="C129" t="s">
        <v>56</v>
      </c>
      <c r="D129">
        <v>180</v>
      </c>
      <c r="E129">
        <v>12</v>
      </c>
      <c r="F129">
        <v>19.3</v>
      </c>
      <c r="G129" t="s">
        <v>425</v>
      </c>
      <c r="H129" s="3" t="s">
        <v>432</v>
      </c>
      <c r="I129" s="3" t="s">
        <v>432</v>
      </c>
      <c r="J129">
        <f t="shared" si="13"/>
        <v>0</v>
      </c>
      <c r="K129">
        <f t="shared" si="14"/>
        <v>0</v>
      </c>
      <c r="L129">
        <f t="shared" si="15"/>
        <v>1</v>
      </c>
      <c r="M129">
        <f t="shared" si="16"/>
        <v>0</v>
      </c>
      <c r="N129">
        <f t="shared" si="17"/>
        <v>0</v>
      </c>
      <c r="O129">
        <f t="shared" si="18"/>
        <v>1</v>
      </c>
      <c r="P129">
        <f t="shared" si="19"/>
        <v>1</v>
      </c>
      <c r="Q129">
        <f t="shared" si="20"/>
        <v>0</v>
      </c>
      <c r="R129">
        <v>0</v>
      </c>
      <c r="S129">
        <v>0</v>
      </c>
      <c r="T129">
        <v>0</v>
      </c>
      <c r="U129">
        <v>0</v>
      </c>
      <c r="V129">
        <v>0</v>
      </c>
      <c r="W129">
        <v>0</v>
      </c>
      <c r="X129">
        <v>0</v>
      </c>
      <c r="Y129">
        <v>0</v>
      </c>
      <c r="Z129">
        <v>1</v>
      </c>
      <c r="AA129">
        <v>0</v>
      </c>
      <c r="AB129">
        <v>1</v>
      </c>
      <c r="AC129">
        <v>0</v>
      </c>
      <c r="AD129">
        <v>0</v>
      </c>
      <c r="AE129">
        <v>0</v>
      </c>
      <c r="AF129">
        <v>0</v>
      </c>
      <c r="AG129">
        <v>0</v>
      </c>
      <c r="AH129">
        <v>0</v>
      </c>
      <c r="AI129">
        <v>0</v>
      </c>
      <c r="AJ129">
        <v>1</v>
      </c>
      <c r="AK129">
        <v>0</v>
      </c>
      <c r="AL129">
        <v>0</v>
      </c>
      <c r="AM129">
        <v>0</v>
      </c>
      <c r="AN129">
        <v>0</v>
      </c>
      <c r="AO129">
        <v>0</v>
      </c>
      <c r="AP129">
        <v>1</v>
      </c>
      <c r="AQ129">
        <v>0</v>
      </c>
      <c r="AR129">
        <v>0</v>
      </c>
      <c r="AS129">
        <f t="shared" si="21"/>
        <v>3</v>
      </c>
      <c r="AT129">
        <f t="shared" si="22"/>
        <v>4</v>
      </c>
      <c r="AU129" s="3" t="s">
        <v>433</v>
      </c>
      <c r="AV129">
        <f t="shared" si="23"/>
        <v>1</v>
      </c>
      <c r="AW129">
        <f t="shared" si="24"/>
        <v>0</v>
      </c>
      <c r="AX129">
        <f t="shared" si="25"/>
        <v>0</v>
      </c>
      <c r="AY129">
        <v>4</v>
      </c>
      <c r="AZ129" t="s">
        <v>60</v>
      </c>
      <c r="BA129" t="s">
        <v>61</v>
      </c>
      <c r="BB129" t="s">
        <v>7</v>
      </c>
    </row>
    <row r="130" ht="409.5" spans="1:54">
      <c r="A130" t="s">
        <v>434</v>
      </c>
      <c r="B130" t="s">
        <v>55</v>
      </c>
      <c r="C130" t="s">
        <v>116</v>
      </c>
      <c r="D130">
        <v>149</v>
      </c>
      <c r="E130">
        <v>6</v>
      </c>
      <c r="F130">
        <v>672.3</v>
      </c>
      <c r="G130" t="s">
        <v>425</v>
      </c>
      <c r="H130" s="3" t="s">
        <v>435</v>
      </c>
      <c r="I130" s="3" t="s">
        <v>435</v>
      </c>
      <c r="J130">
        <f t="shared" ref="J130:J193" si="26">IF(SUM(R130:T130)&gt;0,1,0)</f>
        <v>1</v>
      </c>
      <c r="K130">
        <f t="shared" ref="K130:K193" si="27">IF(SUM(U130:Y130)&gt;0,1,0)</f>
        <v>1</v>
      </c>
      <c r="L130">
        <f t="shared" ref="L130:L193" si="28">IF(SUM(Z130:AC130)&gt;0,1,0)</f>
        <v>1</v>
      </c>
      <c r="M130">
        <f t="shared" ref="M130:M193" si="29">IF(SUM(AD130:AF130)&gt;0,1,0)</f>
        <v>0</v>
      </c>
      <c r="N130">
        <f t="shared" ref="N130:N193" si="30">IF(SUM(AG130:AH130)&gt;0,1,0)</f>
        <v>1</v>
      </c>
      <c r="O130">
        <f t="shared" ref="O130:O193" si="31">IF(SUM(AI130:AL130)&gt;0,1,0)</f>
        <v>1</v>
      </c>
      <c r="P130">
        <f t="shared" ref="P130:P193" si="32">IF(SUM(AM130:AQ130)&gt;0,1,0)</f>
        <v>1</v>
      </c>
      <c r="Q130">
        <f t="shared" ref="Q130:Q193" si="33">IF(AR130&gt;0,1,0)</f>
        <v>0</v>
      </c>
      <c r="R130">
        <v>1</v>
      </c>
      <c r="S130">
        <v>1</v>
      </c>
      <c r="T130">
        <v>0</v>
      </c>
      <c r="U130">
        <v>1</v>
      </c>
      <c r="V130">
        <v>1</v>
      </c>
      <c r="W130">
        <v>1</v>
      </c>
      <c r="X130">
        <v>0</v>
      </c>
      <c r="Y130">
        <v>0</v>
      </c>
      <c r="Z130">
        <v>1</v>
      </c>
      <c r="AA130">
        <v>1</v>
      </c>
      <c r="AB130">
        <v>1</v>
      </c>
      <c r="AC130">
        <v>0</v>
      </c>
      <c r="AD130">
        <v>0</v>
      </c>
      <c r="AE130">
        <v>0</v>
      </c>
      <c r="AF130">
        <v>0</v>
      </c>
      <c r="AG130">
        <v>0</v>
      </c>
      <c r="AH130">
        <v>1</v>
      </c>
      <c r="AI130">
        <v>1</v>
      </c>
      <c r="AJ130">
        <v>1</v>
      </c>
      <c r="AK130">
        <v>0</v>
      </c>
      <c r="AL130">
        <v>1</v>
      </c>
      <c r="AM130">
        <v>0</v>
      </c>
      <c r="AN130">
        <v>0</v>
      </c>
      <c r="AO130">
        <v>0</v>
      </c>
      <c r="AP130">
        <v>1</v>
      </c>
      <c r="AQ130">
        <v>1</v>
      </c>
      <c r="AR130">
        <v>0</v>
      </c>
      <c r="AS130">
        <f t="shared" ref="AS130:AS193" si="34">SUM(J130:Q130)</f>
        <v>6</v>
      </c>
      <c r="AT130">
        <f t="shared" ref="AT130:AT193" si="35">SUM(R130:AR130)</f>
        <v>14</v>
      </c>
      <c r="AU130" s="3" t="s">
        <v>436</v>
      </c>
      <c r="AV130">
        <f t="shared" ref="AV130:AV193" si="36">IF(AT130&gt;0,1,0)</f>
        <v>1</v>
      </c>
      <c r="AW130">
        <f t="shared" ref="AW130:AW193" si="37">IF(AT130=0,1,0)</f>
        <v>0</v>
      </c>
      <c r="AX130">
        <f t="shared" ref="AX130:AX193" si="38">IF(AT130&gt;=8,1,0)</f>
        <v>1</v>
      </c>
      <c r="AY130">
        <v>9.5</v>
      </c>
      <c r="AZ130" t="s">
        <v>60</v>
      </c>
      <c r="BA130" t="s">
        <v>61</v>
      </c>
      <c r="BB130" t="s">
        <v>7</v>
      </c>
    </row>
    <row r="131" ht="404" spans="1:54">
      <c r="A131" t="s">
        <v>437</v>
      </c>
      <c r="B131" t="s">
        <v>55</v>
      </c>
      <c r="C131" t="s">
        <v>116</v>
      </c>
      <c r="D131">
        <v>105</v>
      </c>
      <c r="E131">
        <v>4</v>
      </c>
      <c r="F131">
        <v>39.1</v>
      </c>
      <c r="G131" t="s">
        <v>425</v>
      </c>
      <c r="H131" s="3" t="s">
        <v>438</v>
      </c>
      <c r="I131" s="3" t="s">
        <v>438</v>
      </c>
      <c r="J131">
        <f t="shared" si="26"/>
        <v>1</v>
      </c>
      <c r="K131">
        <f t="shared" si="27"/>
        <v>0</v>
      </c>
      <c r="L131">
        <f t="shared" si="28"/>
        <v>0</v>
      </c>
      <c r="M131">
        <f t="shared" si="29"/>
        <v>0</v>
      </c>
      <c r="N131">
        <f t="shared" si="30"/>
        <v>0</v>
      </c>
      <c r="O131">
        <f t="shared" si="31"/>
        <v>1</v>
      </c>
      <c r="P131">
        <f t="shared" si="32"/>
        <v>1</v>
      </c>
      <c r="Q131">
        <f t="shared" si="33"/>
        <v>0</v>
      </c>
      <c r="R131">
        <v>1</v>
      </c>
      <c r="S131">
        <v>0</v>
      </c>
      <c r="T131">
        <v>0</v>
      </c>
      <c r="U131">
        <v>0</v>
      </c>
      <c r="V131">
        <v>0</v>
      </c>
      <c r="W131">
        <v>0</v>
      </c>
      <c r="X131">
        <v>0</v>
      </c>
      <c r="Y131">
        <v>0</v>
      </c>
      <c r="Z131">
        <v>0</v>
      </c>
      <c r="AA131">
        <v>0</v>
      </c>
      <c r="AB131">
        <v>0</v>
      </c>
      <c r="AC131">
        <v>0</v>
      </c>
      <c r="AD131">
        <v>0</v>
      </c>
      <c r="AE131">
        <v>0</v>
      </c>
      <c r="AF131">
        <v>0</v>
      </c>
      <c r="AG131">
        <v>0</v>
      </c>
      <c r="AH131">
        <v>0</v>
      </c>
      <c r="AI131">
        <v>1</v>
      </c>
      <c r="AJ131">
        <v>1</v>
      </c>
      <c r="AK131">
        <v>0</v>
      </c>
      <c r="AL131">
        <v>1</v>
      </c>
      <c r="AM131">
        <v>0</v>
      </c>
      <c r="AN131">
        <v>0</v>
      </c>
      <c r="AO131">
        <v>0</v>
      </c>
      <c r="AP131">
        <v>0</v>
      </c>
      <c r="AQ131">
        <v>1</v>
      </c>
      <c r="AR131">
        <v>0</v>
      </c>
      <c r="AS131">
        <f t="shared" si="34"/>
        <v>3</v>
      </c>
      <c r="AT131">
        <f t="shared" si="35"/>
        <v>5</v>
      </c>
      <c r="AU131" s="3" t="s">
        <v>439</v>
      </c>
      <c r="AV131">
        <f t="shared" si="36"/>
        <v>1</v>
      </c>
      <c r="AW131">
        <f t="shared" si="37"/>
        <v>0</v>
      </c>
      <c r="AX131">
        <f t="shared" si="38"/>
        <v>0</v>
      </c>
      <c r="AY131">
        <v>24.5</v>
      </c>
      <c r="AZ131" t="s">
        <v>60</v>
      </c>
      <c r="BA131" t="s">
        <v>61</v>
      </c>
      <c r="BB131" t="s">
        <v>7</v>
      </c>
    </row>
    <row r="132" ht="34" spans="1:54">
      <c r="A132" t="s">
        <v>440</v>
      </c>
      <c r="B132" t="s">
        <v>55</v>
      </c>
      <c r="C132" t="s">
        <v>56</v>
      </c>
      <c r="D132">
        <v>64</v>
      </c>
      <c r="E132">
        <v>63</v>
      </c>
      <c r="F132">
        <v>23.6</v>
      </c>
      <c r="G132" t="s">
        <v>425</v>
      </c>
      <c r="H132" s="3" t="s">
        <v>441</v>
      </c>
      <c r="I132" s="3" t="s">
        <v>441</v>
      </c>
      <c r="J132">
        <f t="shared" si="26"/>
        <v>0</v>
      </c>
      <c r="K132">
        <f t="shared" si="27"/>
        <v>0</v>
      </c>
      <c r="L132">
        <f t="shared" si="28"/>
        <v>0</v>
      </c>
      <c r="M132">
        <f t="shared" si="29"/>
        <v>0</v>
      </c>
      <c r="N132">
        <f t="shared" si="30"/>
        <v>0</v>
      </c>
      <c r="O132">
        <f t="shared" si="31"/>
        <v>0</v>
      </c>
      <c r="P132">
        <f t="shared" si="32"/>
        <v>0</v>
      </c>
      <c r="Q132">
        <f t="shared" si="33"/>
        <v>1</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1</v>
      </c>
      <c r="AS132">
        <f t="shared" si="34"/>
        <v>1</v>
      </c>
      <c r="AT132">
        <f t="shared" si="35"/>
        <v>1</v>
      </c>
      <c r="AU132" s="3" t="s">
        <v>157</v>
      </c>
      <c r="AV132">
        <f t="shared" si="36"/>
        <v>1</v>
      </c>
      <c r="AW132">
        <f t="shared" si="37"/>
        <v>0</v>
      </c>
      <c r="AX132">
        <f t="shared" si="38"/>
        <v>0</v>
      </c>
      <c r="AY132">
        <v>5.5</v>
      </c>
      <c r="AZ132" t="s">
        <v>60</v>
      </c>
      <c r="BA132" t="s">
        <v>61</v>
      </c>
      <c r="BB132" t="s">
        <v>7</v>
      </c>
    </row>
    <row r="133" ht="409.5" spans="1:54">
      <c r="A133" t="s">
        <v>442</v>
      </c>
      <c r="B133" t="s">
        <v>55</v>
      </c>
      <c r="C133" t="s">
        <v>116</v>
      </c>
      <c r="D133">
        <v>723</v>
      </c>
      <c r="E133">
        <v>45</v>
      </c>
      <c r="F133">
        <v>38.2</v>
      </c>
      <c r="G133" t="s">
        <v>443</v>
      </c>
      <c r="H133" s="3" t="s">
        <v>444</v>
      </c>
      <c r="I133" s="3" t="s">
        <v>444</v>
      </c>
      <c r="J133">
        <f t="shared" si="26"/>
        <v>1</v>
      </c>
      <c r="K133">
        <f t="shared" si="27"/>
        <v>1</v>
      </c>
      <c r="L133">
        <f t="shared" si="28"/>
        <v>1</v>
      </c>
      <c r="M133">
        <f t="shared" si="29"/>
        <v>1</v>
      </c>
      <c r="N133">
        <f t="shared" si="30"/>
        <v>1</v>
      </c>
      <c r="O133">
        <f t="shared" si="31"/>
        <v>1</v>
      </c>
      <c r="P133">
        <f t="shared" si="32"/>
        <v>1</v>
      </c>
      <c r="Q133">
        <f t="shared" si="33"/>
        <v>1</v>
      </c>
      <c r="R133">
        <v>1</v>
      </c>
      <c r="S133">
        <v>1</v>
      </c>
      <c r="T133">
        <v>1</v>
      </c>
      <c r="U133">
        <v>1</v>
      </c>
      <c r="V133">
        <v>1</v>
      </c>
      <c r="W133">
        <v>1</v>
      </c>
      <c r="X133">
        <v>1</v>
      </c>
      <c r="Y133">
        <v>0</v>
      </c>
      <c r="Z133">
        <v>1</v>
      </c>
      <c r="AA133">
        <v>1</v>
      </c>
      <c r="AB133">
        <v>1</v>
      </c>
      <c r="AC133">
        <v>1</v>
      </c>
      <c r="AD133">
        <v>1</v>
      </c>
      <c r="AE133">
        <v>0</v>
      </c>
      <c r="AF133">
        <v>0</v>
      </c>
      <c r="AG133">
        <v>0</v>
      </c>
      <c r="AH133">
        <v>1</v>
      </c>
      <c r="AI133">
        <v>1</v>
      </c>
      <c r="AJ133">
        <v>0</v>
      </c>
      <c r="AK133">
        <v>0</v>
      </c>
      <c r="AL133">
        <v>1</v>
      </c>
      <c r="AM133">
        <v>0</v>
      </c>
      <c r="AN133">
        <v>0</v>
      </c>
      <c r="AO133">
        <v>0</v>
      </c>
      <c r="AP133">
        <v>1</v>
      </c>
      <c r="AQ133">
        <v>1</v>
      </c>
      <c r="AR133">
        <v>1</v>
      </c>
      <c r="AS133">
        <f t="shared" si="34"/>
        <v>8</v>
      </c>
      <c r="AT133">
        <f t="shared" si="35"/>
        <v>18</v>
      </c>
      <c r="AU133" s="3" t="s">
        <v>445</v>
      </c>
      <c r="AV133">
        <f t="shared" si="36"/>
        <v>1</v>
      </c>
      <c r="AW133">
        <f t="shared" si="37"/>
        <v>0</v>
      </c>
      <c r="AX133">
        <f t="shared" si="38"/>
        <v>1</v>
      </c>
      <c r="AY133">
        <v>-3.5</v>
      </c>
      <c r="AZ133" t="s">
        <v>133</v>
      </c>
      <c r="BA133" t="s">
        <v>134</v>
      </c>
      <c r="BB133" t="s">
        <v>7</v>
      </c>
    </row>
    <row r="134" ht="409.5" spans="1:54">
      <c r="A134" t="s">
        <v>446</v>
      </c>
      <c r="B134" t="s">
        <v>55</v>
      </c>
      <c r="C134" t="s">
        <v>56</v>
      </c>
      <c r="D134">
        <v>593</v>
      </c>
      <c r="E134">
        <v>33</v>
      </c>
      <c r="F134">
        <v>154</v>
      </c>
      <c r="G134" t="s">
        <v>443</v>
      </c>
      <c r="H134" s="3" t="s">
        <v>447</v>
      </c>
      <c r="I134" s="3" t="s">
        <v>447</v>
      </c>
      <c r="J134">
        <f t="shared" si="26"/>
        <v>0</v>
      </c>
      <c r="K134">
        <f t="shared" si="27"/>
        <v>1</v>
      </c>
      <c r="L134">
        <f t="shared" si="28"/>
        <v>0</v>
      </c>
      <c r="M134">
        <f t="shared" si="29"/>
        <v>1</v>
      </c>
      <c r="N134">
        <f t="shared" si="30"/>
        <v>0</v>
      </c>
      <c r="O134">
        <f t="shared" si="31"/>
        <v>0</v>
      </c>
      <c r="P134">
        <f t="shared" si="32"/>
        <v>0</v>
      </c>
      <c r="Q134">
        <f t="shared" si="33"/>
        <v>0</v>
      </c>
      <c r="R134">
        <v>0</v>
      </c>
      <c r="S134">
        <v>0</v>
      </c>
      <c r="T134">
        <v>0</v>
      </c>
      <c r="U134">
        <v>1</v>
      </c>
      <c r="V134">
        <v>0</v>
      </c>
      <c r="W134">
        <v>0</v>
      </c>
      <c r="X134">
        <v>0</v>
      </c>
      <c r="Y134">
        <v>0</v>
      </c>
      <c r="Z134">
        <v>0</v>
      </c>
      <c r="AA134">
        <v>0</v>
      </c>
      <c r="AB134">
        <v>0</v>
      </c>
      <c r="AC134">
        <v>0</v>
      </c>
      <c r="AD134">
        <v>1</v>
      </c>
      <c r="AE134">
        <v>0</v>
      </c>
      <c r="AF134">
        <v>1</v>
      </c>
      <c r="AG134">
        <v>0</v>
      </c>
      <c r="AH134">
        <v>0</v>
      </c>
      <c r="AI134">
        <v>0</v>
      </c>
      <c r="AJ134">
        <v>0</v>
      </c>
      <c r="AK134">
        <v>0</v>
      </c>
      <c r="AL134">
        <v>0</v>
      </c>
      <c r="AM134">
        <v>0</v>
      </c>
      <c r="AN134">
        <v>0</v>
      </c>
      <c r="AO134">
        <v>0</v>
      </c>
      <c r="AP134">
        <v>0</v>
      </c>
      <c r="AQ134">
        <v>0</v>
      </c>
      <c r="AR134">
        <v>0</v>
      </c>
      <c r="AS134">
        <f t="shared" si="34"/>
        <v>2</v>
      </c>
      <c r="AT134">
        <f t="shared" si="35"/>
        <v>3</v>
      </c>
      <c r="AU134" s="3" t="s">
        <v>448</v>
      </c>
      <c r="AV134">
        <f t="shared" si="36"/>
        <v>1</v>
      </c>
      <c r="AW134">
        <f t="shared" si="37"/>
        <v>0</v>
      </c>
      <c r="AX134">
        <f t="shared" si="38"/>
        <v>0</v>
      </c>
      <c r="AY134">
        <v>12.5</v>
      </c>
      <c r="AZ134" t="s">
        <v>60</v>
      </c>
      <c r="BA134" t="s">
        <v>61</v>
      </c>
      <c r="BB134" t="s">
        <v>7</v>
      </c>
    </row>
    <row r="135" ht="409.5" spans="1:54">
      <c r="A135" t="s">
        <v>449</v>
      </c>
      <c r="B135" t="s">
        <v>55</v>
      </c>
      <c r="C135" t="s">
        <v>56</v>
      </c>
      <c r="D135">
        <v>19</v>
      </c>
      <c r="E135">
        <v>0</v>
      </c>
      <c r="F135" t="s">
        <v>450</v>
      </c>
      <c r="G135" t="s">
        <v>451</v>
      </c>
      <c r="H135" s="3" t="s">
        <v>452</v>
      </c>
      <c r="I135" s="3" t="s">
        <v>452</v>
      </c>
      <c r="J135">
        <f t="shared" si="26"/>
        <v>1</v>
      </c>
      <c r="K135">
        <f t="shared" si="27"/>
        <v>1</v>
      </c>
      <c r="L135">
        <f t="shared" si="28"/>
        <v>1</v>
      </c>
      <c r="M135">
        <f t="shared" si="29"/>
        <v>1</v>
      </c>
      <c r="N135">
        <f t="shared" si="30"/>
        <v>1</v>
      </c>
      <c r="O135">
        <f t="shared" si="31"/>
        <v>1</v>
      </c>
      <c r="P135">
        <f t="shared" si="32"/>
        <v>1</v>
      </c>
      <c r="Q135">
        <f t="shared" si="33"/>
        <v>1</v>
      </c>
      <c r="R135">
        <v>1</v>
      </c>
      <c r="S135">
        <v>1</v>
      </c>
      <c r="T135">
        <v>1</v>
      </c>
      <c r="U135">
        <v>1</v>
      </c>
      <c r="V135">
        <v>1</v>
      </c>
      <c r="W135">
        <v>1</v>
      </c>
      <c r="X135">
        <v>1</v>
      </c>
      <c r="Y135">
        <v>0</v>
      </c>
      <c r="Z135">
        <v>1</v>
      </c>
      <c r="AA135">
        <v>1</v>
      </c>
      <c r="AB135">
        <v>1</v>
      </c>
      <c r="AC135">
        <v>0</v>
      </c>
      <c r="AD135">
        <v>1</v>
      </c>
      <c r="AE135">
        <v>0</v>
      </c>
      <c r="AF135">
        <v>0</v>
      </c>
      <c r="AG135">
        <v>1</v>
      </c>
      <c r="AH135">
        <v>0</v>
      </c>
      <c r="AI135">
        <v>1</v>
      </c>
      <c r="AJ135">
        <v>0</v>
      </c>
      <c r="AK135">
        <v>1</v>
      </c>
      <c r="AL135">
        <v>1</v>
      </c>
      <c r="AM135">
        <v>0</v>
      </c>
      <c r="AN135">
        <v>1</v>
      </c>
      <c r="AO135">
        <v>0</v>
      </c>
      <c r="AP135">
        <v>0</v>
      </c>
      <c r="AQ135">
        <v>1</v>
      </c>
      <c r="AR135">
        <v>1</v>
      </c>
      <c r="AS135">
        <f t="shared" si="34"/>
        <v>8</v>
      </c>
      <c r="AT135">
        <f t="shared" si="35"/>
        <v>18</v>
      </c>
      <c r="AU135" s="3" t="s">
        <v>453</v>
      </c>
      <c r="AV135">
        <f t="shared" si="36"/>
        <v>1</v>
      </c>
      <c r="AW135">
        <f t="shared" si="37"/>
        <v>0</v>
      </c>
      <c r="AX135">
        <f t="shared" si="38"/>
        <v>1</v>
      </c>
      <c r="AY135">
        <v>95</v>
      </c>
      <c r="AZ135" t="s">
        <v>60</v>
      </c>
      <c r="BA135" t="s">
        <v>61</v>
      </c>
      <c r="BB135" t="s">
        <v>7</v>
      </c>
    </row>
    <row r="136" ht="409.5" spans="1:54">
      <c r="A136" t="s">
        <v>454</v>
      </c>
      <c r="B136" t="s">
        <v>55</v>
      </c>
      <c r="C136" t="s">
        <v>56</v>
      </c>
      <c r="D136">
        <v>53</v>
      </c>
      <c r="E136">
        <v>0</v>
      </c>
      <c r="F136">
        <v>33.4</v>
      </c>
      <c r="G136" t="s">
        <v>443</v>
      </c>
      <c r="H136" s="3" t="s">
        <v>455</v>
      </c>
      <c r="I136" s="3" t="s">
        <v>455</v>
      </c>
      <c r="J136">
        <f t="shared" si="26"/>
        <v>1</v>
      </c>
      <c r="K136">
        <f t="shared" si="27"/>
        <v>0</v>
      </c>
      <c r="L136">
        <f t="shared" si="28"/>
        <v>1</v>
      </c>
      <c r="M136">
        <f t="shared" si="29"/>
        <v>0</v>
      </c>
      <c r="N136">
        <f t="shared" si="30"/>
        <v>0</v>
      </c>
      <c r="O136">
        <f t="shared" si="31"/>
        <v>1</v>
      </c>
      <c r="P136">
        <f t="shared" si="32"/>
        <v>1</v>
      </c>
      <c r="Q136">
        <f t="shared" si="33"/>
        <v>1</v>
      </c>
      <c r="R136">
        <v>1</v>
      </c>
      <c r="S136">
        <v>1</v>
      </c>
      <c r="T136">
        <v>1</v>
      </c>
      <c r="U136">
        <v>0</v>
      </c>
      <c r="V136">
        <v>0</v>
      </c>
      <c r="W136">
        <v>0</v>
      </c>
      <c r="X136">
        <v>0</v>
      </c>
      <c r="Y136">
        <v>0</v>
      </c>
      <c r="Z136">
        <v>1</v>
      </c>
      <c r="AA136">
        <v>0</v>
      </c>
      <c r="AB136">
        <v>0</v>
      </c>
      <c r="AC136">
        <v>0</v>
      </c>
      <c r="AD136">
        <v>0</v>
      </c>
      <c r="AE136">
        <v>0</v>
      </c>
      <c r="AF136">
        <v>0</v>
      </c>
      <c r="AG136">
        <v>0</v>
      </c>
      <c r="AH136">
        <v>0</v>
      </c>
      <c r="AI136">
        <v>1</v>
      </c>
      <c r="AJ136">
        <v>0</v>
      </c>
      <c r="AK136">
        <v>1</v>
      </c>
      <c r="AL136">
        <v>1</v>
      </c>
      <c r="AM136">
        <v>0</v>
      </c>
      <c r="AN136">
        <v>1</v>
      </c>
      <c r="AO136">
        <v>0</v>
      </c>
      <c r="AP136">
        <v>0</v>
      </c>
      <c r="AQ136">
        <v>1</v>
      </c>
      <c r="AR136">
        <v>1</v>
      </c>
      <c r="AS136">
        <f t="shared" si="34"/>
        <v>5</v>
      </c>
      <c r="AT136">
        <f t="shared" si="35"/>
        <v>10</v>
      </c>
      <c r="AU136" s="3" t="s">
        <v>456</v>
      </c>
      <c r="AV136">
        <f t="shared" si="36"/>
        <v>1</v>
      </c>
      <c r="AW136">
        <f t="shared" si="37"/>
        <v>0</v>
      </c>
      <c r="AX136">
        <f t="shared" si="38"/>
        <v>1</v>
      </c>
      <c r="AY136">
        <v>15.5</v>
      </c>
      <c r="AZ136" t="s">
        <v>60</v>
      </c>
      <c r="BA136" t="s">
        <v>61</v>
      </c>
      <c r="BB136" t="s">
        <v>7</v>
      </c>
    </row>
    <row r="137" ht="236" spans="1:54">
      <c r="A137" t="s">
        <v>457</v>
      </c>
      <c r="B137" t="s">
        <v>55</v>
      </c>
      <c r="C137" t="s">
        <v>56</v>
      </c>
      <c r="D137">
        <v>809</v>
      </c>
      <c r="E137">
        <v>18</v>
      </c>
      <c r="F137">
        <v>41.8</v>
      </c>
      <c r="G137" t="s">
        <v>451</v>
      </c>
      <c r="H137" s="3" t="s">
        <v>458</v>
      </c>
      <c r="I137" s="3" t="s">
        <v>458</v>
      </c>
      <c r="J137">
        <f t="shared" si="26"/>
        <v>1</v>
      </c>
      <c r="K137">
        <f t="shared" si="27"/>
        <v>1</v>
      </c>
      <c r="L137">
        <f t="shared" si="28"/>
        <v>1</v>
      </c>
      <c r="M137">
        <f t="shared" si="29"/>
        <v>0</v>
      </c>
      <c r="N137">
        <f t="shared" si="30"/>
        <v>0</v>
      </c>
      <c r="O137">
        <f t="shared" si="31"/>
        <v>1</v>
      </c>
      <c r="P137">
        <f t="shared" si="32"/>
        <v>0</v>
      </c>
      <c r="Q137">
        <f t="shared" si="33"/>
        <v>0</v>
      </c>
      <c r="R137">
        <v>0</v>
      </c>
      <c r="S137">
        <v>0</v>
      </c>
      <c r="T137">
        <v>1</v>
      </c>
      <c r="U137">
        <v>1</v>
      </c>
      <c r="V137">
        <v>0</v>
      </c>
      <c r="W137">
        <v>0</v>
      </c>
      <c r="X137">
        <v>0</v>
      </c>
      <c r="Y137">
        <v>0</v>
      </c>
      <c r="Z137">
        <v>1</v>
      </c>
      <c r="AA137">
        <v>0</v>
      </c>
      <c r="AB137">
        <v>0</v>
      </c>
      <c r="AC137">
        <v>1</v>
      </c>
      <c r="AD137">
        <v>0</v>
      </c>
      <c r="AE137">
        <v>0</v>
      </c>
      <c r="AF137">
        <v>0</v>
      </c>
      <c r="AG137">
        <v>0</v>
      </c>
      <c r="AH137">
        <v>0</v>
      </c>
      <c r="AI137">
        <v>1</v>
      </c>
      <c r="AJ137">
        <v>1</v>
      </c>
      <c r="AK137">
        <v>1</v>
      </c>
      <c r="AL137">
        <v>0</v>
      </c>
      <c r="AM137">
        <v>0</v>
      </c>
      <c r="AN137">
        <v>0</v>
      </c>
      <c r="AO137">
        <v>0</v>
      </c>
      <c r="AP137">
        <v>0</v>
      </c>
      <c r="AQ137">
        <v>0</v>
      </c>
      <c r="AR137">
        <v>0</v>
      </c>
      <c r="AS137">
        <f t="shared" si="34"/>
        <v>4</v>
      </c>
      <c r="AT137">
        <f t="shared" si="35"/>
        <v>7</v>
      </c>
      <c r="AU137" s="3" t="s">
        <v>459</v>
      </c>
      <c r="AV137">
        <f t="shared" si="36"/>
        <v>1</v>
      </c>
      <c r="AW137">
        <f t="shared" si="37"/>
        <v>0</v>
      </c>
      <c r="AX137">
        <f t="shared" si="38"/>
        <v>0</v>
      </c>
      <c r="AY137">
        <v>19.5</v>
      </c>
      <c r="AZ137" t="s">
        <v>60</v>
      </c>
      <c r="BA137" t="s">
        <v>61</v>
      </c>
      <c r="BB137" t="s">
        <v>7</v>
      </c>
    </row>
    <row r="138" ht="303" spans="1:54">
      <c r="A138" t="s">
        <v>460</v>
      </c>
      <c r="B138" t="s">
        <v>55</v>
      </c>
      <c r="C138" t="s">
        <v>56</v>
      </c>
      <c r="D138">
        <v>503</v>
      </c>
      <c r="E138">
        <v>8</v>
      </c>
      <c r="F138">
        <v>67.6</v>
      </c>
      <c r="G138" t="s">
        <v>451</v>
      </c>
      <c r="H138" s="3" t="s">
        <v>461</v>
      </c>
      <c r="I138" s="3" t="s">
        <v>461</v>
      </c>
      <c r="J138">
        <f t="shared" si="26"/>
        <v>1</v>
      </c>
      <c r="K138">
        <f t="shared" si="27"/>
        <v>1</v>
      </c>
      <c r="L138">
        <f t="shared" si="28"/>
        <v>0</v>
      </c>
      <c r="M138">
        <f t="shared" si="29"/>
        <v>0</v>
      </c>
      <c r="N138">
        <f t="shared" si="30"/>
        <v>0</v>
      </c>
      <c r="O138">
        <f t="shared" si="31"/>
        <v>1</v>
      </c>
      <c r="P138">
        <f t="shared" si="32"/>
        <v>0</v>
      </c>
      <c r="Q138">
        <f t="shared" si="33"/>
        <v>0</v>
      </c>
      <c r="R138">
        <v>1</v>
      </c>
      <c r="S138">
        <v>1</v>
      </c>
      <c r="T138">
        <v>0</v>
      </c>
      <c r="U138">
        <v>0</v>
      </c>
      <c r="V138">
        <v>1</v>
      </c>
      <c r="W138">
        <v>0</v>
      </c>
      <c r="X138">
        <v>0</v>
      </c>
      <c r="Y138">
        <v>0</v>
      </c>
      <c r="Z138">
        <v>0</v>
      </c>
      <c r="AA138">
        <v>0</v>
      </c>
      <c r="AB138">
        <v>0</v>
      </c>
      <c r="AC138">
        <v>0</v>
      </c>
      <c r="AD138">
        <v>0</v>
      </c>
      <c r="AE138">
        <v>0</v>
      </c>
      <c r="AF138">
        <v>0</v>
      </c>
      <c r="AG138">
        <v>0</v>
      </c>
      <c r="AH138">
        <v>0</v>
      </c>
      <c r="AI138">
        <v>1</v>
      </c>
      <c r="AJ138">
        <v>0</v>
      </c>
      <c r="AK138">
        <v>0</v>
      </c>
      <c r="AL138">
        <v>0</v>
      </c>
      <c r="AM138">
        <v>0</v>
      </c>
      <c r="AN138">
        <v>0</v>
      </c>
      <c r="AO138">
        <v>0</v>
      </c>
      <c r="AP138">
        <v>0</v>
      </c>
      <c r="AQ138">
        <v>0</v>
      </c>
      <c r="AR138">
        <v>0</v>
      </c>
      <c r="AS138">
        <f t="shared" si="34"/>
        <v>3</v>
      </c>
      <c r="AT138">
        <f t="shared" si="35"/>
        <v>4</v>
      </c>
      <c r="AU138" s="3" t="s">
        <v>462</v>
      </c>
      <c r="AV138">
        <f t="shared" si="36"/>
        <v>1</v>
      </c>
      <c r="AW138">
        <f t="shared" si="37"/>
        <v>0</v>
      </c>
      <c r="AX138">
        <f t="shared" si="38"/>
        <v>0</v>
      </c>
      <c r="AY138">
        <v>31</v>
      </c>
      <c r="AZ138" t="s">
        <v>60</v>
      </c>
      <c r="BA138" t="s">
        <v>61</v>
      </c>
      <c r="BB138" t="s">
        <v>7</v>
      </c>
    </row>
    <row r="139" ht="409.5" spans="1:54">
      <c r="A139" t="s">
        <v>463</v>
      </c>
      <c r="B139" t="s">
        <v>55</v>
      </c>
      <c r="C139" t="s">
        <v>56</v>
      </c>
      <c r="D139">
        <v>26</v>
      </c>
      <c r="E139">
        <v>3</v>
      </c>
      <c r="F139">
        <v>276.4</v>
      </c>
      <c r="G139" t="s">
        <v>464</v>
      </c>
      <c r="H139" s="3" t="s">
        <v>465</v>
      </c>
      <c r="I139" s="3" t="s">
        <v>465</v>
      </c>
      <c r="J139">
        <f t="shared" si="26"/>
        <v>1</v>
      </c>
      <c r="K139">
        <f t="shared" si="27"/>
        <v>1</v>
      </c>
      <c r="L139">
        <f t="shared" si="28"/>
        <v>1</v>
      </c>
      <c r="M139">
        <f t="shared" si="29"/>
        <v>0</v>
      </c>
      <c r="N139">
        <f t="shared" si="30"/>
        <v>0</v>
      </c>
      <c r="O139">
        <f t="shared" si="31"/>
        <v>1</v>
      </c>
      <c r="P139">
        <f t="shared" si="32"/>
        <v>0</v>
      </c>
      <c r="Q139">
        <f t="shared" si="33"/>
        <v>0</v>
      </c>
      <c r="R139">
        <v>0</v>
      </c>
      <c r="S139">
        <v>1</v>
      </c>
      <c r="T139">
        <v>0</v>
      </c>
      <c r="U139">
        <v>1</v>
      </c>
      <c r="V139">
        <v>1</v>
      </c>
      <c r="W139">
        <v>0</v>
      </c>
      <c r="X139">
        <v>0</v>
      </c>
      <c r="Y139">
        <v>0</v>
      </c>
      <c r="Z139">
        <v>0</v>
      </c>
      <c r="AA139">
        <v>0</v>
      </c>
      <c r="AB139">
        <v>0</v>
      </c>
      <c r="AC139">
        <v>1</v>
      </c>
      <c r="AD139">
        <v>0</v>
      </c>
      <c r="AE139">
        <v>0</v>
      </c>
      <c r="AF139">
        <v>0</v>
      </c>
      <c r="AG139">
        <v>0</v>
      </c>
      <c r="AH139">
        <v>0</v>
      </c>
      <c r="AI139">
        <v>1</v>
      </c>
      <c r="AJ139">
        <v>0</v>
      </c>
      <c r="AK139">
        <v>0</v>
      </c>
      <c r="AL139">
        <v>0</v>
      </c>
      <c r="AM139">
        <v>0</v>
      </c>
      <c r="AN139">
        <v>0</v>
      </c>
      <c r="AO139">
        <v>0</v>
      </c>
      <c r="AP139">
        <v>0</v>
      </c>
      <c r="AQ139">
        <v>0</v>
      </c>
      <c r="AR139">
        <v>0</v>
      </c>
      <c r="AS139">
        <f t="shared" si="34"/>
        <v>4</v>
      </c>
      <c r="AT139">
        <f t="shared" si="35"/>
        <v>5</v>
      </c>
      <c r="AU139" s="3" t="s">
        <v>466</v>
      </c>
      <c r="AV139">
        <f t="shared" si="36"/>
        <v>1</v>
      </c>
      <c r="AW139">
        <f t="shared" si="37"/>
        <v>0</v>
      </c>
      <c r="AX139">
        <f t="shared" si="38"/>
        <v>0</v>
      </c>
      <c r="AY139">
        <v>22.5</v>
      </c>
      <c r="AZ139" t="s">
        <v>60</v>
      </c>
      <c r="BA139" t="s">
        <v>61</v>
      </c>
      <c r="BB139" t="s">
        <v>7</v>
      </c>
    </row>
    <row r="140" ht="409.5" spans="1:54">
      <c r="A140" t="s">
        <v>467</v>
      </c>
      <c r="B140" t="s">
        <v>55</v>
      </c>
      <c r="C140" t="s">
        <v>116</v>
      </c>
      <c r="D140">
        <v>623</v>
      </c>
      <c r="E140">
        <v>59</v>
      </c>
      <c r="F140">
        <v>139.7</v>
      </c>
      <c r="G140" t="s">
        <v>468</v>
      </c>
      <c r="H140" s="3" t="s">
        <v>469</v>
      </c>
      <c r="I140" s="3" t="s">
        <v>469</v>
      </c>
      <c r="J140">
        <f t="shared" si="26"/>
        <v>1</v>
      </c>
      <c r="K140">
        <f t="shared" si="27"/>
        <v>1</v>
      </c>
      <c r="L140">
        <f t="shared" si="28"/>
        <v>1</v>
      </c>
      <c r="M140">
        <f t="shared" si="29"/>
        <v>1</v>
      </c>
      <c r="N140">
        <f t="shared" si="30"/>
        <v>1</v>
      </c>
      <c r="O140">
        <f t="shared" si="31"/>
        <v>1</v>
      </c>
      <c r="P140">
        <f t="shared" si="32"/>
        <v>1</v>
      </c>
      <c r="Q140">
        <f t="shared" si="33"/>
        <v>1</v>
      </c>
      <c r="R140">
        <v>1</v>
      </c>
      <c r="S140">
        <v>0</v>
      </c>
      <c r="T140">
        <v>1</v>
      </c>
      <c r="U140">
        <v>1</v>
      </c>
      <c r="V140">
        <v>1</v>
      </c>
      <c r="W140">
        <v>1</v>
      </c>
      <c r="X140">
        <v>1</v>
      </c>
      <c r="Y140">
        <v>1</v>
      </c>
      <c r="Z140">
        <v>1</v>
      </c>
      <c r="AA140">
        <v>1</v>
      </c>
      <c r="AB140">
        <v>1</v>
      </c>
      <c r="AC140">
        <v>1</v>
      </c>
      <c r="AD140">
        <v>1</v>
      </c>
      <c r="AE140">
        <v>0</v>
      </c>
      <c r="AF140">
        <v>1</v>
      </c>
      <c r="AG140">
        <v>0</v>
      </c>
      <c r="AH140">
        <v>1</v>
      </c>
      <c r="AI140">
        <v>1</v>
      </c>
      <c r="AJ140">
        <v>1</v>
      </c>
      <c r="AK140">
        <v>1</v>
      </c>
      <c r="AL140">
        <v>1</v>
      </c>
      <c r="AM140">
        <v>0</v>
      </c>
      <c r="AN140">
        <v>1</v>
      </c>
      <c r="AO140">
        <v>0</v>
      </c>
      <c r="AP140">
        <v>0</v>
      </c>
      <c r="AQ140">
        <v>1</v>
      </c>
      <c r="AR140">
        <v>1</v>
      </c>
      <c r="AS140">
        <f t="shared" si="34"/>
        <v>8</v>
      </c>
      <c r="AT140">
        <f t="shared" si="35"/>
        <v>21</v>
      </c>
      <c r="AU140" s="3" t="s">
        <v>470</v>
      </c>
      <c r="AV140">
        <f t="shared" si="36"/>
        <v>1</v>
      </c>
      <c r="AW140">
        <f t="shared" si="37"/>
        <v>0</v>
      </c>
      <c r="AX140">
        <f t="shared" si="38"/>
        <v>1</v>
      </c>
      <c r="AY140">
        <v>2.5</v>
      </c>
      <c r="AZ140" t="s">
        <v>60</v>
      </c>
      <c r="BA140" t="s">
        <v>61</v>
      </c>
      <c r="BB140" t="s">
        <v>7</v>
      </c>
    </row>
    <row r="141" ht="409.5" spans="1:54">
      <c r="A141" t="s">
        <v>471</v>
      </c>
      <c r="B141" t="s">
        <v>55</v>
      </c>
      <c r="C141" t="s">
        <v>116</v>
      </c>
      <c r="D141">
        <v>89</v>
      </c>
      <c r="E141">
        <v>0</v>
      </c>
      <c r="F141">
        <v>66</v>
      </c>
      <c r="G141" t="s">
        <v>468</v>
      </c>
      <c r="H141" s="3" t="s">
        <v>472</v>
      </c>
      <c r="I141" s="3" t="s">
        <v>472</v>
      </c>
      <c r="J141">
        <f t="shared" si="26"/>
        <v>1</v>
      </c>
      <c r="K141">
        <f t="shared" si="27"/>
        <v>1</v>
      </c>
      <c r="L141">
        <f t="shared" si="28"/>
        <v>1</v>
      </c>
      <c r="M141">
        <f t="shared" si="29"/>
        <v>1</v>
      </c>
      <c r="N141">
        <f t="shared" si="30"/>
        <v>1</v>
      </c>
      <c r="O141">
        <f t="shared" si="31"/>
        <v>1</v>
      </c>
      <c r="P141">
        <f t="shared" si="32"/>
        <v>0</v>
      </c>
      <c r="Q141">
        <f t="shared" si="33"/>
        <v>1</v>
      </c>
      <c r="R141">
        <v>1</v>
      </c>
      <c r="S141">
        <v>1</v>
      </c>
      <c r="T141">
        <v>1</v>
      </c>
      <c r="U141">
        <v>1</v>
      </c>
      <c r="V141">
        <v>1</v>
      </c>
      <c r="W141">
        <v>1</v>
      </c>
      <c r="X141">
        <v>1</v>
      </c>
      <c r="Y141">
        <v>1</v>
      </c>
      <c r="Z141">
        <v>1</v>
      </c>
      <c r="AA141">
        <v>1</v>
      </c>
      <c r="AB141">
        <v>1</v>
      </c>
      <c r="AC141">
        <v>0</v>
      </c>
      <c r="AD141">
        <v>1</v>
      </c>
      <c r="AE141">
        <v>0</v>
      </c>
      <c r="AF141">
        <v>0</v>
      </c>
      <c r="AG141">
        <v>1</v>
      </c>
      <c r="AH141">
        <v>1</v>
      </c>
      <c r="AI141">
        <v>1</v>
      </c>
      <c r="AJ141">
        <v>1</v>
      </c>
      <c r="AK141">
        <v>1</v>
      </c>
      <c r="AL141">
        <v>1</v>
      </c>
      <c r="AM141">
        <v>0</v>
      </c>
      <c r="AN141">
        <v>0</v>
      </c>
      <c r="AO141">
        <v>0</v>
      </c>
      <c r="AP141">
        <v>0</v>
      </c>
      <c r="AQ141">
        <v>0</v>
      </c>
      <c r="AR141">
        <v>1</v>
      </c>
      <c r="AS141">
        <f t="shared" si="34"/>
        <v>7</v>
      </c>
      <c r="AT141">
        <f t="shared" si="35"/>
        <v>19</v>
      </c>
      <c r="AU141" s="3" t="s">
        <v>473</v>
      </c>
      <c r="AV141">
        <f t="shared" si="36"/>
        <v>1</v>
      </c>
      <c r="AW141">
        <f t="shared" si="37"/>
        <v>0</v>
      </c>
      <c r="AX141">
        <f t="shared" si="38"/>
        <v>1</v>
      </c>
      <c r="AY141">
        <v>56.5</v>
      </c>
      <c r="AZ141" t="s">
        <v>60</v>
      </c>
      <c r="BA141" t="s">
        <v>61</v>
      </c>
      <c r="BB141" t="s">
        <v>7</v>
      </c>
    </row>
    <row r="142" ht="34" spans="1:54">
      <c r="A142" t="s">
        <v>474</v>
      </c>
      <c r="B142" t="s">
        <v>55</v>
      </c>
      <c r="C142" t="s">
        <v>56</v>
      </c>
      <c r="D142">
        <v>24</v>
      </c>
      <c r="E142">
        <v>0</v>
      </c>
      <c r="F142">
        <v>48.3</v>
      </c>
      <c r="G142" t="s">
        <v>468</v>
      </c>
      <c r="H142" s="3" t="s">
        <v>475</v>
      </c>
      <c r="I142" s="3" t="s">
        <v>475</v>
      </c>
      <c r="J142">
        <f t="shared" si="26"/>
        <v>0</v>
      </c>
      <c r="K142">
        <f t="shared" si="27"/>
        <v>0</v>
      </c>
      <c r="L142">
        <f t="shared" si="28"/>
        <v>0</v>
      </c>
      <c r="M142">
        <f t="shared" si="29"/>
        <v>0</v>
      </c>
      <c r="N142">
        <f t="shared" si="30"/>
        <v>1</v>
      </c>
      <c r="O142">
        <f t="shared" si="31"/>
        <v>0</v>
      </c>
      <c r="P142">
        <f t="shared" si="32"/>
        <v>0</v>
      </c>
      <c r="Q142">
        <f t="shared" si="33"/>
        <v>0</v>
      </c>
      <c r="R142">
        <v>0</v>
      </c>
      <c r="S142">
        <v>0</v>
      </c>
      <c r="T142">
        <v>0</v>
      </c>
      <c r="U142">
        <v>0</v>
      </c>
      <c r="V142">
        <v>0</v>
      </c>
      <c r="W142">
        <v>0</v>
      </c>
      <c r="X142">
        <v>0</v>
      </c>
      <c r="Y142">
        <v>0</v>
      </c>
      <c r="Z142">
        <v>0</v>
      </c>
      <c r="AA142">
        <v>0</v>
      </c>
      <c r="AB142">
        <v>0</v>
      </c>
      <c r="AC142">
        <v>0</v>
      </c>
      <c r="AD142">
        <v>0</v>
      </c>
      <c r="AE142">
        <v>0</v>
      </c>
      <c r="AF142">
        <v>0</v>
      </c>
      <c r="AG142">
        <v>0</v>
      </c>
      <c r="AH142">
        <v>1</v>
      </c>
      <c r="AI142">
        <v>0</v>
      </c>
      <c r="AJ142">
        <v>0</v>
      </c>
      <c r="AK142">
        <v>0</v>
      </c>
      <c r="AL142">
        <v>0</v>
      </c>
      <c r="AM142">
        <v>0</v>
      </c>
      <c r="AN142">
        <v>0</v>
      </c>
      <c r="AO142">
        <v>0</v>
      </c>
      <c r="AP142">
        <v>0</v>
      </c>
      <c r="AQ142">
        <v>0</v>
      </c>
      <c r="AR142">
        <v>0</v>
      </c>
      <c r="AS142">
        <f t="shared" si="34"/>
        <v>1</v>
      </c>
      <c r="AT142">
        <f t="shared" si="35"/>
        <v>1</v>
      </c>
      <c r="AU142" s="3" t="s">
        <v>129</v>
      </c>
      <c r="AV142">
        <f t="shared" si="36"/>
        <v>1</v>
      </c>
      <c r="AW142">
        <f t="shared" si="37"/>
        <v>0</v>
      </c>
      <c r="AX142">
        <f t="shared" si="38"/>
        <v>0</v>
      </c>
      <c r="AY142">
        <v>2</v>
      </c>
      <c r="AZ142" t="s">
        <v>60</v>
      </c>
      <c r="BA142" t="s">
        <v>61</v>
      </c>
      <c r="BB142" t="s">
        <v>7</v>
      </c>
    </row>
    <row r="143" ht="303" spans="1:54">
      <c r="A143" t="s">
        <v>476</v>
      </c>
      <c r="B143" t="s">
        <v>55</v>
      </c>
      <c r="C143" t="s">
        <v>56</v>
      </c>
      <c r="D143">
        <v>1510</v>
      </c>
      <c r="E143">
        <v>44</v>
      </c>
      <c r="F143">
        <v>97.9</v>
      </c>
      <c r="G143" t="s">
        <v>477</v>
      </c>
      <c r="H143" s="3" t="s">
        <v>478</v>
      </c>
      <c r="I143" s="3" t="s">
        <v>478</v>
      </c>
      <c r="J143">
        <f t="shared" si="26"/>
        <v>1</v>
      </c>
      <c r="K143">
        <f t="shared" si="27"/>
        <v>1</v>
      </c>
      <c r="L143">
        <f t="shared" si="28"/>
        <v>1</v>
      </c>
      <c r="M143">
        <f t="shared" si="29"/>
        <v>1</v>
      </c>
      <c r="N143">
        <f t="shared" si="30"/>
        <v>1</v>
      </c>
      <c r="O143">
        <f t="shared" si="31"/>
        <v>1</v>
      </c>
      <c r="P143">
        <f t="shared" si="32"/>
        <v>0</v>
      </c>
      <c r="Q143">
        <f t="shared" si="33"/>
        <v>0</v>
      </c>
      <c r="R143">
        <v>1</v>
      </c>
      <c r="S143">
        <v>0</v>
      </c>
      <c r="T143">
        <v>0</v>
      </c>
      <c r="U143">
        <v>0</v>
      </c>
      <c r="V143">
        <v>1</v>
      </c>
      <c r="W143">
        <v>0</v>
      </c>
      <c r="X143">
        <v>1</v>
      </c>
      <c r="Y143">
        <v>0</v>
      </c>
      <c r="Z143">
        <v>1</v>
      </c>
      <c r="AA143">
        <v>0</v>
      </c>
      <c r="AB143">
        <v>0</v>
      </c>
      <c r="AC143">
        <v>0</v>
      </c>
      <c r="AD143">
        <v>1</v>
      </c>
      <c r="AE143">
        <v>1</v>
      </c>
      <c r="AF143">
        <v>1</v>
      </c>
      <c r="AG143">
        <v>1</v>
      </c>
      <c r="AH143">
        <v>0</v>
      </c>
      <c r="AI143">
        <v>0</v>
      </c>
      <c r="AJ143">
        <v>0</v>
      </c>
      <c r="AK143">
        <v>1</v>
      </c>
      <c r="AL143">
        <v>0</v>
      </c>
      <c r="AM143">
        <v>0</v>
      </c>
      <c r="AN143">
        <v>0</v>
      </c>
      <c r="AO143">
        <v>0</v>
      </c>
      <c r="AP143">
        <v>0</v>
      </c>
      <c r="AQ143">
        <v>0</v>
      </c>
      <c r="AR143">
        <v>0</v>
      </c>
      <c r="AS143">
        <f t="shared" si="34"/>
        <v>6</v>
      </c>
      <c r="AT143">
        <f t="shared" si="35"/>
        <v>9</v>
      </c>
      <c r="AU143" s="3" t="s">
        <v>479</v>
      </c>
      <c r="AV143">
        <f t="shared" si="36"/>
        <v>1</v>
      </c>
      <c r="AW143">
        <f t="shared" si="37"/>
        <v>0</v>
      </c>
      <c r="AX143">
        <f t="shared" si="38"/>
        <v>1</v>
      </c>
      <c r="AY143">
        <v>28.5</v>
      </c>
      <c r="AZ143" t="s">
        <v>60</v>
      </c>
      <c r="BA143" t="s">
        <v>61</v>
      </c>
      <c r="BB143" t="s">
        <v>7</v>
      </c>
    </row>
    <row r="144" ht="51" spans="1:54">
      <c r="A144" t="s">
        <v>480</v>
      </c>
      <c r="B144" t="s">
        <v>55</v>
      </c>
      <c r="C144" t="s">
        <v>56</v>
      </c>
      <c r="D144">
        <v>292</v>
      </c>
      <c r="E144">
        <v>11</v>
      </c>
      <c r="F144">
        <v>221.6</v>
      </c>
      <c r="G144" t="s">
        <v>477</v>
      </c>
      <c r="H144" s="3" t="s">
        <v>481</v>
      </c>
      <c r="I144" s="3" t="s">
        <v>481</v>
      </c>
      <c r="J144">
        <f t="shared" si="26"/>
        <v>1</v>
      </c>
      <c r="K144">
        <f t="shared" si="27"/>
        <v>0</v>
      </c>
      <c r="L144">
        <f t="shared" si="28"/>
        <v>1</v>
      </c>
      <c r="M144">
        <f t="shared" si="29"/>
        <v>0</v>
      </c>
      <c r="N144">
        <f t="shared" si="30"/>
        <v>1</v>
      </c>
      <c r="O144">
        <f t="shared" si="31"/>
        <v>0</v>
      </c>
      <c r="P144">
        <f t="shared" si="32"/>
        <v>1</v>
      </c>
      <c r="Q144">
        <f t="shared" si="33"/>
        <v>0</v>
      </c>
      <c r="R144">
        <v>1</v>
      </c>
      <c r="S144">
        <v>1</v>
      </c>
      <c r="T144">
        <v>0</v>
      </c>
      <c r="U144">
        <v>0</v>
      </c>
      <c r="V144">
        <v>0</v>
      </c>
      <c r="W144">
        <v>0</v>
      </c>
      <c r="X144">
        <v>0</v>
      </c>
      <c r="Y144">
        <v>0</v>
      </c>
      <c r="Z144">
        <v>0</v>
      </c>
      <c r="AA144">
        <v>0</v>
      </c>
      <c r="AB144">
        <v>1</v>
      </c>
      <c r="AC144">
        <v>0</v>
      </c>
      <c r="AD144">
        <v>0</v>
      </c>
      <c r="AE144">
        <v>0</v>
      </c>
      <c r="AF144">
        <v>0</v>
      </c>
      <c r="AG144">
        <v>0</v>
      </c>
      <c r="AH144">
        <v>1</v>
      </c>
      <c r="AI144">
        <v>0</v>
      </c>
      <c r="AJ144">
        <v>0</v>
      </c>
      <c r="AK144">
        <v>0</v>
      </c>
      <c r="AL144">
        <v>0</v>
      </c>
      <c r="AM144">
        <v>0</v>
      </c>
      <c r="AN144">
        <v>1</v>
      </c>
      <c r="AO144">
        <v>0</v>
      </c>
      <c r="AP144">
        <v>0</v>
      </c>
      <c r="AQ144">
        <v>0</v>
      </c>
      <c r="AR144">
        <v>0</v>
      </c>
      <c r="AS144">
        <f t="shared" si="34"/>
        <v>4</v>
      </c>
      <c r="AT144">
        <f t="shared" si="35"/>
        <v>5</v>
      </c>
      <c r="AU144" s="3" t="s">
        <v>482</v>
      </c>
      <c r="AV144">
        <f t="shared" si="36"/>
        <v>1</v>
      </c>
      <c r="AW144">
        <f t="shared" si="37"/>
        <v>0</v>
      </c>
      <c r="AX144">
        <f t="shared" si="38"/>
        <v>0</v>
      </c>
      <c r="AY144">
        <v>4</v>
      </c>
      <c r="AZ144" t="s">
        <v>60</v>
      </c>
      <c r="BA144" t="s">
        <v>61</v>
      </c>
      <c r="BB144" t="s">
        <v>7</v>
      </c>
    </row>
    <row r="145" ht="387" spans="1:54">
      <c r="A145" t="s">
        <v>483</v>
      </c>
      <c r="B145" t="s">
        <v>55</v>
      </c>
      <c r="C145" t="s">
        <v>116</v>
      </c>
      <c r="D145">
        <v>59</v>
      </c>
      <c r="E145">
        <v>4</v>
      </c>
      <c r="F145">
        <v>102.6</v>
      </c>
      <c r="G145" t="s">
        <v>477</v>
      </c>
      <c r="H145" s="3" t="s">
        <v>484</v>
      </c>
      <c r="I145" s="3" t="s">
        <v>484</v>
      </c>
      <c r="J145">
        <f t="shared" si="26"/>
        <v>0</v>
      </c>
      <c r="K145">
        <f t="shared" si="27"/>
        <v>0</v>
      </c>
      <c r="L145">
        <f t="shared" si="28"/>
        <v>1</v>
      </c>
      <c r="M145">
        <f t="shared" si="29"/>
        <v>0</v>
      </c>
      <c r="N145">
        <f t="shared" si="30"/>
        <v>1</v>
      </c>
      <c r="O145">
        <f t="shared" si="31"/>
        <v>1</v>
      </c>
      <c r="P145">
        <f t="shared" si="32"/>
        <v>1</v>
      </c>
      <c r="Q145">
        <f t="shared" si="33"/>
        <v>0</v>
      </c>
      <c r="R145">
        <v>0</v>
      </c>
      <c r="S145">
        <v>0</v>
      </c>
      <c r="T145">
        <v>0</v>
      </c>
      <c r="U145">
        <v>0</v>
      </c>
      <c r="V145">
        <v>0</v>
      </c>
      <c r="W145">
        <v>0</v>
      </c>
      <c r="X145">
        <v>0</v>
      </c>
      <c r="Y145">
        <v>0</v>
      </c>
      <c r="Z145">
        <v>0</v>
      </c>
      <c r="AA145">
        <v>0</v>
      </c>
      <c r="AB145">
        <v>1</v>
      </c>
      <c r="AC145">
        <v>0</v>
      </c>
      <c r="AD145">
        <v>0</v>
      </c>
      <c r="AE145">
        <v>0</v>
      </c>
      <c r="AF145">
        <v>0</v>
      </c>
      <c r="AG145">
        <v>0</v>
      </c>
      <c r="AH145">
        <v>1</v>
      </c>
      <c r="AI145">
        <v>1</v>
      </c>
      <c r="AJ145">
        <v>0</v>
      </c>
      <c r="AK145">
        <v>0</v>
      </c>
      <c r="AL145">
        <v>1</v>
      </c>
      <c r="AM145">
        <v>0</v>
      </c>
      <c r="AN145">
        <v>1</v>
      </c>
      <c r="AO145">
        <v>0</v>
      </c>
      <c r="AP145">
        <v>0</v>
      </c>
      <c r="AQ145">
        <v>1</v>
      </c>
      <c r="AR145">
        <v>0</v>
      </c>
      <c r="AS145">
        <f t="shared" si="34"/>
        <v>4</v>
      </c>
      <c r="AT145">
        <f t="shared" si="35"/>
        <v>6</v>
      </c>
      <c r="AU145" s="3" t="s">
        <v>485</v>
      </c>
      <c r="AV145">
        <f t="shared" si="36"/>
        <v>1</v>
      </c>
      <c r="AW145">
        <f t="shared" si="37"/>
        <v>0</v>
      </c>
      <c r="AX145">
        <f t="shared" si="38"/>
        <v>0</v>
      </c>
      <c r="AY145">
        <v>6.5</v>
      </c>
      <c r="AZ145" t="s">
        <v>60</v>
      </c>
      <c r="BA145" t="s">
        <v>61</v>
      </c>
      <c r="BB145" t="s">
        <v>7</v>
      </c>
    </row>
    <row r="146" ht="84" spans="1:54">
      <c r="A146" t="s">
        <v>486</v>
      </c>
      <c r="B146" t="s">
        <v>55</v>
      </c>
      <c r="C146" t="s">
        <v>56</v>
      </c>
      <c r="D146">
        <v>24</v>
      </c>
      <c r="E146">
        <v>1</v>
      </c>
      <c r="F146">
        <v>96</v>
      </c>
      <c r="G146" t="s">
        <v>487</v>
      </c>
      <c r="H146" s="3" t="s">
        <v>488</v>
      </c>
      <c r="I146" s="3" t="s">
        <v>488</v>
      </c>
      <c r="J146">
        <f t="shared" si="26"/>
        <v>0</v>
      </c>
      <c r="K146">
        <f t="shared" si="27"/>
        <v>1</v>
      </c>
      <c r="L146">
        <f t="shared" si="28"/>
        <v>0</v>
      </c>
      <c r="M146">
        <f t="shared" si="29"/>
        <v>0</v>
      </c>
      <c r="N146">
        <f t="shared" si="30"/>
        <v>1</v>
      </c>
      <c r="O146">
        <f t="shared" si="31"/>
        <v>0</v>
      </c>
      <c r="P146">
        <f t="shared" si="32"/>
        <v>0</v>
      </c>
      <c r="Q146">
        <f t="shared" si="33"/>
        <v>0</v>
      </c>
      <c r="R146">
        <v>0</v>
      </c>
      <c r="S146">
        <v>0</v>
      </c>
      <c r="T146">
        <v>0</v>
      </c>
      <c r="U146">
        <v>1</v>
      </c>
      <c r="V146">
        <v>1</v>
      </c>
      <c r="W146">
        <v>0</v>
      </c>
      <c r="X146">
        <v>0</v>
      </c>
      <c r="Y146">
        <v>0</v>
      </c>
      <c r="Z146">
        <v>0</v>
      </c>
      <c r="AA146">
        <v>0</v>
      </c>
      <c r="AB146">
        <v>0</v>
      </c>
      <c r="AC146">
        <v>0</v>
      </c>
      <c r="AD146">
        <v>0</v>
      </c>
      <c r="AE146">
        <v>0</v>
      </c>
      <c r="AF146">
        <v>0</v>
      </c>
      <c r="AG146">
        <v>0</v>
      </c>
      <c r="AH146">
        <v>1</v>
      </c>
      <c r="AI146">
        <v>0</v>
      </c>
      <c r="AJ146">
        <v>0</v>
      </c>
      <c r="AK146">
        <v>0</v>
      </c>
      <c r="AL146">
        <v>0</v>
      </c>
      <c r="AM146">
        <v>0</v>
      </c>
      <c r="AN146">
        <v>0</v>
      </c>
      <c r="AO146">
        <v>0</v>
      </c>
      <c r="AP146">
        <v>0</v>
      </c>
      <c r="AQ146">
        <v>0</v>
      </c>
      <c r="AR146">
        <v>0</v>
      </c>
      <c r="AS146">
        <f t="shared" si="34"/>
        <v>2</v>
      </c>
      <c r="AT146">
        <f t="shared" si="35"/>
        <v>3</v>
      </c>
      <c r="AU146" s="3" t="s">
        <v>489</v>
      </c>
      <c r="AV146">
        <f t="shared" si="36"/>
        <v>1</v>
      </c>
      <c r="AW146">
        <f t="shared" si="37"/>
        <v>0</v>
      </c>
      <c r="AX146">
        <f t="shared" si="38"/>
        <v>0</v>
      </c>
      <c r="AY146">
        <v>12.5</v>
      </c>
      <c r="AZ146" t="s">
        <v>60</v>
      </c>
      <c r="BA146" t="s">
        <v>61</v>
      </c>
      <c r="BB146" t="s">
        <v>7</v>
      </c>
    </row>
    <row r="147" ht="409.5" spans="1:54">
      <c r="A147" t="s">
        <v>490</v>
      </c>
      <c r="B147" t="s">
        <v>55</v>
      </c>
      <c r="C147" t="s">
        <v>56</v>
      </c>
      <c r="D147">
        <v>177</v>
      </c>
      <c r="E147">
        <v>7</v>
      </c>
      <c r="F147">
        <v>46.5</v>
      </c>
      <c r="G147" t="s">
        <v>491</v>
      </c>
      <c r="H147" s="3" t="s">
        <v>492</v>
      </c>
      <c r="I147" s="3" t="s">
        <v>492</v>
      </c>
      <c r="J147">
        <f t="shared" si="26"/>
        <v>0</v>
      </c>
      <c r="K147">
        <f t="shared" si="27"/>
        <v>1</v>
      </c>
      <c r="L147">
        <f t="shared" si="28"/>
        <v>1</v>
      </c>
      <c r="M147">
        <f t="shared" si="29"/>
        <v>1</v>
      </c>
      <c r="N147">
        <f t="shared" si="30"/>
        <v>1</v>
      </c>
      <c r="O147">
        <f t="shared" si="31"/>
        <v>1</v>
      </c>
      <c r="P147">
        <f t="shared" si="32"/>
        <v>1</v>
      </c>
      <c r="Q147">
        <f t="shared" si="33"/>
        <v>0</v>
      </c>
      <c r="R147">
        <v>0</v>
      </c>
      <c r="S147">
        <v>0</v>
      </c>
      <c r="T147">
        <v>0</v>
      </c>
      <c r="U147">
        <v>1</v>
      </c>
      <c r="V147">
        <v>1</v>
      </c>
      <c r="W147">
        <v>1</v>
      </c>
      <c r="X147">
        <v>0</v>
      </c>
      <c r="Y147">
        <v>0</v>
      </c>
      <c r="Z147">
        <v>1</v>
      </c>
      <c r="AA147">
        <v>0</v>
      </c>
      <c r="AB147">
        <v>1</v>
      </c>
      <c r="AC147">
        <v>0</v>
      </c>
      <c r="AD147">
        <v>1</v>
      </c>
      <c r="AE147">
        <v>0</v>
      </c>
      <c r="AF147">
        <v>0</v>
      </c>
      <c r="AG147">
        <v>1</v>
      </c>
      <c r="AH147">
        <v>1</v>
      </c>
      <c r="AI147">
        <v>1</v>
      </c>
      <c r="AJ147">
        <v>0</v>
      </c>
      <c r="AK147">
        <v>0</v>
      </c>
      <c r="AL147">
        <v>0</v>
      </c>
      <c r="AM147">
        <v>0</v>
      </c>
      <c r="AN147">
        <v>0</v>
      </c>
      <c r="AO147">
        <v>0</v>
      </c>
      <c r="AP147">
        <v>0</v>
      </c>
      <c r="AQ147">
        <v>1</v>
      </c>
      <c r="AR147">
        <v>0</v>
      </c>
      <c r="AS147">
        <f t="shared" si="34"/>
        <v>6</v>
      </c>
      <c r="AT147">
        <f t="shared" si="35"/>
        <v>10</v>
      </c>
      <c r="AU147" s="3" t="s">
        <v>493</v>
      </c>
      <c r="AV147">
        <f t="shared" si="36"/>
        <v>1</v>
      </c>
      <c r="AW147">
        <f t="shared" si="37"/>
        <v>0</v>
      </c>
      <c r="AX147">
        <f t="shared" si="38"/>
        <v>1</v>
      </c>
      <c r="AY147">
        <v>40</v>
      </c>
      <c r="AZ147" t="s">
        <v>60</v>
      </c>
      <c r="BA147" t="s">
        <v>61</v>
      </c>
      <c r="BB147" t="s">
        <v>7</v>
      </c>
    </row>
    <row r="148" ht="409.5" spans="1:54">
      <c r="A148" t="s">
        <v>494</v>
      </c>
      <c r="B148" t="s">
        <v>55</v>
      </c>
      <c r="C148" t="s">
        <v>56</v>
      </c>
      <c r="D148">
        <v>1650</v>
      </c>
      <c r="E148">
        <v>59</v>
      </c>
      <c r="F148">
        <v>97.8</v>
      </c>
      <c r="G148" t="s">
        <v>495</v>
      </c>
      <c r="H148" s="3" t="s">
        <v>496</v>
      </c>
      <c r="I148" s="3" t="s">
        <v>496</v>
      </c>
      <c r="J148">
        <f t="shared" si="26"/>
        <v>1</v>
      </c>
      <c r="K148">
        <f t="shared" si="27"/>
        <v>1</v>
      </c>
      <c r="L148">
        <f t="shared" si="28"/>
        <v>1</v>
      </c>
      <c r="M148">
        <f t="shared" si="29"/>
        <v>1</v>
      </c>
      <c r="N148">
        <f t="shared" si="30"/>
        <v>1</v>
      </c>
      <c r="O148">
        <f t="shared" si="31"/>
        <v>1</v>
      </c>
      <c r="P148">
        <f t="shared" si="32"/>
        <v>1</v>
      </c>
      <c r="Q148">
        <f t="shared" si="33"/>
        <v>1</v>
      </c>
      <c r="R148">
        <v>1</v>
      </c>
      <c r="S148">
        <v>1</v>
      </c>
      <c r="T148">
        <v>1</v>
      </c>
      <c r="U148">
        <v>1</v>
      </c>
      <c r="V148">
        <v>1</v>
      </c>
      <c r="W148">
        <v>1</v>
      </c>
      <c r="X148">
        <v>1</v>
      </c>
      <c r="Y148">
        <v>1</v>
      </c>
      <c r="Z148">
        <v>1</v>
      </c>
      <c r="AA148">
        <v>1</v>
      </c>
      <c r="AB148">
        <v>1</v>
      </c>
      <c r="AC148">
        <v>1</v>
      </c>
      <c r="AD148">
        <v>1</v>
      </c>
      <c r="AE148">
        <v>1</v>
      </c>
      <c r="AF148">
        <v>1</v>
      </c>
      <c r="AG148">
        <v>1</v>
      </c>
      <c r="AH148">
        <v>1</v>
      </c>
      <c r="AI148">
        <v>1</v>
      </c>
      <c r="AJ148">
        <v>0</v>
      </c>
      <c r="AK148">
        <v>0</v>
      </c>
      <c r="AL148">
        <v>1</v>
      </c>
      <c r="AM148">
        <v>0</v>
      </c>
      <c r="AN148">
        <v>1</v>
      </c>
      <c r="AO148">
        <v>0</v>
      </c>
      <c r="AP148">
        <v>1</v>
      </c>
      <c r="AQ148">
        <v>1</v>
      </c>
      <c r="AR148">
        <v>1</v>
      </c>
      <c r="AS148">
        <f t="shared" si="34"/>
        <v>8</v>
      </c>
      <c r="AT148">
        <f t="shared" si="35"/>
        <v>23</v>
      </c>
      <c r="AU148" s="3" t="s">
        <v>497</v>
      </c>
      <c r="AV148">
        <f t="shared" si="36"/>
        <v>1</v>
      </c>
      <c r="AW148">
        <f t="shared" si="37"/>
        <v>0</v>
      </c>
      <c r="AX148">
        <f t="shared" si="38"/>
        <v>1</v>
      </c>
      <c r="AY148">
        <v>46</v>
      </c>
      <c r="AZ148" t="s">
        <v>60</v>
      </c>
      <c r="BA148" t="s">
        <v>61</v>
      </c>
      <c r="BB148" t="s">
        <v>7</v>
      </c>
    </row>
    <row r="149" ht="68" spans="1:54">
      <c r="A149" t="s">
        <v>498</v>
      </c>
      <c r="B149" t="s">
        <v>55</v>
      </c>
      <c r="C149" t="s">
        <v>56</v>
      </c>
      <c r="D149">
        <v>37</v>
      </c>
      <c r="E149">
        <v>0</v>
      </c>
      <c r="F149">
        <v>81.3</v>
      </c>
      <c r="G149" t="s">
        <v>495</v>
      </c>
      <c r="H149" s="3" t="s">
        <v>499</v>
      </c>
      <c r="I149" s="3" t="s">
        <v>499</v>
      </c>
      <c r="J149">
        <f t="shared" si="26"/>
        <v>0</v>
      </c>
      <c r="K149">
        <f t="shared" si="27"/>
        <v>0</v>
      </c>
      <c r="L149">
        <f t="shared" si="28"/>
        <v>0</v>
      </c>
      <c r="M149">
        <f t="shared" si="29"/>
        <v>0</v>
      </c>
      <c r="N149">
        <f t="shared" si="30"/>
        <v>1</v>
      </c>
      <c r="O149">
        <f t="shared" si="31"/>
        <v>0</v>
      </c>
      <c r="P149">
        <f t="shared" si="32"/>
        <v>0</v>
      </c>
      <c r="Q149">
        <f t="shared" si="33"/>
        <v>0</v>
      </c>
      <c r="R149">
        <v>0</v>
      </c>
      <c r="S149">
        <v>0</v>
      </c>
      <c r="T149">
        <v>0</v>
      </c>
      <c r="U149">
        <v>0</v>
      </c>
      <c r="V149">
        <v>0</v>
      </c>
      <c r="W149">
        <v>0</v>
      </c>
      <c r="X149">
        <v>0</v>
      </c>
      <c r="Y149">
        <v>0</v>
      </c>
      <c r="Z149">
        <v>0</v>
      </c>
      <c r="AA149">
        <v>0</v>
      </c>
      <c r="AB149">
        <v>0</v>
      </c>
      <c r="AC149">
        <v>0</v>
      </c>
      <c r="AD149">
        <v>0</v>
      </c>
      <c r="AE149">
        <v>0</v>
      </c>
      <c r="AF149">
        <v>0</v>
      </c>
      <c r="AG149">
        <v>0</v>
      </c>
      <c r="AH149">
        <v>1</v>
      </c>
      <c r="AI149">
        <v>0</v>
      </c>
      <c r="AJ149">
        <v>0</v>
      </c>
      <c r="AK149">
        <v>0</v>
      </c>
      <c r="AL149">
        <v>0</v>
      </c>
      <c r="AM149">
        <v>0</v>
      </c>
      <c r="AN149">
        <v>0</v>
      </c>
      <c r="AO149">
        <v>0</v>
      </c>
      <c r="AP149">
        <v>0</v>
      </c>
      <c r="AQ149">
        <v>0</v>
      </c>
      <c r="AR149">
        <v>0</v>
      </c>
      <c r="AS149">
        <f t="shared" si="34"/>
        <v>1</v>
      </c>
      <c r="AT149">
        <f t="shared" si="35"/>
        <v>1</v>
      </c>
      <c r="AU149" s="3" t="s">
        <v>129</v>
      </c>
      <c r="AV149">
        <f t="shared" si="36"/>
        <v>1</v>
      </c>
      <c r="AW149">
        <f t="shared" si="37"/>
        <v>0</v>
      </c>
      <c r="AX149">
        <f t="shared" si="38"/>
        <v>0</v>
      </c>
      <c r="AY149">
        <v>10</v>
      </c>
      <c r="AZ149" t="s">
        <v>60</v>
      </c>
      <c r="BA149" t="s">
        <v>61</v>
      </c>
      <c r="BB149" t="s">
        <v>7</v>
      </c>
    </row>
    <row r="150" ht="68" spans="1:54">
      <c r="A150" t="s">
        <v>500</v>
      </c>
      <c r="B150" t="s">
        <v>55</v>
      </c>
      <c r="C150" t="s">
        <v>56</v>
      </c>
      <c r="D150">
        <v>218</v>
      </c>
      <c r="E150">
        <v>4</v>
      </c>
      <c r="F150">
        <v>124.6</v>
      </c>
      <c r="G150" t="s">
        <v>219</v>
      </c>
      <c r="H150" s="3" t="s">
        <v>501</v>
      </c>
      <c r="I150" s="3" t="s">
        <v>501</v>
      </c>
      <c r="J150">
        <f t="shared" si="26"/>
        <v>1</v>
      </c>
      <c r="K150">
        <f t="shared" si="27"/>
        <v>0</v>
      </c>
      <c r="L150">
        <f t="shared" si="28"/>
        <v>1</v>
      </c>
      <c r="M150">
        <f t="shared" si="29"/>
        <v>0</v>
      </c>
      <c r="N150">
        <f t="shared" si="30"/>
        <v>0</v>
      </c>
      <c r="O150">
        <f t="shared" si="31"/>
        <v>0</v>
      </c>
      <c r="P150">
        <f t="shared" si="32"/>
        <v>0</v>
      </c>
      <c r="Q150">
        <f t="shared" si="33"/>
        <v>0</v>
      </c>
      <c r="R150">
        <v>1</v>
      </c>
      <c r="S150">
        <v>0</v>
      </c>
      <c r="T150">
        <v>0</v>
      </c>
      <c r="U150">
        <v>0</v>
      </c>
      <c r="V150">
        <v>0</v>
      </c>
      <c r="W150">
        <v>0</v>
      </c>
      <c r="X150">
        <v>0</v>
      </c>
      <c r="Y150">
        <v>0</v>
      </c>
      <c r="Z150">
        <v>1</v>
      </c>
      <c r="AA150">
        <v>0</v>
      </c>
      <c r="AB150">
        <v>1</v>
      </c>
      <c r="AC150">
        <v>1</v>
      </c>
      <c r="AD150">
        <v>0</v>
      </c>
      <c r="AE150">
        <v>0</v>
      </c>
      <c r="AF150">
        <v>0</v>
      </c>
      <c r="AG150">
        <v>0</v>
      </c>
      <c r="AH150">
        <v>0</v>
      </c>
      <c r="AI150">
        <v>0</v>
      </c>
      <c r="AJ150">
        <v>0</v>
      </c>
      <c r="AK150">
        <v>0</v>
      </c>
      <c r="AL150">
        <v>0</v>
      </c>
      <c r="AM150">
        <v>0</v>
      </c>
      <c r="AN150">
        <v>0</v>
      </c>
      <c r="AO150">
        <v>0</v>
      </c>
      <c r="AP150">
        <v>0</v>
      </c>
      <c r="AQ150">
        <v>0</v>
      </c>
      <c r="AR150">
        <v>0</v>
      </c>
      <c r="AS150">
        <f t="shared" si="34"/>
        <v>2</v>
      </c>
      <c r="AT150">
        <f t="shared" si="35"/>
        <v>4</v>
      </c>
      <c r="AU150" s="3" t="s">
        <v>502</v>
      </c>
      <c r="AV150">
        <f t="shared" si="36"/>
        <v>1</v>
      </c>
      <c r="AW150">
        <f t="shared" si="37"/>
        <v>0</v>
      </c>
      <c r="AX150">
        <f t="shared" si="38"/>
        <v>0</v>
      </c>
      <c r="AY150">
        <v>7.5</v>
      </c>
      <c r="AZ150" t="s">
        <v>60</v>
      </c>
      <c r="BA150" t="s">
        <v>61</v>
      </c>
      <c r="BB150" t="s">
        <v>7</v>
      </c>
    </row>
    <row r="151" ht="409.5" spans="1:54">
      <c r="A151" t="s">
        <v>503</v>
      </c>
      <c r="B151" t="s">
        <v>55</v>
      </c>
      <c r="C151" t="s">
        <v>56</v>
      </c>
      <c r="D151">
        <v>2085</v>
      </c>
      <c r="E151">
        <v>53</v>
      </c>
      <c r="F151">
        <v>81.1</v>
      </c>
      <c r="G151" t="s">
        <v>504</v>
      </c>
      <c r="H151" s="3" t="s">
        <v>505</v>
      </c>
      <c r="I151" s="3" t="s">
        <v>505</v>
      </c>
      <c r="J151">
        <f t="shared" si="26"/>
        <v>1</v>
      </c>
      <c r="K151">
        <f t="shared" si="27"/>
        <v>1</v>
      </c>
      <c r="L151">
        <f t="shared" si="28"/>
        <v>1</v>
      </c>
      <c r="M151">
        <f t="shared" si="29"/>
        <v>1</v>
      </c>
      <c r="N151">
        <f t="shared" si="30"/>
        <v>1</v>
      </c>
      <c r="O151">
        <f t="shared" si="31"/>
        <v>1</v>
      </c>
      <c r="P151">
        <f t="shared" si="32"/>
        <v>1</v>
      </c>
      <c r="Q151">
        <f t="shared" si="33"/>
        <v>1</v>
      </c>
      <c r="R151">
        <v>1</v>
      </c>
      <c r="S151">
        <v>1</v>
      </c>
      <c r="T151">
        <v>1</v>
      </c>
      <c r="U151">
        <v>1</v>
      </c>
      <c r="V151">
        <v>1</v>
      </c>
      <c r="W151">
        <v>1</v>
      </c>
      <c r="X151">
        <v>1</v>
      </c>
      <c r="Y151">
        <v>1</v>
      </c>
      <c r="Z151">
        <v>1</v>
      </c>
      <c r="AA151">
        <v>1</v>
      </c>
      <c r="AB151">
        <v>1</v>
      </c>
      <c r="AC151">
        <v>1</v>
      </c>
      <c r="AD151">
        <v>1</v>
      </c>
      <c r="AE151">
        <v>1</v>
      </c>
      <c r="AF151">
        <v>1</v>
      </c>
      <c r="AG151">
        <v>0</v>
      </c>
      <c r="AH151">
        <v>1</v>
      </c>
      <c r="AI151">
        <v>1</v>
      </c>
      <c r="AJ151">
        <v>1</v>
      </c>
      <c r="AK151">
        <v>1</v>
      </c>
      <c r="AL151">
        <v>1</v>
      </c>
      <c r="AM151">
        <v>0</v>
      </c>
      <c r="AN151">
        <v>1</v>
      </c>
      <c r="AO151">
        <v>0</v>
      </c>
      <c r="AP151">
        <v>0</v>
      </c>
      <c r="AQ151">
        <v>1</v>
      </c>
      <c r="AR151">
        <v>1</v>
      </c>
      <c r="AS151">
        <f t="shared" si="34"/>
        <v>8</v>
      </c>
      <c r="AT151">
        <f t="shared" si="35"/>
        <v>23</v>
      </c>
      <c r="AU151" s="3" t="s">
        <v>506</v>
      </c>
      <c r="AV151">
        <f t="shared" si="36"/>
        <v>1</v>
      </c>
      <c r="AW151">
        <f t="shared" si="37"/>
        <v>0</v>
      </c>
      <c r="AX151">
        <f t="shared" si="38"/>
        <v>1</v>
      </c>
      <c r="AY151">
        <v>130.5</v>
      </c>
      <c r="AZ151" t="s">
        <v>60</v>
      </c>
      <c r="BA151" t="s">
        <v>61</v>
      </c>
      <c r="BB151" t="s">
        <v>7</v>
      </c>
    </row>
    <row r="152" ht="409.5" spans="1:54">
      <c r="A152" t="s">
        <v>507</v>
      </c>
      <c r="B152" t="s">
        <v>55</v>
      </c>
      <c r="C152" t="s">
        <v>116</v>
      </c>
      <c r="D152">
        <v>436</v>
      </c>
      <c r="E152">
        <v>35</v>
      </c>
      <c r="F152">
        <v>64.6</v>
      </c>
      <c r="G152" t="s">
        <v>504</v>
      </c>
      <c r="H152" s="3" t="s">
        <v>508</v>
      </c>
      <c r="I152" s="3" t="s">
        <v>508</v>
      </c>
      <c r="J152">
        <f t="shared" si="26"/>
        <v>1</v>
      </c>
      <c r="K152">
        <f t="shared" si="27"/>
        <v>1</v>
      </c>
      <c r="L152">
        <f t="shared" si="28"/>
        <v>1</v>
      </c>
      <c r="M152">
        <f t="shared" si="29"/>
        <v>1</v>
      </c>
      <c r="N152">
        <f t="shared" si="30"/>
        <v>1</v>
      </c>
      <c r="O152">
        <f t="shared" si="31"/>
        <v>1</v>
      </c>
      <c r="P152">
        <f t="shared" si="32"/>
        <v>0</v>
      </c>
      <c r="Q152">
        <f t="shared" si="33"/>
        <v>1</v>
      </c>
      <c r="R152">
        <v>1</v>
      </c>
      <c r="S152">
        <v>0</v>
      </c>
      <c r="T152">
        <v>0</v>
      </c>
      <c r="U152">
        <v>1</v>
      </c>
      <c r="V152">
        <v>1</v>
      </c>
      <c r="W152">
        <v>1</v>
      </c>
      <c r="X152">
        <v>1</v>
      </c>
      <c r="Y152">
        <v>1</v>
      </c>
      <c r="Z152">
        <v>1</v>
      </c>
      <c r="AA152">
        <v>1</v>
      </c>
      <c r="AB152">
        <v>1</v>
      </c>
      <c r="AC152">
        <v>1</v>
      </c>
      <c r="AD152">
        <v>1</v>
      </c>
      <c r="AE152">
        <v>0</v>
      </c>
      <c r="AF152">
        <v>0</v>
      </c>
      <c r="AG152">
        <v>1</v>
      </c>
      <c r="AH152">
        <v>1</v>
      </c>
      <c r="AI152">
        <v>1</v>
      </c>
      <c r="AJ152">
        <v>0</v>
      </c>
      <c r="AK152">
        <v>0</v>
      </c>
      <c r="AL152">
        <v>1</v>
      </c>
      <c r="AM152">
        <v>0</v>
      </c>
      <c r="AN152">
        <v>0</v>
      </c>
      <c r="AO152">
        <v>0</v>
      </c>
      <c r="AP152">
        <v>0</v>
      </c>
      <c r="AQ152">
        <v>0</v>
      </c>
      <c r="AR152">
        <v>1</v>
      </c>
      <c r="AS152">
        <f t="shared" si="34"/>
        <v>7</v>
      </c>
      <c r="AT152">
        <f t="shared" si="35"/>
        <v>16</v>
      </c>
      <c r="AU152" s="3" t="s">
        <v>509</v>
      </c>
      <c r="AV152">
        <f t="shared" si="36"/>
        <v>1</v>
      </c>
      <c r="AW152">
        <f t="shared" si="37"/>
        <v>0</v>
      </c>
      <c r="AX152">
        <f t="shared" si="38"/>
        <v>1</v>
      </c>
      <c r="AY152">
        <v>34.5</v>
      </c>
      <c r="AZ152" t="s">
        <v>60</v>
      </c>
      <c r="BA152" t="s">
        <v>61</v>
      </c>
      <c r="BB152" t="s">
        <v>7</v>
      </c>
    </row>
    <row r="153" ht="219" spans="1:54">
      <c r="A153" t="s">
        <v>510</v>
      </c>
      <c r="B153" t="s">
        <v>55</v>
      </c>
      <c r="C153" t="s">
        <v>56</v>
      </c>
      <c r="D153">
        <v>119</v>
      </c>
      <c r="E153">
        <v>7</v>
      </c>
      <c r="F153">
        <v>67.7</v>
      </c>
      <c r="G153" t="s">
        <v>511</v>
      </c>
      <c r="H153" s="3" t="s">
        <v>512</v>
      </c>
      <c r="I153" s="3" t="s">
        <v>512</v>
      </c>
      <c r="J153">
        <f t="shared" si="26"/>
        <v>0</v>
      </c>
      <c r="K153">
        <f t="shared" si="27"/>
        <v>1</v>
      </c>
      <c r="L153">
        <f t="shared" si="28"/>
        <v>1</v>
      </c>
      <c r="M153">
        <f t="shared" si="29"/>
        <v>1</v>
      </c>
      <c r="N153">
        <f t="shared" si="30"/>
        <v>1</v>
      </c>
      <c r="O153">
        <f t="shared" si="31"/>
        <v>1</v>
      </c>
      <c r="P153">
        <f t="shared" si="32"/>
        <v>1</v>
      </c>
      <c r="Q153">
        <f t="shared" si="33"/>
        <v>1</v>
      </c>
      <c r="R153">
        <v>0</v>
      </c>
      <c r="S153">
        <v>0</v>
      </c>
      <c r="T153">
        <v>0</v>
      </c>
      <c r="U153">
        <v>0</v>
      </c>
      <c r="V153">
        <v>1</v>
      </c>
      <c r="W153">
        <v>1</v>
      </c>
      <c r="X153">
        <v>0</v>
      </c>
      <c r="Y153">
        <v>0</v>
      </c>
      <c r="Z153">
        <v>1</v>
      </c>
      <c r="AA153">
        <v>0</v>
      </c>
      <c r="AB153">
        <v>1</v>
      </c>
      <c r="AC153">
        <v>1</v>
      </c>
      <c r="AD153">
        <v>1</v>
      </c>
      <c r="AE153">
        <v>0</v>
      </c>
      <c r="AF153">
        <v>0</v>
      </c>
      <c r="AG153">
        <v>0</v>
      </c>
      <c r="AH153">
        <v>1</v>
      </c>
      <c r="AI153">
        <v>1</v>
      </c>
      <c r="AJ153">
        <v>0</v>
      </c>
      <c r="AK153">
        <v>0</v>
      </c>
      <c r="AL153">
        <v>0</v>
      </c>
      <c r="AM153">
        <v>0</v>
      </c>
      <c r="AN153">
        <v>0</v>
      </c>
      <c r="AO153">
        <v>0</v>
      </c>
      <c r="AP153">
        <v>0</v>
      </c>
      <c r="AQ153">
        <v>1</v>
      </c>
      <c r="AR153">
        <v>1</v>
      </c>
      <c r="AS153">
        <f t="shared" si="34"/>
        <v>7</v>
      </c>
      <c r="AT153">
        <f t="shared" si="35"/>
        <v>10</v>
      </c>
      <c r="AU153" s="3" t="s">
        <v>513</v>
      </c>
      <c r="AV153">
        <f t="shared" si="36"/>
        <v>1</v>
      </c>
      <c r="AW153">
        <f t="shared" si="37"/>
        <v>0</v>
      </c>
      <c r="AX153">
        <f t="shared" si="38"/>
        <v>1</v>
      </c>
      <c r="AY153">
        <v>10.5</v>
      </c>
      <c r="AZ153" t="s">
        <v>60</v>
      </c>
      <c r="BA153" t="s">
        <v>61</v>
      </c>
      <c r="BB153" t="s">
        <v>7</v>
      </c>
    </row>
    <row r="154" ht="353" spans="1:54">
      <c r="A154" t="s">
        <v>514</v>
      </c>
      <c r="B154" t="s">
        <v>55</v>
      </c>
      <c r="C154" t="s">
        <v>56</v>
      </c>
      <c r="D154">
        <v>6509</v>
      </c>
      <c r="E154">
        <v>196</v>
      </c>
      <c r="F154">
        <v>106.3</v>
      </c>
      <c r="G154" t="s">
        <v>515</v>
      </c>
      <c r="H154" s="3" t="s">
        <v>516</v>
      </c>
      <c r="I154" s="3" t="s">
        <v>516</v>
      </c>
      <c r="J154">
        <f t="shared" si="26"/>
        <v>1</v>
      </c>
      <c r="K154">
        <f t="shared" si="27"/>
        <v>1</v>
      </c>
      <c r="L154">
        <f t="shared" si="28"/>
        <v>1</v>
      </c>
      <c r="M154">
        <f t="shared" si="29"/>
        <v>0</v>
      </c>
      <c r="N154">
        <f t="shared" si="30"/>
        <v>1</v>
      </c>
      <c r="O154">
        <f t="shared" si="31"/>
        <v>1</v>
      </c>
      <c r="P154">
        <f t="shared" si="32"/>
        <v>0</v>
      </c>
      <c r="Q154">
        <f t="shared" si="33"/>
        <v>1</v>
      </c>
      <c r="R154">
        <v>1</v>
      </c>
      <c r="S154">
        <v>0</v>
      </c>
      <c r="T154">
        <v>1</v>
      </c>
      <c r="U154">
        <v>1</v>
      </c>
      <c r="V154">
        <v>0</v>
      </c>
      <c r="W154">
        <v>0</v>
      </c>
      <c r="X154">
        <v>0</v>
      </c>
      <c r="Y154">
        <v>0</v>
      </c>
      <c r="Z154">
        <v>1</v>
      </c>
      <c r="AA154">
        <v>0</v>
      </c>
      <c r="AB154">
        <v>0</v>
      </c>
      <c r="AC154">
        <v>1</v>
      </c>
      <c r="AD154">
        <v>0</v>
      </c>
      <c r="AE154">
        <v>0</v>
      </c>
      <c r="AF154">
        <v>0</v>
      </c>
      <c r="AG154">
        <v>1</v>
      </c>
      <c r="AH154">
        <v>1</v>
      </c>
      <c r="AI154">
        <v>1</v>
      </c>
      <c r="AJ154">
        <v>0</v>
      </c>
      <c r="AK154">
        <v>1</v>
      </c>
      <c r="AL154">
        <v>0</v>
      </c>
      <c r="AM154">
        <v>0</v>
      </c>
      <c r="AN154">
        <v>0</v>
      </c>
      <c r="AO154">
        <v>0</v>
      </c>
      <c r="AP154">
        <v>0</v>
      </c>
      <c r="AQ154">
        <v>0</v>
      </c>
      <c r="AR154">
        <v>1</v>
      </c>
      <c r="AS154">
        <f t="shared" si="34"/>
        <v>6</v>
      </c>
      <c r="AT154">
        <f t="shared" si="35"/>
        <v>10</v>
      </c>
      <c r="AU154" s="3" t="s">
        <v>517</v>
      </c>
      <c r="AV154">
        <f t="shared" si="36"/>
        <v>1</v>
      </c>
      <c r="AW154">
        <f t="shared" si="37"/>
        <v>0</v>
      </c>
      <c r="AX154">
        <f t="shared" si="38"/>
        <v>1</v>
      </c>
      <c r="AY154">
        <v>12.5</v>
      </c>
      <c r="AZ154" t="s">
        <v>60</v>
      </c>
      <c r="BA154" t="s">
        <v>61</v>
      </c>
      <c r="BB154" t="s">
        <v>7</v>
      </c>
    </row>
    <row r="155" ht="51" spans="1:54">
      <c r="A155" t="s">
        <v>518</v>
      </c>
      <c r="B155" t="s">
        <v>55</v>
      </c>
      <c r="C155" t="s">
        <v>56</v>
      </c>
      <c r="D155">
        <v>3851</v>
      </c>
      <c r="E155">
        <v>1922</v>
      </c>
      <c r="F155">
        <v>66.2</v>
      </c>
      <c r="G155" t="s">
        <v>519</v>
      </c>
      <c r="H155" s="3" t="s">
        <v>520</v>
      </c>
      <c r="I155" s="3" t="s">
        <v>520</v>
      </c>
      <c r="J155">
        <f t="shared" si="26"/>
        <v>0</v>
      </c>
      <c r="K155">
        <f t="shared" si="27"/>
        <v>0</v>
      </c>
      <c r="L155">
        <f t="shared" si="28"/>
        <v>0</v>
      </c>
      <c r="M155">
        <f t="shared" si="29"/>
        <v>0</v>
      </c>
      <c r="N155">
        <f t="shared" si="30"/>
        <v>0</v>
      </c>
      <c r="O155">
        <f t="shared" si="31"/>
        <v>0</v>
      </c>
      <c r="P155">
        <f t="shared" si="32"/>
        <v>0</v>
      </c>
      <c r="Q155">
        <f t="shared" si="33"/>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f t="shared" si="34"/>
        <v>0</v>
      </c>
      <c r="AT155">
        <f t="shared" si="35"/>
        <v>0</v>
      </c>
      <c r="AU155" s="3" t="s">
        <v>118</v>
      </c>
      <c r="AV155">
        <f t="shared" si="36"/>
        <v>0</v>
      </c>
      <c r="AW155">
        <f t="shared" si="37"/>
        <v>1</v>
      </c>
      <c r="AX155">
        <f t="shared" si="38"/>
        <v>0</v>
      </c>
      <c r="AY155">
        <v>-4</v>
      </c>
      <c r="AZ155" t="s">
        <v>133</v>
      </c>
      <c r="BA155" t="s">
        <v>134</v>
      </c>
      <c r="BB155" t="s">
        <v>7</v>
      </c>
    </row>
    <row r="156" ht="269" spans="1:54">
      <c r="A156" t="s">
        <v>521</v>
      </c>
      <c r="B156" t="s">
        <v>55</v>
      </c>
      <c r="C156" t="s">
        <v>56</v>
      </c>
      <c r="D156">
        <v>2485</v>
      </c>
      <c r="E156">
        <v>89</v>
      </c>
      <c r="F156">
        <v>94.3</v>
      </c>
      <c r="G156" t="s">
        <v>519</v>
      </c>
      <c r="H156" s="3" t="s">
        <v>522</v>
      </c>
      <c r="I156" s="3" t="s">
        <v>522</v>
      </c>
      <c r="J156">
        <f t="shared" si="26"/>
        <v>1</v>
      </c>
      <c r="K156">
        <f t="shared" si="27"/>
        <v>1</v>
      </c>
      <c r="L156">
        <f t="shared" si="28"/>
        <v>0</v>
      </c>
      <c r="M156">
        <f t="shared" si="29"/>
        <v>1</v>
      </c>
      <c r="N156">
        <f t="shared" si="30"/>
        <v>1</v>
      </c>
      <c r="O156">
        <f t="shared" si="31"/>
        <v>0</v>
      </c>
      <c r="P156">
        <f t="shared" si="32"/>
        <v>0</v>
      </c>
      <c r="Q156">
        <f t="shared" si="33"/>
        <v>0</v>
      </c>
      <c r="R156">
        <v>1</v>
      </c>
      <c r="S156">
        <v>0</v>
      </c>
      <c r="T156">
        <v>0</v>
      </c>
      <c r="U156">
        <v>0</v>
      </c>
      <c r="V156">
        <v>0</v>
      </c>
      <c r="W156">
        <v>1</v>
      </c>
      <c r="X156">
        <v>0</v>
      </c>
      <c r="Y156">
        <v>0</v>
      </c>
      <c r="Z156">
        <v>0</v>
      </c>
      <c r="AA156">
        <v>0</v>
      </c>
      <c r="AB156">
        <v>0</v>
      </c>
      <c r="AC156">
        <v>0</v>
      </c>
      <c r="AD156">
        <v>0</v>
      </c>
      <c r="AE156">
        <v>1</v>
      </c>
      <c r="AF156">
        <v>0</v>
      </c>
      <c r="AG156">
        <v>0</v>
      </c>
      <c r="AH156">
        <v>1</v>
      </c>
      <c r="AI156">
        <v>0</v>
      </c>
      <c r="AJ156">
        <v>0</v>
      </c>
      <c r="AK156">
        <v>0</v>
      </c>
      <c r="AL156">
        <v>0</v>
      </c>
      <c r="AM156">
        <v>0</v>
      </c>
      <c r="AN156">
        <v>0</v>
      </c>
      <c r="AO156">
        <v>0</v>
      </c>
      <c r="AP156">
        <v>0</v>
      </c>
      <c r="AQ156">
        <v>0</v>
      </c>
      <c r="AR156">
        <v>0</v>
      </c>
      <c r="AS156">
        <f t="shared" si="34"/>
        <v>4</v>
      </c>
      <c r="AT156">
        <f t="shared" si="35"/>
        <v>4</v>
      </c>
      <c r="AU156" s="3" t="s">
        <v>523</v>
      </c>
      <c r="AV156">
        <f t="shared" si="36"/>
        <v>1</v>
      </c>
      <c r="AW156">
        <f t="shared" si="37"/>
        <v>0</v>
      </c>
      <c r="AX156">
        <f t="shared" si="38"/>
        <v>0</v>
      </c>
      <c r="AY156">
        <v>4</v>
      </c>
      <c r="AZ156" t="s">
        <v>60</v>
      </c>
      <c r="BA156" t="s">
        <v>61</v>
      </c>
      <c r="BB156" t="s">
        <v>7</v>
      </c>
    </row>
    <row r="157" ht="219" spans="1:54">
      <c r="A157" t="s">
        <v>524</v>
      </c>
      <c r="B157" t="s">
        <v>55</v>
      </c>
      <c r="C157" t="s">
        <v>56</v>
      </c>
      <c r="D157">
        <v>1241</v>
      </c>
      <c r="E157">
        <v>55</v>
      </c>
      <c r="F157">
        <v>279.5</v>
      </c>
      <c r="G157" t="s">
        <v>519</v>
      </c>
      <c r="H157" s="3" t="s">
        <v>525</v>
      </c>
      <c r="I157" s="3" t="s">
        <v>525</v>
      </c>
      <c r="J157">
        <f t="shared" si="26"/>
        <v>0</v>
      </c>
      <c r="K157">
        <f t="shared" si="27"/>
        <v>0</v>
      </c>
      <c r="L157">
        <f t="shared" si="28"/>
        <v>0</v>
      </c>
      <c r="M157">
        <f t="shared" si="29"/>
        <v>0</v>
      </c>
      <c r="N157">
        <f t="shared" si="30"/>
        <v>0</v>
      </c>
      <c r="O157">
        <f t="shared" si="31"/>
        <v>0</v>
      </c>
      <c r="P157">
        <f t="shared" si="32"/>
        <v>0</v>
      </c>
      <c r="Q157">
        <f t="shared" si="33"/>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f t="shared" si="34"/>
        <v>0</v>
      </c>
      <c r="AT157">
        <f t="shared" si="35"/>
        <v>0</v>
      </c>
      <c r="AU157" s="3" t="s">
        <v>118</v>
      </c>
      <c r="AV157">
        <f t="shared" si="36"/>
        <v>0</v>
      </c>
      <c r="AW157">
        <f t="shared" si="37"/>
        <v>1</v>
      </c>
      <c r="AX157">
        <f t="shared" si="38"/>
        <v>0</v>
      </c>
      <c r="AY157">
        <v>-1</v>
      </c>
      <c r="AZ157" t="s">
        <v>133</v>
      </c>
      <c r="BA157" t="s">
        <v>134</v>
      </c>
      <c r="BB157" t="s">
        <v>7</v>
      </c>
    </row>
    <row r="158" ht="409.5" spans="1:54">
      <c r="A158" t="s">
        <v>526</v>
      </c>
      <c r="B158" t="s">
        <v>55</v>
      </c>
      <c r="C158" t="s">
        <v>56</v>
      </c>
      <c r="D158">
        <v>588</v>
      </c>
      <c r="E158">
        <v>16</v>
      </c>
      <c r="F158">
        <v>93.3</v>
      </c>
      <c r="G158" t="s">
        <v>519</v>
      </c>
      <c r="H158" s="3" t="s">
        <v>527</v>
      </c>
      <c r="I158" s="3" t="s">
        <v>527</v>
      </c>
      <c r="J158">
        <f t="shared" si="26"/>
        <v>1</v>
      </c>
      <c r="K158">
        <f t="shared" si="27"/>
        <v>1</v>
      </c>
      <c r="L158">
        <f t="shared" si="28"/>
        <v>1</v>
      </c>
      <c r="M158">
        <f t="shared" si="29"/>
        <v>1</v>
      </c>
      <c r="N158">
        <f t="shared" si="30"/>
        <v>1</v>
      </c>
      <c r="O158">
        <f t="shared" si="31"/>
        <v>1</v>
      </c>
      <c r="P158">
        <f t="shared" si="32"/>
        <v>0</v>
      </c>
      <c r="Q158">
        <f t="shared" si="33"/>
        <v>1</v>
      </c>
      <c r="R158">
        <v>1</v>
      </c>
      <c r="S158">
        <v>1</v>
      </c>
      <c r="T158">
        <v>1</v>
      </c>
      <c r="U158">
        <v>1</v>
      </c>
      <c r="V158">
        <v>1</v>
      </c>
      <c r="W158">
        <v>1</v>
      </c>
      <c r="X158">
        <v>1</v>
      </c>
      <c r="Y158">
        <v>1</v>
      </c>
      <c r="Z158">
        <v>1</v>
      </c>
      <c r="AA158">
        <v>1</v>
      </c>
      <c r="AB158">
        <v>1</v>
      </c>
      <c r="AC158">
        <v>1</v>
      </c>
      <c r="AD158">
        <v>1</v>
      </c>
      <c r="AE158">
        <v>0</v>
      </c>
      <c r="AF158">
        <v>1</v>
      </c>
      <c r="AG158">
        <v>1</v>
      </c>
      <c r="AH158">
        <v>1</v>
      </c>
      <c r="AI158">
        <v>1</v>
      </c>
      <c r="AJ158">
        <v>1</v>
      </c>
      <c r="AK158">
        <v>1</v>
      </c>
      <c r="AL158">
        <v>0</v>
      </c>
      <c r="AM158">
        <v>0</v>
      </c>
      <c r="AN158">
        <v>0</v>
      </c>
      <c r="AO158">
        <v>0</v>
      </c>
      <c r="AP158">
        <v>0</v>
      </c>
      <c r="AQ158">
        <v>0</v>
      </c>
      <c r="AR158">
        <v>1</v>
      </c>
      <c r="AS158">
        <f t="shared" si="34"/>
        <v>7</v>
      </c>
      <c r="AT158">
        <f t="shared" si="35"/>
        <v>20</v>
      </c>
      <c r="AU158" s="3" t="s">
        <v>528</v>
      </c>
      <c r="AV158">
        <f t="shared" si="36"/>
        <v>1</v>
      </c>
      <c r="AW158">
        <f t="shared" si="37"/>
        <v>0</v>
      </c>
      <c r="AX158">
        <f t="shared" si="38"/>
        <v>1</v>
      </c>
      <c r="AY158">
        <v>282.5</v>
      </c>
      <c r="AZ158" t="s">
        <v>60</v>
      </c>
      <c r="BA158" t="s">
        <v>61</v>
      </c>
      <c r="BB158" t="s">
        <v>7</v>
      </c>
    </row>
    <row r="159" ht="269" spans="1:54">
      <c r="A159" t="s">
        <v>529</v>
      </c>
      <c r="B159" t="s">
        <v>55</v>
      </c>
      <c r="C159" t="s">
        <v>56</v>
      </c>
      <c r="D159">
        <v>97</v>
      </c>
      <c r="E159">
        <v>2</v>
      </c>
      <c r="F159">
        <v>80.8</v>
      </c>
      <c r="G159" t="s">
        <v>530</v>
      </c>
      <c r="H159" s="3" t="s">
        <v>531</v>
      </c>
      <c r="I159" s="3" t="s">
        <v>531</v>
      </c>
      <c r="J159">
        <f t="shared" si="26"/>
        <v>0</v>
      </c>
      <c r="K159">
        <f t="shared" si="27"/>
        <v>1</v>
      </c>
      <c r="L159">
        <f t="shared" si="28"/>
        <v>1</v>
      </c>
      <c r="M159">
        <f t="shared" si="29"/>
        <v>0</v>
      </c>
      <c r="N159">
        <f t="shared" si="30"/>
        <v>1</v>
      </c>
      <c r="O159">
        <f t="shared" si="31"/>
        <v>1</v>
      </c>
      <c r="P159">
        <f t="shared" si="32"/>
        <v>0</v>
      </c>
      <c r="Q159">
        <f t="shared" si="33"/>
        <v>0</v>
      </c>
      <c r="R159">
        <v>0</v>
      </c>
      <c r="S159">
        <v>0</v>
      </c>
      <c r="T159">
        <v>0</v>
      </c>
      <c r="U159">
        <v>1</v>
      </c>
      <c r="V159">
        <v>1</v>
      </c>
      <c r="W159">
        <v>0</v>
      </c>
      <c r="X159">
        <v>0</v>
      </c>
      <c r="Y159">
        <v>0</v>
      </c>
      <c r="Z159">
        <v>1</v>
      </c>
      <c r="AA159">
        <v>1</v>
      </c>
      <c r="AB159">
        <v>0</v>
      </c>
      <c r="AC159">
        <v>0</v>
      </c>
      <c r="AD159">
        <v>0</v>
      </c>
      <c r="AE159">
        <v>0</v>
      </c>
      <c r="AF159">
        <v>0</v>
      </c>
      <c r="AG159">
        <v>1</v>
      </c>
      <c r="AH159">
        <v>1</v>
      </c>
      <c r="AI159">
        <v>1</v>
      </c>
      <c r="AJ159">
        <v>0</v>
      </c>
      <c r="AK159">
        <v>0</v>
      </c>
      <c r="AL159">
        <v>0</v>
      </c>
      <c r="AM159">
        <v>0</v>
      </c>
      <c r="AN159">
        <v>0</v>
      </c>
      <c r="AO159">
        <v>0</v>
      </c>
      <c r="AP159">
        <v>0</v>
      </c>
      <c r="AQ159">
        <v>0</v>
      </c>
      <c r="AR159">
        <v>0</v>
      </c>
      <c r="AS159">
        <f t="shared" si="34"/>
        <v>4</v>
      </c>
      <c r="AT159">
        <f t="shared" si="35"/>
        <v>7</v>
      </c>
      <c r="AU159" s="3" t="s">
        <v>532</v>
      </c>
      <c r="AV159">
        <f t="shared" si="36"/>
        <v>1</v>
      </c>
      <c r="AW159">
        <f t="shared" si="37"/>
        <v>0</v>
      </c>
      <c r="AX159">
        <f t="shared" si="38"/>
        <v>0</v>
      </c>
      <c r="AY159">
        <v>6.5</v>
      </c>
      <c r="AZ159" t="s">
        <v>60</v>
      </c>
      <c r="BA159" t="s">
        <v>61</v>
      </c>
      <c r="BB159" t="s">
        <v>7</v>
      </c>
    </row>
    <row r="160" ht="409.5" spans="1:54">
      <c r="A160" t="s">
        <v>533</v>
      </c>
      <c r="B160" t="s">
        <v>55</v>
      </c>
      <c r="C160" t="s">
        <v>56</v>
      </c>
      <c r="D160">
        <v>11</v>
      </c>
      <c r="E160">
        <v>0</v>
      </c>
      <c r="F160" t="s">
        <v>534</v>
      </c>
      <c r="G160" t="s">
        <v>535</v>
      </c>
      <c r="H160" s="3" t="s">
        <v>536</v>
      </c>
      <c r="I160" s="3" t="s">
        <v>536</v>
      </c>
      <c r="J160">
        <f t="shared" si="26"/>
        <v>1</v>
      </c>
      <c r="K160">
        <f t="shared" si="27"/>
        <v>1</v>
      </c>
      <c r="L160">
        <f t="shared" si="28"/>
        <v>1</v>
      </c>
      <c r="M160">
        <f t="shared" si="29"/>
        <v>0</v>
      </c>
      <c r="N160">
        <f t="shared" si="30"/>
        <v>1</v>
      </c>
      <c r="O160">
        <f t="shared" si="31"/>
        <v>1</v>
      </c>
      <c r="P160">
        <f t="shared" si="32"/>
        <v>1</v>
      </c>
      <c r="Q160">
        <f t="shared" si="33"/>
        <v>1</v>
      </c>
      <c r="R160">
        <v>1</v>
      </c>
      <c r="S160">
        <v>0</v>
      </c>
      <c r="T160">
        <v>1</v>
      </c>
      <c r="U160">
        <v>1</v>
      </c>
      <c r="V160">
        <v>1</v>
      </c>
      <c r="W160">
        <v>1</v>
      </c>
      <c r="X160">
        <v>1</v>
      </c>
      <c r="Y160">
        <v>0</v>
      </c>
      <c r="Z160">
        <v>1</v>
      </c>
      <c r="AA160">
        <v>0</v>
      </c>
      <c r="AB160">
        <v>1</v>
      </c>
      <c r="AC160">
        <v>0</v>
      </c>
      <c r="AD160">
        <v>0</v>
      </c>
      <c r="AE160">
        <v>0</v>
      </c>
      <c r="AF160">
        <v>0</v>
      </c>
      <c r="AG160">
        <v>1</v>
      </c>
      <c r="AH160">
        <v>1</v>
      </c>
      <c r="AI160">
        <v>1</v>
      </c>
      <c r="AJ160">
        <v>0</v>
      </c>
      <c r="AK160">
        <v>1</v>
      </c>
      <c r="AL160">
        <v>1</v>
      </c>
      <c r="AM160">
        <v>0</v>
      </c>
      <c r="AN160">
        <v>0</v>
      </c>
      <c r="AO160">
        <v>0</v>
      </c>
      <c r="AP160">
        <v>1</v>
      </c>
      <c r="AQ160">
        <v>0</v>
      </c>
      <c r="AR160">
        <v>1</v>
      </c>
      <c r="AS160">
        <f t="shared" si="34"/>
        <v>7</v>
      </c>
      <c r="AT160">
        <f t="shared" si="35"/>
        <v>15</v>
      </c>
      <c r="AU160" s="3" t="s">
        <v>537</v>
      </c>
      <c r="AV160">
        <f t="shared" si="36"/>
        <v>1</v>
      </c>
      <c r="AW160">
        <f t="shared" si="37"/>
        <v>0</v>
      </c>
      <c r="AX160">
        <f t="shared" si="38"/>
        <v>1</v>
      </c>
      <c r="AY160">
        <v>70.5</v>
      </c>
      <c r="AZ160" t="s">
        <v>60</v>
      </c>
      <c r="BA160" t="s">
        <v>61</v>
      </c>
      <c r="BB160" t="s">
        <v>7</v>
      </c>
    </row>
    <row r="161" ht="101" spans="1:54">
      <c r="A161" t="s">
        <v>538</v>
      </c>
      <c r="B161" t="s">
        <v>55</v>
      </c>
      <c r="C161" t="s">
        <v>56</v>
      </c>
      <c r="D161">
        <v>42</v>
      </c>
      <c r="E161">
        <v>2</v>
      </c>
      <c r="F161">
        <v>107.1</v>
      </c>
      <c r="G161" t="s">
        <v>539</v>
      </c>
      <c r="H161" s="3" t="s">
        <v>540</v>
      </c>
      <c r="I161" s="3" t="s">
        <v>540</v>
      </c>
      <c r="J161">
        <f t="shared" si="26"/>
        <v>0</v>
      </c>
      <c r="K161">
        <f t="shared" si="27"/>
        <v>0</v>
      </c>
      <c r="L161">
        <f t="shared" si="28"/>
        <v>0</v>
      </c>
      <c r="M161">
        <f t="shared" si="29"/>
        <v>0</v>
      </c>
      <c r="N161">
        <f t="shared" si="30"/>
        <v>0</v>
      </c>
      <c r="O161">
        <f t="shared" si="31"/>
        <v>0</v>
      </c>
      <c r="P161">
        <f t="shared" si="32"/>
        <v>0</v>
      </c>
      <c r="Q161">
        <f t="shared" si="33"/>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f t="shared" si="34"/>
        <v>0</v>
      </c>
      <c r="AT161">
        <f t="shared" si="35"/>
        <v>0</v>
      </c>
      <c r="AU161" s="3" t="s">
        <v>118</v>
      </c>
      <c r="AV161">
        <f t="shared" si="36"/>
        <v>0</v>
      </c>
      <c r="AW161">
        <f t="shared" si="37"/>
        <v>1</v>
      </c>
      <c r="AX161">
        <f t="shared" si="38"/>
        <v>0</v>
      </c>
      <c r="AY161">
        <v>3.5</v>
      </c>
      <c r="AZ161" t="s">
        <v>60</v>
      </c>
      <c r="BA161" t="s">
        <v>61</v>
      </c>
      <c r="BB161" t="s">
        <v>7</v>
      </c>
    </row>
    <row r="162" ht="34" spans="1:54">
      <c r="A162" t="s">
        <v>541</v>
      </c>
      <c r="B162" t="s">
        <v>55</v>
      </c>
      <c r="C162" t="s">
        <v>116</v>
      </c>
      <c r="D162">
        <v>246</v>
      </c>
      <c r="E162">
        <v>74</v>
      </c>
      <c r="F162">
        <v>116.3</v>
      </c>
      <c r="G162" t="s">
        <v>542</v>
      </c>
      <c r="H162" s="3" t="s">
        <v>543</v>
      </c>
      <c r="I162" s="3" t="s">
        <v>543</v>
      </c>
      <c r="J162">
        <f t="shared" si="26"/>
        <v>0</v>
      </c>
      <c r="K162">
        <f t="shared" si="27"/>
        <v>0</v>
      </c>
      <c r="L162">
        <f t="shared" si="28"/>
        <v>0</v>
      </c>
      <c r="M162">
        <f t="shared" si="29"/>
        <v>0</v>
      </c>
      <c r="N162">
        <f t="shared" si="30"/>
        <v>1</v>
      </c>
      <c r="O162">
        <f t="shared" si="31"/>
        <v>0</v>
      </c>
      <c r="P162">
        <f t="shared" si="32"/>
        <v>0</v>
      </c>
      <c r="Q162">
        <f t="shared" si="33"/>
        <v>0</v>
      </c>
      <c r="R162">
        <v>0</v>
      </c>
      <c r="S162">
        <v>0</v>
      </c>
      <c r="T162">
        <v>0</v>
      </c>
      <c r="U162">
        <v>0</v>
      </c>
      <c r="V162">
        <v>0</v>
      </c>
      <c r="W162">
        <v>0</v>
      </c>
      <c r="X162">
        <v>0</v>
      </c>
      <c r="Y162">
        <v>0</v>
      </c>
      <c r="Z162">
        <v>0</v>
      </c>
      <c r="AA162">
        <v>0</v>
      </c>
      <c r="AB162">
        <v>0</v>
      </c>
      <c r="AC162">
        <v>0</v>
      </c>
      <c r="AD162">
        <v>0</v>
      </c>
      <c r="AE162">
        <v>0</v>
      </c>
      <c r="AF162">
        <v>0</v>
      </c>
      <c r="AG162">
        <v>0</v>
      </c>
      <c r="AH162">
        <v>1</v>
      </c>
      <c r="AI162">
        <v>0</v>
      </c>
      <c r="AJ162">
        <v>0</v>
      </c>
      <c r="AK162">
        <v>0</v>
      </c>
      <c r="AL162">
        <v>0</v>
      </c>
      <c r="AM162">
        <v>0</v>
      </c>
      <c r="AN162">
        <v>0</v>
      </c>
      <c r="AO162">
        <v>0</v>
      </c>
      <c r="AP162">
        <v>0</v>
      </c>
      <c r="AQ162">
        <v>0</v>
      </c>
      <c r="AR162">
        <v>0</v>
      </c>
      <c r="AS162">
        <f t="shared" si="34"/>
        <v>1</v>
      </c>
      <c r="AT162">
        <f t="shared" si="35"/>
        <v>1</v>
      </c>
      <c r="AU162" s="3" t="s">
        <v>129</v>
      </c>
      <c r="AV162">
        <f t="shared" si="36"/>
        <v>1</v>
      </c>
      <c r="AW162">
        <f t="shared" si="37"/>
        <v>0</v>
      </c>
      <c r="AX162">
        <f t="shared" si="38"/>
        <v>0</v>
      </c>
      <c r="AY162">
        <v>0</v>
      </c>
      <c r="AZ162" t="s">
        <v>147</v>
      </c>
      <c r="BA162" t="s">
        <v>148</v>
      </c>
      <c r="BB162" t="s">
        <v>7</v>
      </c>
    </row>
    <row r="163" ht="409.5" spans="1:54">
      <c r="A163" t="s">
        <v>544</v>
      </c>
      <c r="B163" t="s">
        <v>55</v>
      </c>
      <c r="C163" t="s">
        <v>56</v>
      </c>
      <c r="D163">
        <v>533</v>
      </c>
      <c r="E163">
        <v>13</v>
      </c>
      <c r="F163">
        <v>106.4</v>
      </c>
      <c r="G163" t="s">
        <v>545</v>
      </c>
      <c r="H163" s="3" t="s">
        <v>546</v>
      </c>
      <c r="I163" s="3" t="s">
        <v>546</v>
      </c>
      <c r="J163">
        <f t="shared" si="26"/>
        <v>1</v>
      </c>
      <c r="K163">
        <f t="shared" si="27"/>
        <v>1</v>
      </c>
      <c r="L163">
        <f t="shared" si="28"/>
        <v>1</v>
      </c>
      <c r="M163">
        <f t="shared" si="29"/>
        <v>1</v>
      </c>
      <c r="N163">
        <f t="shared" si="30"/>
        <v>1</v>
      </c>
      <c r="O163">
        <f t="shared" si="31"/>
        <v>1</v>
      </c>
      <c r="P163">
        <f t="shared" si="32"/>
        <v>0</v>
      </c>
      <c r="Q163">
        <f t="shared" si="33"/>
        <v>1</v>
      </c>
      <c r="R163">
        <v>1</v>
      </c>
      <c r="S163">
        <v>1</v>
      </c>
      <c r="T163">
        <v>1</v>
      </c>
      <c r="U163">
        <v>1</v>
      </c>
      <c r="V163">
        <v>1</v>
      </c>
      <c r="W163">
        <v>1</v>
      </c>
      <c r="X163">
        <v>1</v>
      </c>
      <c r="Y163">
        <v>0</v>
      </c>
      <c r="Z163">
        <v>1</v>
      </c>
      <c r="AA163">
        <v>1</v>
      </c>
      <c r="AB163">
        <v>1</v>
      </c>
      <c r="AC163">
        <v>1</v>
      </c>
      <c r="AD163">
        <v>1</v>
      </c>
      <c r="AE163">
        <v>0</v>
      </c>
      <c r="AF163">
        <v>0</v>
      </c>
      <c r="AG163">
        <v>1</v>
      </c>
      <c r="AH163">
        <v>1</v>
      </c>
      <c r="AI163">
        <v>1</v>
      </c>
      <c r="AJ163">
        <v>0</v>
      </c>
      <c r="AK163">
        <v>1</v>
      </c>
      <c r="AL163">
        <v>1</v>
      </c>
      <c r="AM163">
        <v>0</v>
      </c>
      <c r="AN163">
        <v>0</v>
      </c>
      <c r="AO163">
        <v>0</v>
      </c>
      <c r="AP163">
        <v>0</v>
      </c>
      <c r="AQ163">
        <v>0</v>
      </c>
      <c r="AR163">
        <v>1</v>
      </c>
      <c r="AS163">
        <f t="shared" si="34"/>
        <v>7</v>
      </c>
      <c r="AT163">
        <f t="shared" si="35"/>
        <v>18</v>
      </c>
      <c r="AU163" s="3" t="s">
        <v>547</v>
      </c>
      <c r="AV163">
        <f t="shared" si="36"/>
        <v>1</v>
      </c>
      <c r="AW163">
        <f t="shared" si="37"/>
        <v>0</v>
      </c>
      <c r="AX163">
        <f t="shared" si="38"/>
        <v>1</v>
      </c>
      <c r="AY163">
        <v>73.5</v>
      </c>
      <c r="AZ163" t="s">
        <v>60</v>
      </c>
      <c r="BA163" t="s">
        <v>61</v>
      </c>
      <c r="BB163" t="s">
        <v>7</v>
      </c>
    </row>
    <row r="164" ht="409.5" spans="1:54">
      <c r="A164" t="s">
        <v>548</v>
      </c>
      <c r="B164" t="s">
        <v>55</v>
      </c>
      <c r="C164" t="s">
        <v>56</v>
      </c>
      <c r="D164">
        <v>55</v>
      </c>
      <c r="E164">
        <v>2</v>
      </c>
      <c r="F164">
        <v>127.8</v>
      </c>
      <c r="G164" t="s">
        <v>545</v>
      </c>
      <c r="H164" s="3" t="s">
        <v>549</v>
      </c>
      <c r="I164" s="3" t="s">
        <v>549</v>
      </c>
      <c r="J164">
        <f t="shared" si="26"/>
        <v>1</v>
      </c>
      <c r="K164">
        <f t="shared" si="27"/>
        <v>1</v>
      </c>
      <c r="L164">
        <f t="shared" si="28"/>
        <v>1</v>
      </c>
      <c r="M164">
        <f t="shared" si="29"/>
        <v>1</v>
      </c>
      <c r="N164">
        <f t="shared" si="30"/>
        <v>1</v>
      </c>
      <c r="O164">
        <f t="shared" si="31"/>
        <v>1</v>
      </c>
      <c r="P164">
        <f t="shared" si="32"/>
        <v>1</v>
      </c>
      <c r="Q164">
        <f t="shared" si="33"/>
        <v>1</v>
      </c>
      <c r="R164">
        <v>1</v>
      </c>
      <c r="S164">
        <v>1</v>
      </c>
      <c r="T164">
        <v>1</v>
      </c>
      <c r="U164">
        <v>1</v>
      </c>
      <c r="V164">
        <v>1</v>
      </c>
      <c r="W164">
        <v>1</v>
      </c>
      <c r="X164">
        <v>0</v>
      </c>
      <c r="Y164">
        <v>0</v>
      </c>
      <c r="Z164">
        <v>0</v>
      </c>
      <c r="AA164">
        <v>1</v>
      </c>
      <c r="AB164">
        <v>0</v>
      </c>
      <c r="AC164">
        <v>0</v>
      </c>
      <c r="AD164">
        <v>1</v>
      </c>
      <c r="AE164">
        <v>0</v>
      </c>
      <c r="AF164">
        <v>0</v>
      </c>
      <c r="AG164">
        <v>0</v>
      </c>
      <c r="AH164">
        <v>1</v>
      </c>
      <c r="AI164">
        <v>1</v>
      </c>
      <c r="AJ164">
        <v>1</v>
      </c>
      <c r="AK164">
        <v>1</v>
      </c>
      <c r="AL164">
        <v>1</v>
      </c>
      <c r="AM164">
        <v>0</v>
      </c>
      <c r="AN164">
        <v>1</v>
      </c>
      <c r="AO164">
        <v>0</v>
      </c>
      <c r="AP164">
        <v>1</v>
      </c>
      <c r="AQ164">
        <v>1</v>
      </c>
      <c r="AR164">
        <v>1</v>
      </c>
      <c r="AS164">
        <f t="shared" si="34"/>
        <v>8</v>
      </c>
      <c r="AT164">
        <f t="shared" si="35"/>
        <v>17</v>
      </c>
      <c r="AU164" s="3" t="s">
        <v>550</v>
      </c>
      <c r="AV164">
        <f t="shared" si="36"/>
        <v>1</v>
      </c>
      <c r="AW164">
        <f t="shared" si="37"/>
        <v>0</v>
      </c>
      <c r="AX164">
        <f t="shared" si="38"/>
        <v>1</v>
      </c>
      <c r="AY164">
        <v>50</v>
      </c>
      <c r="AZ164" t="s">
        <v>60</v>
      </c>
      <c r="BA164" t="s">
        <v>61</v>
      </c>
      <c r="BB164" t="s">
        <v>7</v>
      </c>
    </row>
    <row r="165" ht="409.5" spans="1:54">
      <c r="A165" t="s">
        <v>551</v>
      </c>
      <c r="B165" t="s">
        <v>55</v>
      </c>
      <c r="C165" t="s">
        <v>56</v>
      </c>
      <c r="D165">
        <v>63</v>
      </c>
      <c r="E165">
        <v>2</v>
      </c>
      <c r="F165">
        <v>39.4</v>
      </c>
      <c r="G165" t="s">
        <v>552</v>
      </c>
      <c r="H165" s="3" t="s">
        <v>553</v>
      </c>
      <c r="I165" s="3" t="s">
        <v>553</v>
      </c>
      <c r="J165">
        <f t="shared" si="26"/>
        <v>1</v>
      </c>
      <c r="K165">
        <f t="shared" si="27"/>
        <v>1</v>
      </c>
      <c r="L165">
        <f t="shared" si="28"/>
        <v>1</v>
      </c>
      <c r="M165">
        <f t="shared" si="29"/>
        <v>1</v>
      </c>
      <c r="N165">
        <f t="shared" si="30"/>
        <v>1</v>
      </c>
      <c r="O165">
        <f t="shared" si="31"/>
        <v>1</v>
      </c>
      <c r="P165">
        <f t="shared" si="32"/>
        <v>1</v>
      </c>
      <c r="Q165">
        <f t="shared" si="33"/>
        <v>1</v>
      </c>
      <c r="R165">
        <v>1</v>
      </c>
      <c r="S165">
        <v>1</v>
      </c>
      <c r="T165">
        <v>1</v>
      </c>
      <c r="U165">
        <v>1</v>
      </c>
      <c r="V165">
        <v>1</v>
      </c>
      <c r="W165">
        <v>1</v>
      </c>
      <c r="X165">
        <v>1</v>
      </c>
      <c r="Y165">
        <v>1</v>
      </c>
      <c r="Z165">
        <v>1</v>
      </c>
      <c r="AA165">
        <v>0</v>
      </c>
      <c r="AB165">
        <v>1</v>
      </c>
      <c r="AC165">
        <v>1</v>
      </c>
      <c r="AD165">
        <v>1</v>
      </c>
      <c r="AE165">
        <v>0</v>
      </c>
      <c r="AF165">
        <v>1</v>
      </c>
      <c r="AG165">
        <v>1</v>
      </c>
      <c r="AH165">
        <v>1</v>
      </c>
      <c r="AI165">
        <v>1</v>
      </c>
      <c r="AJ165">
        <v>1</v>
      </c>
      <c r="AK165">
        <v>1</v>
      </c>
      <c r="AL165">
        <v>1</v>
      </c>
      <c r="AM165">
        <v>0</v>
      </c>
      <c r="AN165">
        <v>1</v>
      </c>
      <c r="AO165">
        <v>0</v>
      </c>
      <c r="AP165">
        <v>1</v>
      </c>
      <c r="AQ165">
        <v>1</v>
      </c>
      <c r="AR165">
        <v>1</v>
      </c>
      <c r="AS165">
        <f t="shared" si="34"/>
        <v>8</v>
      </c>
      <c r="AT165">
        <f t="shared" si="35"/>
        <v>23</v>
      </c>
      <c r="AU165" s="3" t="s">
        <v>554</v>
      </c>
      <c r="AV165">
        <f t="shared" si="36"/>
        <v>1</v>
      </c>
      <c r="AW165">
        <f t="shared" si="37"/>
        <v>0</v>
      </c>
      <c r="AX165">
        <f t="shared" si="38"/>
        <v>1</v>
      </c>
      <c r="AY165">
        <v>58</v>
      </c>
      <c r="AZ165" t="s">
        <v>60</v>
      </c>
      <c r="BA165" t="s">
        <v>61</v>
      </c>
      <c r="BB165" t="s">
        <v>7</v>
      </c>
    </row>
    <row r="166" ht="168" spans="1:54">
      <c r="A166" t="s">
        <v>555</v>
      </c>
      <c r="B166" t="s">
        <v>55</v>
      </c>
      <c r="C166" t="s">
        <v>56</v>
      </c>
      <c r="D166">
        <v>29</v>
      </c>
      <c r="E166">
        <v>5</v>
      </c>
      <c r="F166">
        <v>175.8</v>
      </c>
      <c r="G166" t="s">
        <v>556</v>
      </c>
      <c r="H166" s="3" t="s">
        <v>557</v>
      </c>
      <c r="I166" s="3" t="s">
        <v>557</v>
      </c>
      <c r="J166">
        <f t="shared" si="26"/>
        <v>0</v>
      </c>
      <c r="K166">
        <f t="shared" si="27"/>
        <v>0</v>
      </c>
      <c r="L166">
        <f t="shared" si="28"/>
        <v>0</v>
      </c>
      <c r="M166">
        <f t="shared" si="29"/>
        <v>0</v>
      </c>
      <c r="N166">
        <f t="shared" si="30"/>
        <v>1</v>
      </c>
      <c r="O166">
        <f t="shared" si="31"/>
        <v>1</v>
      </c>
      <c r="P166">
        <f t="shared" si="32"/>
        <v>0</v>
      </c>
      <c r="Q166">
        <f t="shared" si="33"/>
        <v>0</v>
      </c>
      <c r="R166">
        <v>0</v>
      </c>
      <c r="S166">
        <v>0</v>
      </c>
      <c r="T166">
        <v>0</v>
      </c>
      <c r="U166">
        <v>0</v>
      </c>
      <c r="V166">
        <v>0</v>
      </c>
      <c r="W166">
        <v>0</v>
      </c>
      <c r="X166">
        <v>0</v>
      </c>
      <c r="Y166">
        <v>0</v>
      </c>
      <c r="Z166">
        <v>0</v>
      </c>
      <c r="AA166">
        <v>0</v>
      </c>
      <c r="AB166">
        <v>0</v>
      </c>
      <c r="AC166">
        <v>0</v>
      </c>
      <c r="AD166">
        <v>0</v>
      </c>
      <c r="AE166">
        <v>0</v>
      </c>
      <c r="AF166">
        <v>0</v>
      </c>
      <c r="AG166">
        <v>0</v>
      </c>
      <c r="AH166">
        <v>1</v>
      </c>
      <c r="AI166">
        <v>1</v>
      </c>
      <c r="AJ166">
        <v>0</v>
      </c>
      <c r="AK166">
        <v>0</v>
      </c>
      <c r="AL166">
        <v>1</v>
      </c>
      <c r="AM166">
        <v>0</v>
      </c>
      <c r="AN166">
        <v>0</v>
      </c>
      <c r="AO166">
        <v>0</v>
      </c>
      <c r="AP166">
        <v>0</v>
      </c>
      <c r="AQ166">
        <v>0</v>
      </c>
      <c r="AR166">
        <v>0</v>
      </c>
      <c r="AS166">
        <f t="shared" si="34"/>
        <v>2</v>
      </c>
      <c r="AT166">
        <f t="shared" si="35"/>
        <v>3</v>
      </c>
      <c r="AU166" s="3" t="s">
        <v>224</v>
      </c>
      <c r="AV166">
        <f t="shared" si="36"/>
        <v>1</v>
      </c>
      <c r="AW166">
        <f t="shared" si="37"/>
        <v>0</v>
      </c>
      <c r="AX166">
        <f t="shared" si="38"/>
        <v>0</v>
      </c>
      <c r="AY166">
        <v>0</v>
      </c>
      <c r="AZ166" t="s">
        <v>147</v>
      </c>
      <c r="BA166" t="s">
        <v>148</v>
      </c>
      <c r="BB166" t="s">
        <v>7</v>
      </c>
    </row>
    <row r="167" ht="68" spans="1:54">
      <c r="A167" t="s">
        <v>558</v>
      </c>
      <c r="B167" t="s">
        <v>55</v>
      </c>
      <c r="C167" t="s">
        <v>56</v>
      </c>
      <c r="D167">
        <v>464</v>
      </c>
      <c r="E167">
        <v>174</v>
      </c>
      <c r="F167">
        <v>119.3</v>
      </c>
      <c r="G167" t="s">
        <v>559</v>
      </c>
      <c r="H167" s="3" t="s">
        <v>560</v>
      </c>
      <c r="I167" s="3" t="s">
        <v>560</v>
      </c>
      <c r="J167">
        <f t="shared" si="26"/>
        <v>0</v>
      </c>
      <c r="K167">
        <f t="shared" si="27"/>
        <v>0</v>
      </c>
      <c r="L167">
        <f t="shared" si="28"/>
        <v>0</v>
      </c>
      <c r="M167">
        <f t="shared" si="29"/>
        <v>0</v>
      </c>
      <c r="N167">
        <f t="shared" si="30"/>
        <v>0</v>
      </c>
      <c r="O167">
        <f t="shared" si="31"/>
        <v>0</v>
      </c>
      <c r="P167">
        <f t="shared" si="32"/>
        <v>0</v>
      </c>
      <c r="Q167">
        <f t="shared" si="33"/>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f t="shared" si="34"/>
        <v>0</v>
      </c>
      <c r="AT167">
        <f t="shared" si="35"/>
        <v>0</v>
      </c>
      <c r="AU167" s="3" t="s">
        <v>118</v>
      </c>
      <c r="AV167">
        <f t="shared" si="36"/>
        <v>0</v>
      </c>
      <c r="AW167">
        <f t="shared" si="37"/>
        <v>1</v>
      </c>
      <c r="AX167">
        <f t="shared" si="38"/>
        <v>0</v>
      </c>
      <c r="AY167">
        <v>-2</v>
      </c>
      <c r="AZ167" t="s">
        <v>133</v>
      </c>
      <c r="BA167" t="s">
        <v>134</v>
      </c>
      <c r="BB167" t="s">
        <v>7</v>
      </c>
    </row>
    <row r="168" ht="101" spans="1:54">
      <c r="A168" t="s">
        <v>561</v>
      </c>
      <c r="B168" t="s">
        <v>55</v>
      </c>
      <c r="C168" t="s">
        <v>56</v>
      </c>
      <c r="D168">
        <v>364</v>
      </c>
      <c r="E168">
        <v>38</v>
      </c>
      <c r="F168">
        <v>63.9</v>
      </c>
      <c r="G168" t="s">
        <v>562</v>
      </c>
      <c r="H168" s="3" t="s">
        <v>563</v>
      </c>
      <c r="I168" s="3" t="s">
        <v>563</v>
      </c>
      <c r="J168">
        <f t="shared" si="26"/>
        <v>0</v>
      </c>
      <c r="K168">
        <f t="shared" si="27"/>
        <v>0</v>
      </c>
      <c r="L168">
        <f t="shared" si="28"/>
        <v>0</v>
      </c>
      <c r="M168">
        <f t="shared" si="29"/>
        <v>0</v>
      </c>
      <c r="N168">
        <f t="shared" si="30"/>
        <v>0</v>
      </c>
      <c r="O168">
        <f t="shared" si="31"/>
        <v>1</v>
      </c>
      <c r="P168">
        <f t="shared" si="32"/>
        <v>0</v>
      </c>
      <c r="Q168">
        <f t="shared" si="33"/>
        <v>1</v>
      </c>
      <c r="R168">
        <v>0</v>
      </c>
      <c r="S168">
        <v>0</v>
      </c>
      <c r="T168">
        <v>0</v>
      </c>
      <c r="U168">
        <v>0</v>
      </c>
      <c r="V168">
        <v>0</v>
      </c>
      <c r="W168">
        <v>0</v>
      </c>
      <c r="X168">
        <v>0</v>
      </c>
      <c r="Y168">
        <v>0</v>
      </c>
      <c r="Z168">
        <v>0</v>
      </c>
      <c r="AA168">
        <v>0</v>
      </c>
      <c r="AB168">
        <v>0</v>
      </c>
      <c r="AC168">
        <v>0</v>
      </c>
      <c r="AD168">
        <v>0</v>
      </c>
      <c r="AE168">
        <v>0</v>
      </c>
      <c r="AF168">
        <v>0</v>
      </c>
      <c r="AG168">
        <v>0</v>
      </c>
      <c r="AH168">
        <v>0</v>
      </c>
      <c r="AI168">
        <v>1</v>
      </c>
      <c r="AJ168">
        <v>0</v>
      </c>
      <c r="AK168">
        <v>0</v>
      </c>
      <c r="AL168">
        <v>0</v>
      </c>
      <c r="AM168">
        <v>0</v>
      </c>
      <c r="AN168">
        <v>0</v>
      </c>
      <c r="AO168">
        <v>0</v>
      </c>
      <c r="AP168">
        <v>0</v>
      </c>
      <c r="AQ168">
        <v>0</v>
      </c>
      <c r="AR168">
        <v>1</v>
      </c>
      <c r="AS168">
        <f t="shared" si="34"/>
        <v>2</v>
      </c>
      <c r="AT168">
        <f t="shared" si="35"/>
        <v>2</v>
      </c>
      <c r="AU168" s="3" t="s">
        <v>564</v>
      </c>
      <c r="AV168">
        <f t="shared" si="36"/>
        <v>1</v>
      </c>
      <c r="AW168">
        <f t="shared" si="37"/>
        <v>0</v>
      </c>
      <c r="AX168">
        <f t="shared" si="38"/>
        <v>0</v>
      </c>
      <c r="AY168">
        <v>6.5</v>
      </c>
      <c r="AZ168" t="s">
        <v>60</v>
      </c>
      <c r="BA168" t="s">
        <v>61</v>
      </c>
      <c r="BB168" t="s">
        <v>7</v>
      </c>
    </row>
    <row r="169" ht="135" spans="1:54">
      <c r="A169" t="s">
        <v>565</v>
      </c>
      <c r="B169" t="s">
        <v>55</v>
      </c>
      <c r="C169" t="s">
        <v>56</v>
      </c>
      <c r="D169">
        <v>80</v>
      </c>
      <c r="E169">
        <v>1</v>
      </c>
      <c r="F169">
        <v>51.2</v>
      </c>
      <c r="G169" t="s">
        <v>562</v>
      </c>
      <c r="H169" s="3" t="s">
        <v>566</v>
      </c>
      <c r="I169" s="3" t="s">
        <v>566</v>
      </c>
      <c r="J169">
        <f t="shared" si="26"/>
        <v>1</v>
      </c>
      <c r="K169">
        <f t="shared" si="27"/>
        <v>0</v>
      </c>
      <c r="L169">
        <f t="shared" si="28"/>
        <v>0</v>
      </c>
      <c r="M169">
        <f t="shared" si="29"/>
        <v>0</v>
      </c>
      <c r="N169">
        <f t="shared" si="30"/>
        <v>1</v>
      </c>
      <c r="O169">
        <f t="shared" si="31"/>
        <v>1</v>
      </c>
      <c r="P169">
        <f t="shared" si="32"/>
        <v>0</v>
      </c>
      <c r="Q169">
        <f t="shared" si="33"/>
        <v>1</v>
      </c>
      <c r="R169">
        <v>0</v>
      </c>
      <c r="S169">
        <v>1</v>
      </c>
      <c r="T169">
        <v>0</v>
      </c>
      <c r="U169">
        <v>0</v>
      </c>
      <c r="V169">
        <v>0</v>
      </c>
      <c r="W169">
        <v>0</v>
      </c>
      <c r="X169">
        <v>0</v>
      </c>
      <c r="Y169">
        <v>0</v>
      </c>
      <c r="Z169">
        <v>0</v>
      </c>
      <c r="AA169">
        <v>0</v>
      </c>
      <c r="AB169">
        <v>0</v>
      </c>
      <c r="AC169">
        <v>0</v>
      </c>
      <c r="AD169">
        <v>0</v>
      </c>
      <c r="AE169">
        <v>0</v>
      </c>
      <c r="AF169">
        <v>0</v>
      </c>
      <c r="AG169">
        <v>0</v>
      </c>
      <c r="AH169">
        <v>1</v>
      </c>
      <c r="AI169">
        <v>0</v>
      </c>
      <c r="AJ169">
        <v>0</v>
      </c>
      <c r="AK169">
        <v>0</v>
      </c>
      <c r="AL169">
        <v>1</v>
      </c>
      <c r="AM169">
        <v>0</v>
      </c>
      <c r="AN169">
        <v>0</v>
      </c>
      <c r="AO169">
        <v>0</v>
      </c>
      <c r="AP169">
        <v>0</v>
      </c>
      <c r="AQ169">
        <v>0</v>
      </c>
      <c r="AR169">
        <v>1</v>
      </c>
      <c r="AS169">
        <f t="shared" si="34"/>
        <v>4</v>
      </c>
      <c r="AT169">
        <f t="shared" si="35"/>
        <v>4</v>
      </c>
      <c r="AU169" s="3" t="s">
        <v>567</v>
      </c>
      <c r="AV169">
        <f t="shared" si="36"/>
        <v>1</v>
      </c>
      <c r="AW169">
        <f t="shared" si="37"/>
        <v>0</v>
      </c>
      <c r="AX169">
        <f t="shared" si="38"/>
        <v>0</v>
      </c>
      <c r="AY169">
        <v>9</v>
      </c>
      <c r="AZ169" t="s">
        <v>60</v>
      </c>
      <c r="BA169" t="s">
        <v>61</v>
      </c>
      <c r="BB169" t="s">
        <v>7</v>
      </c>
    </row>
    <row r="170" ht="168" spans="1:54">
      <c r="A170" t="s">
        <v>568</v>
      </c>
      <c r="B170" t="s">
        <v>55</v>
      </c>
      <c r="C170" t="s">
        <v>56</v>
      </c>
      <c r="D170">
        <v>247</v>
      </c>
      <c r="E170">
        <v>13</v>
      </c>
      <c r="F170">
        <v>216.6</v>
      </c>
      <c r="G170" t="s">
        <v>569</v>
      </c>
      <c r="H170" s="3" t="s">
        <v>570</v>
      </c>
      <c r="I170" s="3" t="s">
        <v>570</v>
      </c>
      <c r="J170">
        <f t="shared" si="26"/>
        <v>1</v>
      </c>
      <c r="K170">
        <f t="shared" si="27"/>
        <v>1</v>
      </c>
      <c r="L170">
        <f t="shared" si="28"/>
        <v>1</v>
      </c>
      <c r="M170">
        <f t="shared" si="29"/>
        <v>0</v>
      </c>
      <c r="N170">
        <f t="shared" si="30"/>
        <v>0</v>
      </c>
      <c r="O170">
        <f t="shared" si="31"/>
        <v>1</v>
      </c>
      <c r="P170">
        <f t="shared" si="32"/>
        <v>0</v>
      </c>
      <c r="Q170">
        <f t="shared" si="33"/>
        <v>0</v>
      </c>
      <c r="R170">
        <v>0</v>
      </c>
      <c r="S170">
        <v>1</v>
      </c>
      <c r="T170">
        <v>1</v>
      </c>
      <c r="U170">
        <v>0</v>
      </c>
      <c r="V170">
        <v>1</v>
      </c>
      <c r="W170">
        <v>0</v>
      </c>
      <c r="X170">
        <v>0</v>
      </c>
      <c r="Y170">
        <v>0</v>
      </c>
      <c r="Z170">
        <v>1</v>
      </c>
      <c r="AA170">
        <v>0</v>
      </c>
      <c r="AB170">
        <v>1</v>
      </c>
      <c r="AC170">
        <v>0</v>
      </c>
      <c r="AD170">
        <v>0</v>
      </c>
      <c r="AE170">
        <v>0</v>
      </c>
      <c r="AF170">
        <v>0</v>
      </c>
      <c r="AG170">
        <v>0</v>
      </c>
      <c r="AH170">
        <v>0</v>
      </c>
      <c r="AI170">
        <v>1</v>
      </c>
      <c r="AJ170">
        <v>1</v>
      </c>
      <c r="AK170">
        <v>1</v>
      </c>
      <c r="AL170">
        <v>0</v>
      </c>
      <c r="AM170">
        <v>0</v>
      </c>
      <c r="AN170">
        <v>0</v>
      </c>
      <c r="AO170">
        <v>0</v>
      </c>
      <c r="AP170">
        <v>0</v>
      </c>
      <c r="AQ170">
        <v>0</v>
      </c>
      <c r="AR170">
        <v>0</v>
      </c>
      <c r="AS170">
        <f t="shared" si="34"/>
        <v>4</v>
      </c>
      <c r="AT170">
        <f t="shared" si="35"/>
        <v>8</v>
      </c>
      <c r="AU170" s="3" t="s">
        <v>571</v>
      </c>
      <c r="AV170">
        <f t="shared" si="36"/>
        <v>1</v>
      </c>
      <c r="AW170">
        <f t="shared" si="37"/>
        <v>0</v>
      </c>
      <c r="AX170">
        <f t="shared" si="38"/>
        <v>1</v>
      </c>
      <c r="AY170">
        <v>10</v>
      </c>
      <c r="AZ170" t="s">
        <v>60</v>
      </c>
      <c r="BA170" t="s">
        <v>61</v>
      </c>
      <c r="BB170" t="s">
        <v>7</v>
      </c>
    </row>
    <row r="171" ht="370" spans="1:54">
      <c r="A171" t="s">
        <v>572</v>
      </c>
      <c r="B171" t="s">
        <v>55</v>
      </c>
      <c r="C171" t="s">
        <v>56</v>
      </c>
      <c r="D171">
        <v>30</v>
      </c>
      <c r="E171">
        <v>0</v>
      </c>
      <c r="F171">
        <v>43.5</v>
      </c>
      <c r="G171" t="s">
        <v>569</v>
      </c>
      <c r="H171" s="3" t="s">
        <v>573</v>
      </c>
      <c r="I171" s="3" t="s">
        <v>573</v>
      </c>
      <c r="J171">
        <f t="shared" si="26"/>
        <v>1</v>
      </c>
      <c r="K171">
        <f t="shared" si="27"/>
        <v>1</v>
      </c>
      <c r="L171">
        <f t="shared" si="28"/>
        <v>1</v>
      </c>
      <c r="M171">
        <f t="shared" si="29"/>
        <v>0</v>
      </c>
      <c r="N171">
        <f t="shared" si="30"/>
        <v>1</v>
      </c>
      <c r="O171">
        <f t="shared" si="31"/>
        <v>1</v>
      </c>
      <c r="P171">
        <f t="shared" si="32"/>
        <v>0</v>
      </c>
      <c r="Q171">
        <f t="shared" si="33"/>
        <v>1</v>
      </c>
      <c r="R171">
        <v>1</v>
      </c>
      <c r="S171">
        <v>1</v>
      </c>
      <c r="T171">
        <v>1</v>
      </c>
      <c r="U171">
        <v>1</v>
      </c>
      <c r="V171">
        <v>1</v>
      </c>
      <c r="W171">
        <v>1</v>
      </c>
      <c r="X171">
        <v>0</v>
      </c>
      <c r="Y171">
        <v>0</v>
      </c>
      <c r="Z171">
        <v>1</v>
      </c>
      <c r="AA171">
        <v>0</v>
      </c>
      <c r="AB171">
        <v>1</v>
      </c>
      <c r="AC171">
        <v>0</v>
      </c>
      <c r="AD171">
        <v>0</v>
      </c>
      <c r="AE171">
        <v>0</v>
      </c>
      <c r="AF171">
        <v>0</v>
      </c>
      <c r="AG171">
        <v>0</v>
      </c>
      <c r="AH171">
        <v>1</v>
      </c>
      <c r="AI171">
        <v>1</v>
      </c>
      <c r="AJ171">
        <v>1</v>
      </c>
      <c r="AK171">
        <v>1</v>
      </c>
      <c r="AL171">
        <v>0</v>
      </c>
      <c r="AM171">
        <v>0</v>
      </c>
      <c r="AN171">
        <v>0</v>
      </c>
      <c r="AO171">
        <v>0</v>
      </c>
      <c r="AP171">
        <v>0</v>
      </c>
      <c r="AQ171">
        <v>0</v>
      </c>
      <c r="AR171">
        <v>1</v>
      </c>
      <c r="AS171">
        <f t="shared" si="34"/>
        <v>6</v>
      </c>
      <c r="AT171">
        <f t="shared" si="35"/>
        <v>13</v>
      </c>
      <c r="AU171" s="3" t="s">
        <v>574</v>
      </c>
      <c r="AV171">
        <f t="shared" si="36"/>
        <v>1</v>
      </c>
      <c r="AW171">
        <f t="shared" si="37"/>
        <v>0</v>
      </c>
      <c r="AX171">
        <f t="shared" si="38"/>
        <v>1</v>
      </c>
      <c r="AY171">
        <v>21</v>
      </c>
      <c r="AZ171" t="s">
        <v>60</v>
      </c>
      <c r="BA171" t="s">
        <v>61</v>
      </c>
      <c r="BB171" t="s">
        <v>7</v>
      </c>
    </row>
    <row r="172" ht="409.5" spans="1:54">
      <c r="A172" t="s">
        <v>575</v>
      </c>
      <c r="B172" t="s">
        <v>55</v>
      </c>
      <c r="C172" t="s">
        <v>56</v>
      </c>
      <c r="D172">
        <v>12</v>
      </c>
      <c r="E172">
        <v>1</v>
      </c>
      <c r="F172" t="s">
        <v>576</v>
      </c>
      <c r="G172" t="s">
        <v>577</v>
      </c>
      <c r="H172" s="3" t="s">
        <v>578</v>
      </c>
      <c r="I172" s="3" t="s">
        <v>578</v>
      </c>
      <c r="J172">
        <f t="shared" si="26"/>
        <v>1</v>
      </c>
      <c r="K172">
        <f t="shared" si="27"/>
        <v>1</v>
      </c>
      <c r="L172">
        <f t="shared" si="28"/>
        <v>1</v>
      </c>
      <c r="M172">
        <f t="shared" si="29"/>
        <v>0</v>
      </c>
      <c r="N172">
        <f t="shared" si="30"/>
        <v>1</v>
      </c>
      <c r="O172">
        <f t="shared" si="31"/>
        <v>1</v>
      </c>
      <c r="P172">
        <f t="shared" si="32"/>
        <v>1</v>
      </c>
      <c r="Q172">
        <f t="shared" si="33"/>
        <v>1</v>
      </c>
      <c r="R172">
        <v>1</v>
      </c>
      <c r="S172">
        <v>0</v>
      </c>
      <c r="T172">
        <v>0</v>
      </c>
      <c r="U172">
        <v>1</v>
      </c>
      <c r="V172">
        <v>1</v>
      </c>
      <c r="W172">
        <v>1</v>
      </c>
      <c r="X172">
        <v>0</v>
      </c>
      <c r="Y172">
        <v>0</v>
      </c>
      <c r="Z172">
        <v>1</v>
      </c>
      <c r="AA172">
        <v>0</v>
      </c>
      <c r="AB172">
        <v>0</v>
      </c>
      <c r="AC172">
        <v>1</v>
      </c>
      <c r="AD172">
        <v>0</v>
      </c>
      <c r="AE172">
        <v>0</v>
      </c>
      <c r="AF172">
        <v>0</v>
      </c>
      <c r="AG172">
        <v>1</v>
      </c>
      <c r="AH172">
        <v>0</v>
      </c>
      <c r="AI172">
        <v>1</v>
      </c>
      <c r="AJ172">
        <v>0</v>
      </c>
      <c r="AK172">
        <v>0</v>
      </c>
      <c r="AL172">
        <v>1</v>
      </c>
      <c r="AM172">
        <v>0</v>
      </c>
      <c r="AN172">
        <v>0</v>
      </c>
      <c r="AO172">
        <v>0</v>
      </c>
      <c r="AP172">
        <v>1</v>
      </c>
      <c r="AQ172">
        <v>0</v>
      </c>
      <c r="AR172">
        <v>1</v>
      </c>
      <c r="AS172">
        <f t="shared" si="34"/>
        <v>7</v>
      </c>
      <c r="AT172">
        <f t="shared" si="35"/>
        <v>11</v>
      </c>
      <c r="AU172" s="3" t="s">
        <v>579</v>
      </c>
      <c r="AV172">
        <f t="shared" si="36"/>
        <v>1</v>
      </c>
      <c r="AW172">
        <f t="shared" si="37"/>
        <v>0</v>
      </c>
      <c r="AX172">
        <f t="shared" si="38"/>
        <v>1</v>
      </c>
      <c r="AY172">
        <v>-5</v>
      </c>
      <c r="AZ172" t="s">
        <v>133</v>
      </c>
      <c r="BA172" t="s">
        <v>134</v>
      </c>
      <c r="BB172" t="s">
        <v>7</v>
      </c>
    </row>
    <row r="173" ht="185" spans="1:54">
      <c r="A173" t="s">
        <v>580</v>
      </c>
      <c r="B173" t="s">
        <v>55</v>
      </c>
      <c r="C173" t="s">
        <v>56</v>
      </c>
      <c r="D173">
        <v>41</v>
      </c>
      <c r="E173">
        <v>12</v>
      </c>
      <c r="F173">
        <v>371.7</v>
      </c>
      <c r="G173" t="s">
        <v>581</v>
      </c>
      <c r="H173" s="3" t="s">
        <v>582</v>
      </c>
      <c r="I173" s="3" t="s">
        <v>582</v>
      </c>
      <c r="J173">
        <f t="shared" si="26"/>
        <v>1</v>
      </c>
      <c r="K173">
        <f t="shared" si="27"/>
        <v>1</v>
      </c>
      <c r="L173">
        <f t="shared" si="28"/>
        <v>1</v>
      </c>
      <c r="M173">
        <f t="shared" si="29"/>
        <v>0</v>
      </c>
      <c r="N173">
        <f t="shared" si="30"/>
        <v>1</v>
      </c>
      <c r="O173">
        <f t="shared" si="31"/>
        <v>1</v>
      </c>
      <c r="P173">
        <f t="shared" si="32"/>
        <v>0</v>
      </c>
      <c r="Q173">
        <f t="shared" si="33"/>
        <v>0</v>
      </c>
      <c r="R173">
        <v>1</v>
      </c>
      <c r="S173">
        <v>0</v>
      </c>
      <c r="T173">
        <v>0</v>
      </c>
      <c r="U173">
        <v>1</v>
      </c>
      <c r="V173">
        <v>1</v>
      </c>
      <c r="W173">
        <v>0</v>
      </c>
      <c r="X173">
        <v>0</v>
      </c>
      <c r="Y173">
        <v>0</v>
      </c>
      <c r="Z173">
        <v>1</v>
      </c>
      <c r="AA173">
        <v>0</v>
      </c>
      <c r="AB173">
        <v>1</v>
      </c>
      <c r="AC173">
        <v>1</v>
      </c>
      <c r="AD173">
        <v>0</v>
      </c>
      <c r="AE173">
        <v>0</v>
      </c>
      <c r="AF173">
        <v>0</v>
      </c>
      <c r="AG173">
        <v>0</v>
      </c>
      <c r="AH173">
        <v>1</v>
      </c>
      <c r="AI173">
        <v>1</v>
      </c>
      <c r="AJ173">
        <v>0</v>
      </c>
      <c r="AK173">
        <v>0</v>
      </c>
      <c r="AL173">
        <v>0</v>
      </c>
      <c r="AM173">
        <v>0</v>
      </c>
      <c r="AN173">
        <v>0</v>
      </c>
      <c r="AO173">
        <v>0</v>
      </c>
      <c r="AP173">
        <v>0</v>
      </c>
      <c r="AQ173">
        <v>0</v>
      </c>
      <c r="AR173">
        <v>0</v>
      </c>
      <c r="AS173">
        <f t="shared" si="34"/>
        <v>5</v>
      </c>
      <c r="AT173">
        <f t="shared" si="35"/>
        <v>8</v>
      </c>
      <c r="AU173" s="3" t="s">
        <v>583</v>
      </c>
      <c r="AV173">
        <f t="shared" si="36"/>
        <v>1</v>
      </c>
      <c r="AW173">
        <f t="shared" si="37"/>
        <v>0</v>
      </c>
      <c r="AX173">
        <f t="shared" si="38"/>
        <v>1</v>
      </c>
      <c r="AY173">
        <v>2.5</v>
      </c>
      <c r="AZ173" t="s">
        <v>60</v>
      </c>
      <c r="BA173" t="s">
        <v>61</v>
      </c>
      <c r="BB173" t="s">
        <v>7</v>
      </c>
    </row>
    <row r="174" ht="252" spans="1:54">
      <c r="A174" t="s">
        <v>584</v>
      </c>
      <c r="B174" t="s">
        <v>55</v>
      </c>
      <c r="C174" t="s">
        <v>56</v>
      </c>
      <c r="D174">
        <v>502</v>
      </c>
      <c r="E174">
        <v>109</v>
      </c>
      <c r="F174">
        <v>233</v>
      </c>
      <c r="G174" t="s">
        <v>585</v>
      </c>
      <c r="H174" s="3" t="s">
        <v>586</v>
      </c>
      <c r="I174" s="3" t="s">
        <v>586</v>
      </c>
      <c r="J174">
        <f t="shared" si="26"/>
        <v>0</v>
      </c>
      <c r="K174">
        <f t="shared" si="27"/>
        <v>1</v>
      </c>
      <c r="L174">
        <f t="shared" si="28"/>
        <v>0</v>
      </c>
      <c r="M174">
        <f t="shared" si="29"/>
        <v>1</v>
      </c>
      <c r="N174">
        <f t="shared" si="30"/>
        <v>1</v>
      </c>
      <c r="O174">
        <f t="shared" si="31"/>
        <v>0</v>
      </c>
      <c r="P174">
        <f t="shared" si="32"/>
        <v>0</v>
      </c>
      <c r="Q174">
        <f t="shared" si="33"/>
        <v>0</v>
      </c>
      <c r="R174">
        <v>0</v>
      </c>
      <c r="S174">
        <v>0</v>
      </c>
      <c r="T174">
        <v>0</v>
      </c>
      <c r="U174">
        <v>0</v>
      </c>
      <c r="V174">
        <v>1</v>
      </c>
      <c r="W174">
        <v>0</v>
      </c>
      <c r="X174">
        <v>0</v>
      </c>
      <c r="Y174">
        <v>0</v>
      </c>
      <c r="Z174">
        <v>0</v>
      </c>
      <c r="AA174">
        <v>0</v>
      </c>
      <c r="AB174">
        <v>0</v>
      </c>
      <c r="AC174">
        <v>0</v>
      </c>
      <c r="AD174">
        <v>0</v>
      </c>
      <c r="AE174">
        <v>0</v>
      </c>
      <c r="AF174">
        <v>1</v>
      </c>
      <c r="AG174">
        <v>0</v>
      </c>
      <c r="AH174">
        <v>1</v>
      </c>
      <c r="AI174">
        <v>0</v>
      </c>
      <c r="AJ174">
        <v>0</v>
      </c>
      <c r="AK174">
        <v>0</v>
      </c>
      <c r="AL174">
        <v>0</v>
      </c>
      <c r="AM174">
        <v>0</v>
      </c>
      <c r="AN174">
        <v>0</v>
      </c>
      <c r="AO174">
        <v>0</v>
      </c>
      <c r="AP174">
        <v>0</v>
      </c>
      <c r="AQ174">
        <v>0</v>
      </c>
      <c r="AR174">
        <v>0</v>
      </c>
      <c r="AS174">
        <f t="shared" si="34"/>
        <v>3</v>
      </c>
      <c r="AT174">
        <f t="shared" si="35"/>
        <v>3</v>
      </c>
      <c r="AU174" s="3" t="s">
        <v>587</v>
      </c>
      <c r="AV174">
        <f t="shared" si="36"/>
        <v>1</v>
      </c>
      <c r="AW174">
        <f t="shared" si="37"/>
        <v>0</v>
      </c>
      <c r="AX174">
        <f t="shared" si="38"/>
        <v>0</v>
      </c>
      <c r="AY174">
        <v>0</v>
      </c>
      <c r="AZ174" t="s">
        <v>147</v>
      </c>
      <c r="BA174" t="s">
        <v>148</v>
      </c>
      <c r="BB174" t="s">
        <v>7</v>
      </c>
    </row>
    <row r="175" ht="101" spans="1:54">
      <c r="A175" t="s">
        <v>588</v>
      </c>
      <c r="B175" t="s">
        <v>55</v>
      </c>
      <c r="C175" t="s">
        <v>56</v>
      </c>
      <c r="D175">
        <v>1295</v>
      </c>
      <c r="E175">
        <v>104</v>
      </c>
      <c r="F175">
        <v>13.3</v>
      </c>
      <c r="G175" t="s">
        <v>589</v>
      </c>
      <c r="H175" s="3" t="s">
        <v>590</v>
      </c>
      <c r="I175" s="3" t="s">
        <v>590</v>
      </c>
      <c r="J175">
        <f t="shared" si="26"/>
        <v>1</v>
      </c>
      <c r="K175">
        <f t="shared" si="27"/>
        <v>0</v>
      </c>
      <c r="L175">
        <f t="shared" si="28"/>
        <v>0</v>
      </c>
      <c r="M175">
        <f t="shared" si="29"/>
        <v>0</v>
      </c>
      <c r="N175">
        <f t="shared" si="30"/>
        <v>0</v>
      </c>
      <c r="O175">
        <f t="shared" si="31"/>
        <v>0</v>
      </c>
      <c r="P175">
        <f t="shared" si="32"/>
        <v>0</v>
      </c>
      <c r="Q175">
        <f t="shared" si="33"/>
        <v>1</v>
      </c>
      <c r="R175">
        <v>1</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1</v>
      </c>
      <c r="AS175">
        <f t="shared" si="34"/>
        <v>2</v>
      </c>
      <c r="AT175">
        <f t="shared" si="35"/>
        <v>2</v>
      </c>
      <c r="AU175" s="3" t="s">
        <v>591</v>
      </c>
      <c r="AV175">
        <f t="shared" si="36"/>
        <v>1</v>
      </c>
      <c r="AW175">
        <f t="shared" si="37"/>
        <v>0</v>
      </c>
      <c r="AX175">
        <f t="shared" si="38"/>
        <v>0</v>
      </c>
      <c r="AY175">
        <v>4</v>
      </c>
      <c r="AZ175" t="s">
        <v>60</v>
      </c>
      <c r="BA175" t="s">
        <v>61</v>
      </c>
      <c r="BB175" t="s">
        <v>7</v>
      </c>
    </row>
    <row r="176" ht="409.5" spans="1:54">
      <c r="A176" t="s">
        <v>592</v>
      </c>
      <c r="B176" t="s">
        <v>55</v>
      </c>
      <c r="C176" t="s">
        <v>56</v>
      </c>
      <c r="D176">
        <v>23</v>
      </c>
      <c r="E176">
        <v>4</v>
      </c>
      <c r="F176">
        <v>345.5</v>
      </c>
      <c r="G176" t="s">
        <v>593</v>
      </c>
      <c r="H176" s="3" t="s">
        <v>594</v>
      </c>
      <c r="I176" s="3" t="s">
        <v>594</v>
      </c>
      <c r="J176">
        <f t="shared" si="26"/>
        <v>1</v>
      </c>
      <c r="K176">
        <f t="shared" si="27"/>
        <v>1</v>
      </c>
      <c r="L176">
        <f t="shared" si="28"/>
        <v>1</v>
      </c>
      <c r="M176">
        <f t="shared" si="29"/>
        <v>1</v>
      </c>
      <c r="N176">
        <f t="shared" si="30"/>
        <v>1</v>
      </c>
      <c r="O176">
        <f t="shared" si="31"/>
        <v>1</v>
      </c>
      <c r="P176">
        <f t="shared" si="32"/>
        <v>1</v>
      </c>
      <c r="Q176">
        <f t="shared" si="33"/>
        <v>1</v>
      </c>
      <c r="R176">
        <v>1</v>
      </c>
      <c r="S176">
        <v>1</v>
      </c>
      <c r="T176">
        <v>0</v>
      </c>
      <c r="U176">
        <v>0</v>
      </c>
      <c r="V176">
        <v>0</v>
      </c>
      <c r="W176">
        <v>1</v>
      </c>
      <c r="X176">
        <v>0</v>
      </c>
      <c r="Y176">
        <v>0</v>
      </c>
      <c r="Z176">
        <v>1</v>
      </c>
      <c r="AA176">
        <v>0</v>
      </c>
      <c r="AB176">
        <v>0</v>
      </c>
      <c r="AC176">
        <v>0</v>
      </c>
      <c r="AD176">
        <v>1</v>
      </c>
      <c r="AE176">
        <v>0</v>
      </c>
      <c r="AF176">
        <v>0</v>
      </c>
      <c r="AG176">
        <v>0</v>
      </c>
      <c r="AH176">
        <v>1</v>
      </c>
      <c r="AI176">
        <v>1</v>
      </c>
      <c r="AJ176">
        <v>1</v>
      </c>
      <c r="AK176">
        <v>0</v>
      </c>
      <c r="AL176">
        <v>1</v>
      </c>
      <c r="AM176">
        <v>0</v>
      </c>
      <c r="AN176">
        <v>1</v>
      </c>
      <c r="AO176">
        <v>0</v>
      </c>
      <c r="AP176">
        <v>0</v>
      </c>
      <c r="AQ176">
        <v>0</v>
      </c>
      <c r="AR176">
        <v>1</v>
      </c>
      <c r="AS176">
        <f t="shared" si="34"/>
        <v>8</v>
      </c>
      <c r="AT176">
        <f t="shared" si="35"/>
        <v>11</v>
      </c>
      <c r="AU176" s="3" t="s">
        <v>595</v>
      </c>
      <c r="AV176">
        <f t="shared" si="36"/>
        <v>1</v>
      </c>
      <c r="AW176">
        <f t="shared" si="37"/>
        <v>0</v>
      </c>
      <c r="AX176">
        <f t="shared" si="38"/>
        <v>1</v>
      </c>
      <c r="AY176">
        <v>23.5</v>
      </c>
      <c r="AZ176" t="s">
        <v>60</v>
      </c>
      <c r="BA176" t="s">
        <v>61</v>
      </c>
      <c r="BB176" t="s">
        <v>7</v>
      </c>
    </row>
    <row r="177" ht="409.5" spans="1:54">
      <c r="A177" t="s">
        <v>596</v>
      </c>
      <c r="B177" t="s">
        <v>55</v>
      </c>
      <c r="C177" t="s">
        <v>56</v>
      </c>
      <c r="D177">
        <v>21</v>
      </c>
      <c r="E177">
        <v>1</v>
      </c>
      <c r="F177" t="s">
        <v>597</v>
      </c>
      <c r="G177" t="s">
        <v>57</v>
      </c>
      <c r="H177" s="3" t="s">
        <v>598</v>
      </c>
      <c r="I177" s="3" t="s">
        <v>598</v>
      </c>
      <c r="J177">
        <f t="shared" si="26"/>
        <v>1</v>
      </c>
      <c r="K177">
        <f t="shared" si="27"/>
        <v>1</v>
      </c>
      <c r="L177">
        <f t="shared" si="28"/>
        <v>1</v>
      </c>
      <c r="M177">
        <f t="shared" si="29"/>
        <v>0</v>
      </c>
      <c r="N177">
        <f t="shared" si="30"/>
        <v>1</v>
      </c>
      <c r="O177">
        <f t="shared" si="31"/>
        <v>1</v>
      </c>
      <c r="P177">
        <f t="shared" si="32"/>
        <v>0</v>
      </c>
      <c r="Q177">
        <f t="shared" si="33"/>
        <v>1</v>
      </c>
      <c r="R177">
        <v>1</v>
      </c>
      <c r="S177">
        <v>0</v>
      </c>
      <c r="T177">
        <v>0</v>
      </c>
      <c r="U177">
        <v>1</v>
      </c>
      <c r="V177">
        <v>1</v>
      </c>
      <c r="W177">
        <v>1</v>
      </c>
      <c r="X177">
        <v>0</v>
      </c>
      <c r="Y177">
        <v>1</v>
      </c>
      <c r="Z177">
        <v>1</v>
      </c>
      <c r="AA177">
        <v>0</v>
      </c>
      <c r="AB177">
        <v>1</v>
      </c>
      <c r="AC177">
        <v>0</v>
      </c>
      <c r="AD177">
        <v>0</v>
      </c>
      <c r="AE177">
        <v>0</v>
      </c>
      <c r="AF177">
        <v>0</v>
      </c>
      <c r="AG177">
        <v>1</v>
      </c>
      <c r="AH177">
        <v>1</v>
      </c>
      <c r="AI177">
        <v>1</v>
      </c>
      <c r="AJ177">
        <v>1</v>
      </c>
      <c r="AK177">
        <v>0</v>
      </c>
      <c r="AL177">
        <v>0</v>
      </c>
      <c r="AM177">
        <v>0</v>
      </c>
      <c r="AN177">
        <v>0</v>
      </c>
      <c r="AO177">
        <v>0</v>
      </c>
      <c r="AP177">
        <v>0</v>
      </c>
      <c r="AQ177">
        <v>0</v>
      </c>
      <c r="AR177">
        <v>1</v>
      </c>
      <c r="AS177">
        <f t="shared" si="34"/>
        <v>6</v>
      </c>
      <c r="AT177">
        <f t="shared" si="35"/>
        <v>12</v>
      </c>
      <c r="AU177" s="3" t="s">
        <v>599</v>
      </c>
      <c r="AV177">
        <f t="shared" si="36"/>
        <v>1</v>
      </c>
      <c r="AW177">
        <f t="shared" si="37"/>
        <v>0</v>
      </c>
      <c r="AX177">
        <f t="shared" si="38"/>
        <v>1</v>
      </c>
      <c r="AY177">
        <v>38</v>
      </c>
      <c r="AZ177" t="s">
        <v>60</v>
      </c>
      <c r="BA177" t="s">
        <v>61</v>
      </c>
      <c r="BB177" t="s">
        <v>7</v>
      </c>
    </row>
    <row r="178" ht="409.5" spans="1:54">
      <c r="A178" t="s">
        <v>600</v>
      </c>
      <c r="B178" t="s">
        <v>55</v>
      </c>
      <c r="C178" t="s">
        <v>56</v>
      </c>
      <c r="D178">
        <v>13</v>
      </c>
      <c r="E178">
        <v>0</v>
      </c>
      <c r="F178" t="s">
        <v>601</v>
      </c>
      <c r="G178" t="s">
        <v>602</v>
      </c>
      <c r="H178" s="3" t="s">
        <v>603</v>
      </c>
      <c r="I178" s="3" t="s">
        <v>603</v>
      </c>
      <c r="J178">
        <f t="shared" si="26"/>
        <v>1</v>
      </c>
      <c r="K178">
        <f t="shared" si="27"/>
        <v>1</v>
      </c>
      <c r="L178">
        <f t="shared" si="28"/>
        <v>1</v>
      </c>
      <c r="M178">
        <f t="shared" si="29"/>
        <v>0</v>
      </c>
      <c r="N178">
        <f t="shared" si="30"/>
        <v>1</v>
      </c>
      <c r="O178">
        <f t="shared" si="31"/>
        <v>1</v>
      </c>
      <c r="P178">
        <f t="shared" si="32"/>
        <v>1</v>
      </c>
      <c r="Q178">
        <f t="shared" si="33"/>
        <v>1</v>
      </c>
      <c r="R178">
        <v>1</v>
      </c>
      <c r="S178">
        <v>1</v>
      </c>
      <c r="T178">
        <v>1</v>
      </c>
      <c r="U178">
        <v>1</v>
      </c>
      <c r="V178">
        <v>1</v>
      </c>
      <c r="W178">
        <v>1</v>
      </c>
      <c r="X178">
        <v>0</v>
      </c>
      <c r="Y178">
        <v>1</v>
      </c>
      <c r="Z178">
        <v>1</v>
      </c>
      <c r="AA178">
        <v>1</v>
      </c>
      <c r="AB178">
        <v>1</v>
      </c>
      <c r="AC178">
        <v>1</v>
      </c>
      <c r="AD178">
        <v>0</v>
      </c>
      <c r="AE178">
        <v>0</v>
      </c>
      <c r="AF178">
        <v>0</v>
      </c>
      <c r="AG178">
        <v>1</v>
      </c>
      <c r="AH178">
        <v>1</v>
      </c>
      <c r="AI178">
        <v>1</v>
      </c>
      <c r="AJ178">
        <v>0</v>
      </c>
      <c r="AK178">
        <v>0</v>
      </c>
      <c r="AL178">
        <v>0</v>
      </c>
      <c r="AM178">
        <v>0</v>
      </c>
      <c r="AN178">
        <v>0</v>
      </c>
      <c r="AO178">
        <v>0</v>
      </c>
      <c r="AP178">
        <v>0</v>
      </c>
      <c r="AQ178">
        <v>1</v>
      </c>
      <c r="AR178">
        <v>1</v>
      </c>
      <c r="AS178">
        <f t="shared" si="34"/>
        <v>7</v>
      </c>
      <c r="AT178">
        <f t="shared" si="35"/>
        <v>16</v>
      </c>
      <c r="AU178" s="3" t="s">
        <v>604</v>
      </c>
      <c r="AV178">
        <f t="shared" si="36"/>
        <v>1</v>
      </c>
      <c r="AW178">
        <f t="shared" si="37"/>
        <v>0</v>
      </c>
      <c r="AX178">
        <f t="shared" si="38"/>
        <v>1</v>
      </c>
      <c r="AY178">
        <v>85.5</v>
      </c>
      <c r="AZ178" t="s">
        <v>60</v>
      </c>
      <c r="BA178" t="s">
        <v>61</v>
      </c>
      <c r="BB178" t="s">
        <v>7</v>
      </c>
    </row>
    <row r="179" ht="387" spans="1:54">
      <c r="A179" t="s">
        <v>605</v>
      </c>
      <c r="B179" t="s">
        <v>55</v>
      </c>
      <c r="C179" t="s">
        <v>56</v>
      </c>
      <c r="D179">
        <v>17</v>
      </c>
      <c r="E179">
        <v>0</v>
      </c>
      <c r="F179" t="s">
        <v>606</v>
      </c>
      <c r="G179" t="s">
        <v>402</v>
      </c>
      <c r="H179" s="3" t="s">
        <v>607</v>
      </c>
      <c r="I179" s="3" t="s">
        <v>607</v>
      </c>
      <c r="J179">
        <f t="shared" si="26"/>
        <v>1</v>
      </c>
      <c r="K179">
        <f t="shared" si="27"/>
        <v>1</v>
      </c>
      <c r="L179">
        <f t="shared" si="28"/>
        <v>1</v>
      </c>
      <c r="M179">
        <f t="shared" si="29"/>
        <v>1</v>
      </c>
      <c r="N179">
        <f t="shared" si="30"/>
        <v>1</v>
      </c>
      <c r="O179">
        <f t="shared" si="31"/>
        <v>1</v>
      </c>
      <c r="P179">
        <f t="shared" si="32"/>
        <v>0</v>
      </c>
      <c r="Q179">
        <f t="shared" si="33"/>
        <v>1</v>
      </c>
      <c r="R179">
        <v>1</v>
      </c>
      <c r="S179">
        <v>1</v>
      </c>
      <c r="T179">
        <v>1</v>
      </c>
      <c r="U179">
        <v>1</v>
      </c>
      <c r="V179">
        <v>1</v>
      </c>
      <c r="W179">
        <v>1</v>
      </c>
      <c r="X179">
        <v>1</v>
      </c>
      <c r="Y179">
        <v>1</v>
      </c>
      <c r="Z179">
        <v>1</v>
      </c>
      <c r="AA179">
        <v>1</v>
      </c>
      <c r="AB179">
        <v>1</v>
      </c>
      <c r="AC179">
        <v>1</v>
      </c>
      <c r="AD179">
        <v>1</v>
      </c>
      <c r="AE179">
        <v>0</v>
      </c>
      <c r="AF179">
        <v>0</v>
      </c>
      <c r="AG179">
        <v>1</v>
      </c>
      <c r="AH179">
        <v>1</v>
      </c>
      <c r="AI179">
        <v>1</v>
      </c>
      <c r="AJ179">
        <v>0</v>
      </c>
      <c r="AK179">
        <v>0</v>
      </c>
      <c r="AL179">
        <v>0</v>
      </c>
      <c r="AM179">
        <v>0</v>
      </c>
      <c r="AN179">
        <v>0</v>
      </c>
      <c r="AO179">
        <v>0</v>
      </c>
      <c r="AP179">
        <v>0</v>
      </c>
      <c r="AQ179">
        <v>0</v>
      </c>
      <c r="AR179">
        <v>1</v>
      </c>
      <c r="AS179">
        <f t="shared" si="34"/>
        <v>7</v>
      </c>
      <c r="AT179">
        <f t="shared" si="35"/>
        <v>17</v>
      </c>
      <c r="AU179" s="3" t="s">
        <v>608</v>
      </c>
      <c r="AV179">
        <f t="shared" si="36"/>
        <v>1</v>
      </c>
      <c r="AW179">
        <f t="shared" si="37"/>
        <v>0</v>
      </c>
      <c r="AX179">
        <f t="shared" si="38"/>
        <v>1</v>
      </c>
      <c r="AY179">
        <v>33</v>
      </c>
      <c r="AZ179" t="s">
        <v>60</v>
      </c>
      <c r="BA179" t="s">
        <v>61</v>
      </c>
      <c r="BB179" t="s">
        <v>7</v>
      </c>
    </row>
    <row r="180" ht="252" spans="1:54">
      <c r="A180" t="s">
        <v>609</v>
      </c>
      <c r="B180" t="s">
        <v>55</v>
      </c>
      <c r="C180" t="s">
        <v>56</v>
      </c>
      <c r="D180">
        <v>3724</v>
      </c>
      <c r="E180">
        <v>1543</v>
      </c>
      <c r="F180">
        <v>3.9</v>
      </c>
      <c r="G180" t="s">
        <v>610</v>
      </c>
      <c r="H180" s="3" t="s">
        <v>611</v>
      </c>
      <c r="I180" s="3" t="s">
        <v>611</v>
      </c>
      <c r="J180">
        <f t="shared" si="26"/>
        <v>0</v>
      </c>
      <c r="K180">
        <f t="shared" si="27"/>
        <v>0</v>
      </c>
      <c r="L180">
        <f t="shared" si="28"/>
        <v>0</v>
      </c>
      <c r="M180">
        <f t="shared" si="29"/>
        <v>0</v>
      </c>
      <c r="N180">
        <f t="shared" si="30"/>
        <v>1</v>
      </c>
      <c r="O180">
        <f t="shared" si="31"/>
        <v>0</v>
      </c>
      <c r="P180">
        <f t="shared" si="32"/>
        <v>0</v>
      </c>
      <c r="Q180">
        <f t="shared" si="33"/>
        <v>1</v>
      </c>
      <c r="R180">
        <v>0</v>
      </c>
      <c r="S180">
        <v>0</v>
      </c>
      <c r="T180">
        <v>0</v>
      </c>
      <c r="U180">
        <v>0</v>
      </c>
      <c r="V180">
        <v>0</v>
      </c>
      <c r="W180">
        <v>0</v>
      </c>
      <c r="X180">
        <v>0</v>
      </c>
      <c r="Y180">
        <v>0</v>
      </c>
      <c r="Z180">
        <v>0</v>
      </c>
      <c r="AA180">
        <v>0</v>
      </c>
      <c r="AB180">
        <v>0</v>
      </c>
      <c r="AC180">
        <v>0</v>
      </c>
      <c r="AD180">
        <v>0</v>
      </c>
      <c r="AE180">
        <v>0</v>
      </c>
      <c r="AF180">
        <v>0</v>
      </c>
      <c r="AG180">
        <v>0</v>
      </c>
      <c r="AH180">
        <v>1</v>
      </c>
      <c r="AI180">
        <v>0</v>
      </c>
      <c r="AJ180">
        <v>0</v>
      </c>
      <c r="AK180">
        <v>0</v>
      </c>
      <c r="AL180">
        <v>0</v>
      </c>
      <c r="AM180">
        <v>0</v>
      </c>
      <c r="AN180">
        <v>0</v>
      </c>
      <c r="AO180">
        <v>0</v>
      </c>
      <c r="AP180">
        <v>0</v>
      </c>
      <c r="AQ180">
        <v>0</v>
      </c>
      <c r="AR180">
        <v>1</v>
      </c>
      <c r="AS180">
        <f t="shared" si="34"/>
        <v>2</v>
      </c>
      <c r="AT180">
        <f t="shared" si="35"/>
        <v>2</v>
      </c>
      <c r="AU180" s="3" t="s">
        <v>612</v>
      </c>
      <c r="AV180">
        <f t="shared" si="36"/>
        <v>1</v>
      </c>
      <c r="AW180">
        <f t="shared" si="37"/>
        <v>0</v>
      </c>
      <c r="AX180">
        <f t="shared" si="38"/>
        <v>0</v>
      </c>
      <c r="AY180">
        <v>9</v>
      </c>
      <c r="AZ180" t="s">
        <v>60</v>
      </c>
      <c r="BA180" t="s">
        <v>61</v>
      </c>
      <c r="BB180" t="s">
        <v>7</v>
      </c>
    </row>
    <row r="181" ht="409.5" spans="1:54">
      <c r="A181" t="s">
        <v>613</v>
      </c>
      <c r="B181" t="s">
        <v>55</v>
      </c>
      <c r="C181" t="s">
        <v>56</v>
      </c>
      <c r="D181">
        <v>0</v>
      </c>
      <c r="E181">
        <v>0</v>
      </c>
      <c r="F181" t="s">
        <v>614</v>
      </c>
      <c r="G181" t="s">
        <v>615</v>
      </c>
      <c r="H181" s="3" t="s">
        <v>616</v>
      </c>
      <c r="I181" s="3" t="s">
        <v>616</v>
      </c>
      <c r="J181">
        <f t="shared" si="26"/>
        <v>1</v>
      </c>
      <c r="K181">
        <f t="shared" si="27"/>
        <v>1</v>
      </c>
      <c r="L181">
        <f t="shared" si="28"/>
        <v>1</v>
      </c>
      <c r="M181">
        <f t="shared" si="29"/>
        <v>1</v>
      </c>
      <c r="N181">
        <f t="shared" si="30"/>
        <v>1</v>
      </c>
      <c r="O181">
        <f t="shared" si="31"/>
        <v>1</v>
      </c>
      <c r="P181">
        <f t="shared" si="32"/>
        <v>0</v>
      </c>
      <c r="Q181">
        <f t="shared" si="33"/>
        <v>0</v>
      </c>
      <c r="R181">
        <v>1</v>
      </c>
      <c r="S181">
        <v>0</v>
      </c>
      <c r="T181">
        <v>0</v>
      </c>
      <c r="U181">
        <v>1</v>
      </c>
      <c r="V181">
        <v>1</v>
      </c>
      <c r="W181">
        <v>1</v>
      </c>
      <c r="X181">
        <v>1</v>
      </c>
      <c r="Y181">
        <v>0</v>
      </c>
      <c r="Z181">
        <v>1</v>
      </c>
      <c r="AA181">
        <v>0</v>
      </c>
      <c r="AB181">
        <v>0</v>
      </c>
      <c r="AC181">
        <v>1</v>
      </c>
      <c r="AD181">
        <v>1</v>
      </c>
      <c r="AE181">
        <v>1</v>
      </c>
      <c r="AF181">
        <v>0</v>
      </c>
      <c r="AG181">
        <v>0</v>
      </c>
      <c r="AH181">
        <v>1</v>
      </c>
      <c r="AI181">
        <v>1</v>
      </c>
      <c r="AJ181">
        <v>0</v>
      </c>
      <c r="AK181">
        <v>0</v>
      </c>
      <c r="AL181">
        <v>0</v>
      </c>
      <c r="AM181">
        <v>0</v>
      </c>
      <c r="AN181">
        <v>0</v>
      </c>
      <c r="AO181">
        <v>0</v>
      </c>
      <c r="AP181">
        <v>0</v>
      </c>
      <c r="AQ181">
        <v>0</v>
      </c>
      <c r="AR181">
        <v>0</v>
      </c>
      <c r="AS181">
        <f t="shared" si="34"/>
        <v>6</v>
      </c>
      <c r="AT181">
        <f t="shared" si="35"/>
        <v>11</v>
      </c>
      <c r="AU181" s="3" t="s">
        <v>617</v>
      </c>
      <c r="AV181">
        <f t="shared" si="36"/>
        <v>1</v>
      </c>
      <c r="AW181">
        <f t="shared" si="37"/>
        <v>0</v>
      </c>
      <c r="AX181">
        <f t="shared" si="38"/>
        <v>1</v>
      </c>
      <c r="AY181">
        <v>0.5</v>
      </c>
      <c r="AZ181" t="s">
        <v>60</v>
      </c>
      <c r="BA181" t="s">
        <v>61</v>
      </c>
      <c r="BB181" t="s">
        <v>7</v>
      </c>
    </row>
    <row r="182" ht="409.5" spans="1:54">
      <c r="A182" t="s">
        <v>618</v>
      </c>
      <c r="B182" t="s">
        <v>55</v>
      </c>
      <c r="C182" t="s">
        <v>56</v>
      </c>
      <c r="D182">
        <v>11</v>
      </c>
      <c r="E182">
        <v>0</v>
      </c>
      <c r="F182" t="s">
        <v>619</v>
      </c>
      <c r="G182" t="s">
        <v>324</v>
      </c>
      <c r="H182" s="3" t="s">
        <v>620</v>
      </c>
      <c r="I182" s="3" t="s">
        <v>620</v>
      </c>
      <c r="J182">
        <f t="shared" si="26"/>
        <v>1</v>
      </c>
      <c r="K182">
        <f t="shared" si="27"/>
        <v>1</v>
      </c>
      <c r="L182">
        <f t="shared" si="28"/>
        <v>1</v>
      </c>
      <c r="M182">
        <f t="shared" si="29"/>
        <v>1</v>
      </c>
      <c r="N182">
        <f t="shared" si="30"/>
        <v>1</v>
      </c>
      <c r="O182">
        <f t="shared" si="31"/>
        <v>1</v>
      </c>
      <c r="P182">
        <f t="shared" si="32"/>
        <v>1</v>
      </c>
      <c r="Q182">
        <f t="shared" si="33"/>
        <v>1</v>
      </c>
      <c r="R182">
        <v>1</v>
      </c>
      <c r="S182">
        <v>0</v>
      </c>
      <c r="T182">
        <v>1</v>
      </c>
      <c r="U182">
        <v>1</v>
      </c>
      <c r="V182">
        <v>1</v>
      </c>
      <c r="W182">
        <v>1</v>
      </c>
      <c r="X182">
        <v>0</v>
      </c>
      <c r="Y182">
        <v>1</v>
      </c>
      <c r="Z182">
        <v>1</v>
      </c>
      <c r="AA182">
        <v>0</v>
      </c>
      <c r="AB182">
        <v>1</v>
      </c>
      <c r="AC182">
        <v>0</v>
      </c>
      <c r="AD182">
        <v>1</v>
      </c>
      <c r="AE182">
        <v>0</v>
      </c>
      <c r="AF182">
        <v>1</v>
      </c>
      <c r="AG182">
        <v>1</v>
      </c>
      <c r="AH182">
        <v>0</v>
      </c>
      <c r="AI182">
        <v>1</v>
      </c>
      <c r="AJ182">
        <v>1</v>
      </c>
      <c r="AK182">
        <v>1</v>
      </c>
      <c r="AL182">
        <v>0</v>
      </c>
      <c r="AM182">
        <v>0</v>
      </c>
      <c r="AN182">
        <v>0</v>
      </c>
      <c r="AO182">
        <v>0</v>
      </c>
      <c r="AP182">
        <v>1</v>
      </c>
      <c r="AQ182">
        <v>1</v>
      </c>
      <c r="AR182">
        <v>1</v>
      </c>
      <c r="AS182">
        <f t="shared" si="34"/>
        <v>8</v>
      </c>
      <c r="AT182">
        <f t="shared" si="35"/>
        <v>17</v>
      </c>
      <c r="AU182" s="3" t="s">
        <v>621</v>
      </c>
      <c r="AV182">
        <f t="shared" si="36"/>
        <v>1</v>
      </c>
      <c r="AW182">
        <f t="shared" si="37"/>
        <v>0</v>
      </c>
      <c r="AX182">
        <f t="shared" si="38"/>
        <v>1</v>
      </c>
      <c r="AY182">
        <v>32.5</v>
      </c>
      <c r="AZ182" t="s">
        <v>60</v>
      </c>
      <c r="BA182" t="s">
        <v>61</v>
      </c>
      <c r="BB182" t="s">
        <v>7</v>
      </c>
    </row>
    <row r="183" ht="101" spans="1:54">
      <c r="A183" t="s">
        <v>622</v>
      </c>
      <c r="B183" t="s">
        <v>55</v>
      </c>
      <c r="C183" t="s">
        <v>56</v>
      </c>
      <c r="D183">
        <v>1071</v>
      </c>
      <c r="E183">
        <v>38</v>
      </c>
      <c r="F183">
        <v>118.1</v>
      </c>
      <c r="G183" t="s">
        <v>623</v>
      </c>
      <c r="H183" s="3" t="s">
        <v>624</v>
      </c>
      <c r="I183" s="3" t="s">
        <v>624</v>
      </c>
      <c r="J183">
        <f t="shared" si="26"/>
        <v>0</v>
      </c>
      <c r="K183">
        <f t="shared" si="27"/>
        <v>1</v>
      </c>
      <c r="L183">
        <f t="shared" si="28"/>
        <v>0</v>
      </c>
      <c r="M183">
        <f t="shared" si="29"/>
        <v>0</v>
      </c>
      <c r="N183">
        <f t="shared" si="30"/>
        <v>0</v>
      </c>
      <c r="O183">
        <f t="shared" si="31"/>
        <v>1</v>
      </c>
      <c r="P183">
        <f t="shared" si="32"/>
        <v>0</v>
      </c>
      <c r="Q183">
        <f t="shared" si="33"/>
        <v>1</v>
      </c>
      <c r="R183">
        <v>0</v>
      </c>
      <c r="S183">
        <v>0</v>
      </c>
      <c r="T183">
        <v>0</v>
      </c>
      <c r="U183">
        <v>1</v>
      </c>
      <c r="V183">
        <v>0</v>
      </c>
      <c r="W183">
        <v>0</v>
      </c>
      <c r="X183">
        <v>0</v>
      </c>
      <c r="Y183">
        <v>0</v>
      </c>
      <c r="Z183">
        <v>0</v>
      </c>
      <c r="AA183">
        <v>0</v>
      </c>
      <c r="AB183">
        <v>0</v>
      </c>
      <c r="AC183">
        <v>0</v>
      </c>
      <c r="AD183">
        <v>0</v>
      </c>
      <c r="AE183">
        <v>0</v>
      </c>
      <c r="AF183">
        <v>0</v>
      </c>
      <c r="AG183">
        <v>0</v>
      </c>
      <c r="AH183">
        <v>0</v>
      </c>
      <c r="AI183">
        <v>1</v>
      </c>
      <c r="AJ183">
        <v>0</v>
      </c>
      <c r="AK183">
        <v>0</v>
      </c>
      <c r="AL183">
        <v>0</v>
      </c>
      <c r="AM183">
        <v>0</v>
      </c>
      <c r="AN183">
        <v>0</v>
      </c>
      <c r="AO183">
        <v>0</v>
      </c>
      <c r="AP183">
        <v>0</v>
      </c>
      <c r="AQ183">
        <v>0</v>
      </c>
      <c r="AR183">
        <v>1</v>
      </c>
      <c r="AS183">
        <f t="shared" si="34"/>
        <v>3</v>
      </c>
      <c r="AT183">
        <f t="shared" si="35"/>
        <v>3</v>
      </c>
      <c r="AU183" s="3" t="s">
        <v>625</v>
      </c>
      <c r="AV183">
        <f t="shared" si="36"/>
        <v>1</v>
      </c>
      <c r="AW183">
        <f t="shared" si="37"/>
        <v>0</v>
      </c>
      <c r="AX183">
        <f t="shared" si="38"/>
        <v>0</v>
      </c>
      <c r="AY183">
        <v>15</v>
      </c>
      <c r="AZ183" t="s">
        <v>60</v>
      </c>
      <c r="BA183" t="s">
        <v>61</v>
      </c>
      <c r="BB183" t="s">
        <v>7</v>
      </c>
    </row>
    <row r="184" ht="168" spans="1:54">
      <c r="A184" t="s">
        <v>626</v>
      </c>
      <c r="B184" t="s">
        <v>55</v>
      </c>
      <c r="C184" t="s">
        <v>56</v>
      </c>
      <c r="D184">
        <v>1525</v>
      </c>
      <c r="E184">
        <v>381</v>
      </c>
      <c r="F184">
        <v>92.5</v>
      </c>
      <c r="G184" t="s">
        <v>627</v>
      </c>
      <c r="H184" s="3" t="s">
        <v>628</v>
      </c>
      <c r="I184" s="3" t="s">
        <v>628</v>
      </c>
      <c r="J184">
        <f t="shared" si="26"/>
        <v>1</v>
      </c>
      <c r="K184">
        <f t="shared" si="27"/>
        <v>0</v>
      </c>
      <c r="L184">
        <f t="shared" si="28"/>
        <v>1</v>
      </c>
      <c r="M184">
        <f t="shared" si="29"/>
        <v>0</v>
      </c>
      <c r="N184">
        <f t="shared" si="30"/>
        <v>1</v>
      </c>
      <c r="O184">
        <f t="shared" si="31"/>
        <v>0</v>
      </c>
      <c r="P184">
        <f t="shared" si="32"/>
        <v>0</v>
      </c>
      <c r="Q184">
        <f t="shared" si="33"/>
        <v>0</v>
      </c>
      <c r="R184">
        <v>1</v>
      </c>
      <c r="S184">
        <v>1</v>
      </c>
      <c r="T184">
        <v>0</v>
      </c>
      <c r="U184">
        <v>0</v>
      </c>
      <c r="V184">
        <v>0</v>
      </c>
      <c r="W184">
        <v>0</v>
      </c>
      <c r="X184">
        <v>0</v>
      </c>
      <c r="Y184">
        <v>0</v>
      </c>
      <c r="Z184">
        <v>1</v>
      </c>
      <c r="AA184">
        <v>0</v>
      </c>
      <c r="AB184">
        <v>1</v>
      </c>
      <c r="AC184">
        <v>0</v>
      </c>
      <c r="AD184">
        <v>0</v>
      </c>
      <c r="AE184">
        <v>0</v>
      </c>
      <c r="AF184">
        <v>0</v>
      </c>
      <c r="AG184">
        <v>0</v>
      </c>
      <c r="AH184">
        <v>1</v>
      </c>
      <c r="AI184">
        <v>0</v>
      </c>
      <c r="AJ184">
        <v>0</v>
      </c>
      <c r="AK184">
        <v>0</v>
      </c>
      <c r="AL184">
        <v>0</v>
      </c>
      <c r="AM184">
        <v>0</v>
      </c>
      <c r="AN184">
        <v>0</v>
      </c>
      <c r="AO184">
        <v>0</v>
      </c>
      <c r="AP184">
        <v>0</v>
      </c>
      <c r="AQ184">
        <v>0</v>
      </c>
      <c r="AR184">
        <v>0</v>
      </c>
      <c r="AS184">
        <f t="shared" si="34"/>
        <v>3</v>
      </c>
      <c r="AT184">
        <f t="shared" si="35"/>
        <v>5</v>
      </c>
      <c r="AU184" s="3" t="s">
        <v>629</v>
      </c>
      <c r="AV184">
        <f t="shared" si="36"/>
        <v>1</v>
      </c>
      <c r="AW184">
        <f t="shared" si="37"/>
        <v>0</v>
      </c>
      <c r="AX184">
        <f t="shared" si="38"/>
        <v>0</v>
      </c>
      <c r="AY184">
        <v>14</v>
      </c>
      <c r="AZ184" t="s">
        <v>60</v>
      </c>
      <c r="BA184" t="s">
        <v>61</v>
      </c>
      <c r="BB184" t="s">
        <v>7</v>
      </c>
    </row>
    <row r="185" ht="409.5" spans="1:54">
      <c r="A185" t="s">
        <v>630</v>
      </c>
      <c r="B185" t="s">
        <v>55</v>
      </c>
      <c r="C185" t="s">
        <v>56</v>
      </c>
      <c r="D185">
        <v>21</v>
      </c>
      <c r="E185">
        <v>1</v>
      </c>
      <c r="F185" t="s">
        <v>631</v>
      </c>
      <c r="G185" t="s">
        <v>57</v>
      </c>
      <c r="H185" s="3" t="s">
        <v>632</v>
      </c>
      <c r="I185" s="3" t="s">
        <v>632</v>
      </c>
      <c r="J185">
        <f t="shared" si="26"/>
        <v>1</v>
      </c>
      <c r="K185">
        <f t="shared" si="27"/>
        <v>1</v>
      </c>
      <c r="L185">
        <f t="shared" si="28"/>
        <v>1</v>
      </c>
      <c r="M185">
        <f t="shared" si="29"/>
        <v>1</v>
      </c>
      <c r="N185">
        <f t="shared" si="30"/>
        <v>1</v>
      </c>
      <c r="O185">
        <f t="shared" si="31"/>
        <v>1</v>
      </c>
      <c r="P185">
        <f t="shared" si="32"/>
        <v>0</v>
      </c>
      <c r="Q185">
        <f t="shared" si="33"/>
        <v>1</v>
      </c>
      <c r="R185">
        <v>1</v>
      </c>
      <c r="S185">
        <v>1</v>
      </c>
      <c r="T185">
        <v>1</v>
      </c>
      <c r="U185">
        <v>1</v>
      </c>
      <c r="V185">
        <v>1</v>
      </c>
      <c r="W185">
        <v>1</v>
      </c>
      <c r="X185">
        <v>1</v>
      </c>
      <c r="Y185">
        <v>0</v>
      </c>
      <c r="Z185">
        <v>1</v>
      </c>
      <c r="AA185">
        <v>1</v>
      </c>
      <c r="AB185">
        <v>0</v>
      </c>
      <c r="AC185">
        <v>1</v>
      </c>
      <c r="AD185">
        <v>1</v>
      </c>
      <c r="AE185">
        <v>0</v>
      </c>
      <c r="AF185">
        <v>0</v>
      </c>
      <c r="AG185">
        <v>1</v>
      </c>
      <c r="AH185">
        <v>1</v>
      </c>
      <c r="AI185">
        <v>1</v>
      </c>
      <c r="AJ185">
        <v>0</v>
      </c>
      <c r="AK185">
        <v>0</v>
      </c>
      <c r="AL185">
        <v>1</v>
      </c>
      <c r="AM185">
        <v>0</v>
      </c>
      <c r="AN185">
        <v>0</v>
      </c>
      <c r="AO185">
        <v>0</v>
      </c>
      <c r="AP185">
        <v>0</v>
      </c>
      <c r="AQ185">
        <v>0</v>
      </c>
      <c r="AR185">
        <v>1</v>
      </c>
      <c r="AS185">
        <f t="shared" si="34"/>
        <v>7</v>
      </c>
      <c r="AT185">
        <f t="shared" si="35"/>
        <v>16</v>
      </c>
      <c r="AU185" s="3" t="s">
        <v>633</v>
      </c>
      <c r="AV185">
        <f t="shared" si="36"/>
        <v>1</v>
      </c>
      <c r="AW185">
        <f t="shared" si="37"/>
        <v>0</v>
      </c>
      <c r="AX185">
        <f t="shared" si="38"/>
        <v>1</v>
      </c>
      <c r="AY185">
        <v>50</v>
      </c>
      <c r="AZ185" t="s">
        <v>60</v>
      </c>
      <c r="BA185" t="s">
        <v>61</v>
      </c>
      <c r="BB185" t="s">
        <v>7</v>
      </c>
    </row>
    <row r="186" ht="409.5" spans="1:54">
      <c r="A186" t="s">
        <v>634</v>
      </c>
      <c r="B186" t="s">
        <v>55</v>
      </c>
      <c r="C186" t="s">
        <v>56</v>
      </c>
      <c r="D186">
        <v>20</v>
      </c>
      <c r="E186">
        <v>0</v>
      </c>
      <c r="F186" t="s">
        <v>635</v>
      </c>
      <c r="G186" t="s">
        <v>57</v>
      </c>
      <c r="H186" s="3" t="s">
        <v>636</v>
      </c>
      <c r="I186" s="3" t="s">
        <v>636</v>
      </c>
      <c r="J186">
        <f t="shared" si="26"/>
        <v>0</v>
      </c>
      <c r="K186">
        <f t="shared" si="27"/>
        <v>1</v>
      </c>
      <c r="L186">
        <f t="shared" si="28"/>
        <v>0</v>
      </c>
      <c r="M186">
        <f t="shared" si="29"/>
        <v>0</v>
      </c>
      <c r="N186">
        <f t="shared" si="30"/>
        <v>1</v>
      </c>
      <c r="O186">
        <f t="shared" si="31"/>
        <v>1</v>
      </c>
      <c r="P186">
        <f t="shared" si="32"/>
        <v>0</v>
      </c>
      <c r="Q186">
        <f t="shared" si="33"/>
        <v>1</v>
      </c>
      <c r="R186">
        <v>0</v>
      </c>
      <c r="S186">
        <v>0</v>
      </c>
      <c r="T186">
        <v>0</v>
      </c>
      <c r="U186">
        <v>0</v>
      </c>
      <c r="V186">
        <v>0</v>
      </c>
      <c r="W186">
        <v>1</v>
      </c>
      <c r="X186">
        <v>0</v>
      </c>
      <c r="Y186">
        <v>0</v>
      </c>
      <c r="Z186">
        <v>0</v>
      </c>
      <c r="AA186">
        <v>0</v>
      </c>
      <c r="AB186">
        <v>0</v>
      </c>
      <c r="AC186">
        <v>0</v>
      </c>
      <c r="AD186">
        <v>0</v>
      </c>
      <c r="AE186">
        <v>0</v>
      </c>
      <c r="AF186">
        <v>0</v>
      </c>
      <c r="AG186">
        <v>0</v>
      </c>
      <c r="AH186">
        <v>1</v>
      </c>
      <c r="AI186">
        <v>1</v>
      </c>
      <c r="AJ186">
        <v>0</v>
      </c>
      <c r="AK186">
        <v>0</v>
      </c>
      <c r="AL186">
        <v>1</v>
      </c>
      <c r="AM186">
        <v>0</v>
      </c>
      <c r="AN186">
        <v>0</v>
      </c>
      <c r="AO186">
        <v>0</v>
      </c>
      <c r="AP186">
        <v>0</v>
      </c>
      <c r="AQ186">
        <v>0</v>
      </c>
      <c r="AR186">
        <v>1</v>
      </c>
      <c r="AS186">
        <f t="shared" si="34"/>
        <v>4</v>
      </c>
      <c r="AT186">
        <f t="shared" si="35"/>
        <v>5</v>
      </c>
      <c r="AU186" s="3" t="s">
        <v>637</v>
      </c>
      <c r="AV186">
        <f t="shared" si="36"/>
        <v>1</v>
      </c>
      <c r="AW186">
        <f t="shared" si="37"/>
        <v>0</v>
      </c>
      <c r="AX186">
        <f t="shared" si="38"/>
        <v>0</v>
      </c>
      <c r="AY186">
        <v>41</v>
      </c>
      <c r="AZ186" t="s">
        <v>60</v>
      </c>
      <c r="BA186" t="s">
        <v>61</v>
      </c>
      <c r="BB186" t="s">
        <v>7</v>
      </c>
    </row>
    <row r="187" ht="409.5" spans="1:54">
      <c r="A187" t="s">
        <v>638</v>
      </c>
      <c r="B187" t="s">
        <v>55</v>
      </c>
      <c r="C187" t="s">
        <v>56</v>
      </c>
      <c r="D187">
        <v>1042</v>
      </c>
      <c r="E187">
        <v>41</v>
      </c>
      <c r="F187">
        <v>52.2</v>
      </c>
      <c r="G187" t="s">
        <v>627</v>
      </c>
      <c r="H187" s="3" t="s">
        <v>639</v>
      </c>
      <c r="I187" s="3" t="s">
        <v>639</v>
      </c>
      <c r="J187">
        <f t="shared" si="26"/>
        <v>1</v>
      </c>
      <c r="K187">
        <f t="shared" si="27"/>
        <v>1</v>
      </c>
      <c r="L187">
        <f t="shared" si="28"/>
        <v>1</v>
      </c>
      <c r="M187">
        <f t="shared" si="29"/>
        <v>1</v>
      </c>
      <c r="N187">
        <f t="shared" si="30"/>
        <v>1</v>
      </c>
      <c r="O187">
        <f t="shared" si="31"/>
        <v>1</v>
      </c>
      <c r="P187">
        <f t="shared" si="32"/>
        <v>1</v>
      </c>
      <c r="Q187">
        <f t="shared" si="33"/>
        <v>1</v>
      </c>
      <c r="R187">
        <v>1</v>
      </c>
      <c r="S187">
        <v>1</v>
      </c>
      <c r="T187">
        <v>1</v>
      </c>
      <c r="U187">
        <v>1</v>
      </c>
      <c r="V187">
        <v>1</v>
      </c>
      <c r="W187">
        <v>1</v>
      </c>
      <c r="X187">
        <v>1</v>
      </c>
      <c r="Y187">
        <v>1</v>
      </c>
      <c r="Z187">
        <v>1</v>
      </c>
      <c r="AA187">
        <v>0</v>
      </c>
      <c r="AB187">
        <v>1</v>
      </c>
      <c r="AC187">
        <v>1</v>
      </c>
      <c r="AD187">
        <v>1</v>
      </c>
      <c r="AE187">
        <v>0</v>
      </c>
      <c r="AF187">
        <v>1</v>
      </c>
      <c r="AG187">
        <v>1</v>
      </c>
      <c r="AH187">
        <v>1</v>
      </c>
      <c r="AI187">
        <v>1</v>
      </c>
      <c r="AJ187">
        <v>1</v>
      </c>
      <c r="AK187">
        <v>1</v>
      </c>
      <c r="AL187">
        <v>1</v>
      </c>
      <c r="AM187">
        <v>0</v>
      </c>
      <c r="AN187">
        <v>1</v>
      </c>
      <c r="AO187">
        <v>0</v>
      </c>
      <c r="AP187">
        <v>1</v>
      </c>
      <c r="AQ187">
        <v>1</v>
      </c>
      <c r="AR187">
        <v>1</v>
      </c>
      <c r="AS187">
        <f t="shared" si="34"/>
        <v>8</v>
      </c>
      <c r="AT187">
        <f t="shared" si="35"/>
        <v>23</v>
      </c>
      <c r="AU187" s="3" t="s">
        <v>554</v>
      </c>
      <c r="AV187">
        <f t="shared" si="36"/>
        <v>1</v>
      </c>
      <c r="AW187">
        <f t="shared" si="37"/>
        <v>0</v>
      </c>
      <c r="AX187">
        <f t="shared" si="38"/>
        <v>1</v>
      </c>
      <c r="AY187">
        <v>195.5</v>
      </c>
      <c r="AZ187" t="s">
        <v>60</v>
      </c>
      <c r="BA187" t="s">
        <v>61</v>
      </c>
      <c r="BB187" t="s">
        <v>7</v>
      </c>
    </row>
    <row r="188" ht="404" spans="1:54">
      <c r="A188" t="s">
        <v>640</v>
      </c>
      <c r="B188" t="s">
        <v>55</v>
      </c>
      <c r="C188" t="s">
        <v>56</v>
      </c>
      <c r="D188">
        <v>331</v>
      </c>
      <c r="E188">
        <v>16</v>
      </c>
      <c r="F188">
        <v>77.5</v>
      </c>
      <c r="G188" t="s">
        <v>641</v>
      </c>
      <c r="H188" s="3" t="s">
        <v>642</v>
      </c>
      <c r="I188" s="3" t="s">
        <v>642</v>
      </c>
      <c r="J188">
        <f t="shared" si="26"/>
        <v>1</v>
      </c>
      <c r="K188">
        <f t="shared" si="27"/>
        <v>0</v>
      </c>
      <c r="L188">
        <f t="shared" si="28"/>
        <v>1</v>
      </c>
      <c r="M188">
        <f t="shared" si="29"/>
        <v>0</v>
      </c>
      <c r="N188">
        <f t="shared" si="30"/>
        <v>1</v>
      </c>
      <c r="O188">
        <f t="shared" si="31"/>
        <v>1</v>
      </c>
      <c r="P188">
        <f t="shared" si="32"/>
        <v>0</v>
      </c>
      <c r="Q188">
        <f t="shared" si="33"/>
        <v>1</v>
      </c>
      <c r="R188">
        <v>1</v>
      </c>
      <c r="S188">
        <v>1</v>
      </c>
      <c r="T188">
        <v>0</v>
      </c>
      <c r="U188">
        <v>0</v>
      </c>
      <c r="V188">
        <v>0</v>
      </c>
      <c r="W188">
        <v>0</v>
      </c>
      <c r="X188">
        <v>0</v>
      </c>
      <c r="Y188">
        <v>0</v>
      </c>
      <c r="Z188">
        <v>0</v>
      </c>
      <c r="AA188">
        <v>1</v>
      </c>
      <c r="AB188">
        <v>1</v>
      </c>
      <c r="AC188">
        <v>0</v>
      </c>
      <c r="AD188">
        <v>0</v>
      </c>
      <c r="AE188">
        <v>0</v>
      </c>
      <c r="AF188">
        <v>0</v>
      </c>
      <c r="AG188">
        <v>0</v>
      </c>
      <c r="AH188">
        <v>1</v>
      </c>
      <c r="AI188">
        <v>1</v>
      </c>
      <c r="AJ188">
        <v>0</v>
      </c>
      <c r="AK188">
        <v>0</v>
      </c>
      <c r="AL188">
        <v>0</v>
      </c>
      <c r="AM188">
        <v>0</v>
      </c>
      <c r="AN188">
        <v>0</v>
      </c>
      <c r="AO188">
        <v>0</v>
      </c>
      <c r="AP188">
        <v>0</v>
      </c>
      <c r="AQ188">
        <v>0</v>
      </c>
      <c r="AR188">
        <v>1</v>
      </c>
      <c r="AS188">
        <f t="shared" si="34"/>
        <v>5</v>
      </c>
      <c r="AT188">
        <f t="shared" si="35"/>
        <v>7</v>
      </c>
      <c r="AU188" s="3" t="s">
        <v>643</v>
      </c>
      <c r="AV188">
        <f t="shared" si="36"/>
        <v>1</v>
      </c>
      <c r="AW188">
        <f t="shared" si="37"/>
        <v>0</v>
      </c>
      <c r="AX188">
        <f t="shared" si="38"/>
        <v>0</v>
      </c>
      <c r="AY188">
        <v>13</v>
      </c>
      <c r="AZ188" t="s">
        <v>60</v>
      </c>
      <c r="BA188" t="s">
        <v>61</v>
      </c>
      <c r="BB188" t="s">
        <v>7</v>
      </c>
    </row>
    <row r="189" ht="409.5" spans="1:54">
      <c r="A189" t="s">
        <v>644</v>
      </c>
      <c r="B189" t="s">
        <v>55</v>
      </c>
      <c r="C189" t="s">
        <v>56</v>
      </c>
      <c r="D189">
        <v>243</v>
      </c>
      <c r="E189">
        <v>21</v>
      </c>
      <c r="F189">
        <v>34.8</v>
      </c>
      <c r="G189" t="s">
        <v>645</v>
      </c>
      <c r="H189" s="3" t="s">
        <v>646</v>
      </c>
      <c r="I189" s="3" t="s">
        <v>646</v>
      </c>
      <c r="J189">
        <f t="shared" si="26"/>
        <v>0</v>
      </c>
      <c r="K189">
        <f t="shared" si="27"/>
        <v>1</v>
      </c>
      <c r="L189">
        <f t="shared" si="28"/>
        <v>1</v>
      </c>
      <c r="M189">
        <f t="shared" si="29"/>
        <v>0</v>
      </c>
      <c r="N189">
        <f t="shared" si="30"/>
        <v>1</v>
      </c>
      <c r="O189">
        <f t="shared" si="31"/>
        <v>1</v>
      </c>
      <c r="P189">
        <f t="shared" si="32"/>
        <v>1</v>
      </c>
      <c r="Q189">
        <f t="shared" si="33"/>
        <v>1</v>
      </c>
      <c r="R189">
        <v>0</v>
      </c>
      <c r="S189">
        <v>0</v>
      </c>
      <c r="T189">
        <v>0</v>
      </c>
      <c r="U189">
        <v>1</v>
      </c>
      <c r="V189">
        <v>1</v>
      </c>
      <c r="W189">
        <v>1</v>
      </c>
      <c r="X189">
        <v>1</v>
      </c>
      <c r="Y189">
        <v>0</v>
      </c>
      <c r="Z189">
        <v>1</v>
      </c>
      <c r="AA189">
        <v>1</v>
      </c>
      <c r="AB189">
        <v>0</v>
      </c>
      <c r="AC189">
        <v>1</v>
      </c>
      <c r="AD189">
        <v>0</v>
      </c>
      <c r="AE189">
        <v>0</v>
      </c>
      <c r="AF189">
        <v>0</v>
      </c>
      <c r="AG189">
        <v>1</v>
      </c>
      <c r="AH189">
        <v>1</v>
      </c>
      <c r="AI189">
        <v>1</v>
      </c>
      <c r="AJ189">
        <v>0</v>
      </c>
      <c r="AK189">
        <v>0</v>
      </c>
      <c r="AL189">
        <v>1</v>
      </c>
      <c r="AM189">
        <v>0</v>
      </c>
      <c r="AN189">
        <v>1</v>
      </c>
      <c r="AO189">
        <v>0</v>
      </c>
      <c r="AP189">
        <v>0</v>
      </c>
      <c r="AQ189">
        <v>1</v>
      </c>
      <c r="AR189">
        <v>1</v>
      </c>
      <c r="AS189">
        <f t="shared" si="34"/>
        <v>6</v>
      </c>
      <c r="AT189">
        <f t="shared" si="35"/>
        <v>14</v>
      </c>
      <c r="AU189" s="3" t="s">
        <v>647</v>
      </c>
      <c r="AV189">
        <f t="shared" si="36"/>
        <v>1</v>
      </c>
      <c r="AW189">
        <f t="shared" si="37"/>
        <v>0</v>
      </c>
      <c r="AX189">
        <f t="shared" si="38"/>
        <v>1</v>
      </c>
      <c r="AY189">
        <v>-6</v>
      </c>
      <c r="AZ189" t="s">
        <v>133</v>
      </c>
      <c r="BA189" t="s">
        <v>134</v>
      </c>
      <c r="BB189" t="s">
        <v>7</v>
      </c>
    </row>
    <row r="190" ht="152" spans="1:54">
      <c r="A190" t="s">
        <v>648</v>
      </c>
      <c r="B190" t="s">
        <v>55</v>
      </c>
      <c r="C190" t="s">
        <v>56</v>
      </c>
      <c r="D190">
        <v>50</v>
      </c>
      <c r="E190">
        <v>5</v>
      </c>
      <c r="F190">
        <v>55.3</v>
      </c>
      <c r="G190" t="s">
        <v>649</v>
      </c>
      <c r="H190" s="3" t="s">
        <v>650</v>
      </c>
      <c r="I190" s="3" t="s">
        <v>650</v>
      </c>
      <c r="J190">
        <f t="shared" si="26"/>
        <v>0</v>
      </c>
      <c r="K190">
        <f t="shared" si="27"/>
        <v>0</v>
      </c>
      <c r="L190">
        <f t="shared" si="28"/>
        <v>0</v>
      </c>
      <c r="M190">
        <f t="shared" si="29"/>
        <v>0</v>
      </c>
      <c r="N190">
        <f t="shared" si="30"/>
        <v>0</v>
      </c>
      <c r="O190">
        <f t="shared" si="31"/>
        <v>1</v>
      </c>
      <c r="P190">
        <f t="shared" si="32"/>
        <v>1</v>
      </c>
      <c r="Q190">
        <f t="shared" si="33"/>
        <v>0</v>
      </c>
      <c r="R190">
        <v>0</v>
      </c>
      <c r="S190">
        <v>0</v>
      </c>
      <c r="T190">
        <v>0</v>
      </c>
      <c r="U190">
        <v>0</v>
      </c>
      <c r="V190">
        <v>0</v>
      </c>
      <c r="W190">
        <v>0</v>
      </c>
      <c r="X190">
        <v>0</v>
      </c>
      <c r="Y190">
        <v>0</v>
      </c>
      <c r="Z190">
        <v>0</v>
      </c>
      <c r="AA190">
        <v>0</v>
      </c>
      <c r="AB190">
        <v>0</v>
      </c>
      <c r="AC190">
        <v>0</v>
      </c>
      <c r="AD190">
        <v>0</v>
      </c>
      <c r="AE190">
        <v>0</v>
      </c>
      <c r="AF190">
        <v>0</v>
      </c>
      <c r="AG190">
        <v>0</v>
      </c>
      <c r="AH190">
        <v>0</v>
      </c>
      <c r="AI190">
        <v>1</v>
      </c>
      <c r="AJ190">
        <v>0</v>
      </c>
      <c r="AK190">
        <v>0</v>
      </c>
      <c r="AL190">
        <v>0</v>
      </c>
      <c r="AM190">
        <v>0</v>
      </c>
      <c r="AN190">
        <v>1</v>
      </c>
      <c r="AO190">
        <v>0</v>
      </c>
      <c r="AP190">
        <v>0</v>
      </c>
      <c r="AQ190">
        <v>0</v>
      </c>
      <c r="AR190">
        <v>0</v>
      </c>
      <c r="AS190">
        <f t="shared" si="34"/>
        <v>2</v>
      </c>
      <c r="AT190">
        <f t="shared" si="35"/>
        <v>2</v>
      </c>
      <c r="AU190" s="3" t="s">
        <v>651</v>
      </c>
      <c r="AV190">
        <f t="shared" si="36"/>
        <v>1</v>
      </c>
      <c r="AW190">
        <f t="shared" si="37"/>
        <v>0</v>
      </c>
      <c r="AX190">
        <f t="shared" si="38"/>
        <v>0</v>
      </c>
      <c r="AY190">
        <v>0</v>
      </c>
      <c r="AZ190" t="s">
        <v>147</v>
      </c>
      <c r="BA190" t="s">
        <v>148</v>
      </c>
      <c r="BB190" t="s">
        <v>7</v>
      </c>
    </row>
    <row r="191" ht="320" spans="1:54">
      <c r="A191" t="s">
        <v>652</v>
      </c>
      <c r="B191" t="s">
        <v>55</v>
      </c>
      <c r="C191" t="s">
        <v>56</v>
      </c>
      <c r="D191">
        <v>534</v>
      </c>
      <c r="E191">
        <v>6</v>
      </c>
      <c r="F191">
        <v>113.2</v>
      </c>
      <c r="G191" t="s">
        <v>653</v>
      </c>
      <c r="H191" s="3" t="s">
        <v>654</v>
      </c>
      <c r="I191" s="3" t="s">
        <v>654</v>
      </c>
      <c r="J191">
        <f t="shared" si="26"/>
        <v>0</v>
      </c>
      <c r="K191">
        <f t="shared" si="27"/>
        <v>0</v>
      </c>
      <c r="L191">
        <f t="shared" si="28"/>
        <v>0</v>
      </c>
      <c r="M191">
        <f t="shared" si="29"/>
        <v>1</v>
      </c>
      <c r="N191">
        <f t="shared" si="30"/>
        <v>1</v>
      </c>
      <c r="O191">
        <f t="shared" si="31"/>
        <v>1</v>
      </c>
      <c r="P191">
        <f t="shared" si="32"/>
        <v>0</v>
      </c>
      <c r="Q191">
        <f t="shared" si="33"/>
        <v>1</v>
      </c>
      <c r="R191">
        <v>0</v>
      </c>
      <c r="S191">
        <v>0</v>
      </c>
      <c r="T191">
        <v>0</v>
      </c>
      <c r="U191">
        <v>0</v>
      </c>
      <c r="V191">
        <v>0</v>
      </c>
      <c r="W191">
        <v>0</v>
      </c>
      <c r="X191">
        <v>0</v>
      </c>
      <c r="Y191">
        <v>0</v>
      </c>
      <c r="Z191">
        <v>0</v>
      </c>
      <c r="AA191">
        <v>0</v>
      </c>
      <c r="AB191">
        <v>0</v>
      </c>
      <c r="AC191">
        <v>0</v>
      </c>
      <c r="AD191">
        <v>1</v>
      </c>
      <c r="AE191">
        <v>1</v>
      </c>
      <c r="AF191">
        <v>1</v>
      </c>
      <c r="AG191">
        <v>0</v>
      </c>
      <c r="AH191">
        <v>1</v>
      </c>
      <c r="AI191">
        <v>0</v>
      </c>
      <c r="AJ191">
        <v>0</v>
      </c>
      <c r="AK191">
        <v>0</v>
      </c>
      <c r="AL191">
        <v>1</v>
      </c>
      <c r="AM191">
        <v>0</v>
      </c>
      <c r="AN191">
        <v>0</v>
      </c>
      <c r="AO191">
        <v>0</v>
      </c>
      <c r="AP191">
        <v>0</v>
      </c>
      <c r="AQ191">
        <v>0</v>
      </c>
      <c r="AR191">
        <v>1</v>
      </c>
      <c r="AS191">
        <f t="shared" si="34"/>
        <v>4</v>
      </c>
      <c r="AT191">
        <f t="shared" si="35"/>
        <v>6</v>
      </c>
      <c r="AU191" s="3" t="s">
        <v>655</v>
      </c>
      <c r="AV191">
        <f t="shared" si="36"/>
        <v>1</v>
      </c>
      <c r="AW191">
        <f t="shared" si="37"/>
        <v>0</v>
      </c>
      <c r="AX191">
        <f t="shared" si="38"/>
        <v>0</v>
      </c>
      <c r="AY191">
        <v>18.5</v>
      </c>
      <c r="AZ191" t="s">
        <v>60</v>
      </c>
      <c r="BA191" t="s">
        <v>61</v>
      </c>
      <c r="BB191" t="s">
        <v>7</v>
      </c>
    </row>
    <row r="192" ht="135" spans="1:54">
      <c r="A192" t="s">
        <v>656</v>
      </c>
      <c r="B192" t="s">
        <v>55</v>
      </c>
      <c r="C192" t="s">
        <v>56</v>
      </c>
      <c r="D192">
        <v>9</v>
      </c>
      <c r="E192">
        <v>1</v>
      </c>
      <c r="F192" t="s">
        <v>657</v>
      </c>
      <c r="G192" t="s">
        <v>57</v>
      </c>
      <c r="H192" s="3" t="s">
        <v>658</v>
      </c>
      <c r="I192" s="3" t="s">
        <v>658</v>
      </c>
      <c r="J192">
        <f t="shared" si="26"/>
        <v>1</v>
      </c>
      <c r="K192">
        <f t="shared" si="27"/>
        <v>0</v>
      </c>
      <c r="L192">
        <f t="shared" si="28"/>
        <v>1</v>
      </c>
      <c r="M192">
        <f t="shared" si="29"/>
        <v>1</v>
      </c>
      <c r="N192">
        <f t="shared" si="30"/>
        <v>1</v>
      </c>
      <c r="O192">
        <f t="shared" si="31"/>
        <v>0</v>
      </c>
      <c r="P192">
        <f t="shared" si="32"/>
        <v>0</v>
      </c>
      <c r="Q192">
        <f t="shared" si="33"/>
        <v>0</v>
      </c>
      <c r="R192">
        <v>1</v>
      </c>
      <c r="S192">
        <v>1</v>
      </c>
      <c r="T192">
        <v>0</v>
      </c>
      <c r="U192">
        <v>0</v>
      </c>
      <c r="V192">
        <v>0</v>
      </c>
      <c r="W192">
        <v>0</v>
      </c>
      <c r="X192">
        <v>0</v>
      </c>
      <c r="Y192">
        <v>0</v>
      </c>
      <c r="Z192">
        <v>0</v>
      </c>
      <c r="AA192">
        <v>1</v>
      </c>
      <c r="AB192">
        <v>1</v>
      </c>
      <c r="AC192">
        <v>0</v>
      </c>
      <c r="AD192">
        <v>1</v>
      </c>
      <c r="AE192">
        <v>1</v>
      </c>
      <c r="AF192">
        <v>0</v>
      </c>
      <c r="AG192">
        <v>0</v>
      </c>
      <c r="AH192">
        <v>1</v>
      </c>
      <c r="AI192">
        <v>0</v>
      </c>
      <c r="AJ192">
        <v>0</v>
      </c>
      <c r="AK192">
        <v>0</v>
      </c>
      <c r="AL192">
        <v>0</v>
      </c>
      <c r="AM192">
        <v>0</v>
      </c>
      <c r="AN192">
        <v>0</v>
      </c>
      <c r="AO192">
        <v>0</v>
      </c>
      <c r="AP192">
        <v>0</v>
      </c>
      <c r="AQ192">
        <v>0</v>
      </c>
      <c r="AR192">
        <v>0</v>
      </c>
      <c r="AS192">
        <f t="shared" si="34"/>
        <v>4</v>
      </c>
      <c r="AT192">
        <f t="shared" si="35"/>
        <v>7</v>
      </c>
      <c r="AU192" s="3" t="s">
        <v>659</v>
      </c>
      <c r="AV192">
        <f t="shared" si="36"/>
        <v>1</v>
      </c>
      <c r="AW192">
        <f t="shared" si="37"/>
        <v>0</v>
      </c>
      <c r="AX192">
        <f t="shared" si="38"/>
        <v>0</v>
      </c>
      <c r="AY192">
        <v>8</v>
      </c>
      <c r="AZ192" t="s">
        <v>60</v>
      </c>
      <c r="BA192" t="s">
        <v>61</v>
      </c>
      <c r="BB192" t="s">
        <v>7</v>
      </c>
    </row>
    <row r="193" ht="118" spans="1:54">
      <c r="A193" t="s">
        <v>660</v>
      </c>
      <c r="B193" t="s">
        <v>55</v>
      </c>
      <c r="C193" t="s">
        <v>56</v>
      </c>
      <c r="D193">
        <v>70</v>
      </c>
      <c r="E193">
        <v>39</v>
      </c>
      <c r="F193">
        <v>195.5</v>
      </c>
      <c r="G193" t="s">
        <v>661</v>
      </c>
      <c r="H193" s="3" t="s">
        <v>662</v>
      </c>
      <c r="I193" s="3" t="s">
        <v>662</v>
      </c>
      <c r="J193">
        <f t="shared" si="26"/>
        <v>0</v>
      </c>
      <c r="K193">
        <f t="shared" si="27"/>
        <v>0</v>
      </c>
      <c r="L193">
        <f t="shared" si="28"/>
        <v>0</v>
      </c>
      <c r="M193">
        <f t="shared" si="29"/>
        <v>0</v>
      </c>
      <c r="N193">
        <f t="shared" si="30"/>
        <v>0</v>
      </c>
      <c r="O193">
        <f t="shared" si="31"/>
        <v>0</v>
      </c>
      <c r="P193">
        <f t="shared" si="32"/>
        <v>0</v>
      </c>
      <c r="Q193">
        <f t="shared" si="3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f t="shared" si="34"/>
        <v>0</v>
      </c>
      <c r="AT193">
        <f t="shared" si="35"/>
        <v>0</v>
      </c>
      <c r="AU193" s="3" t="s">
        <v>118</v>
      </c>
      <c r="AV193">
        <f t="shared" si="36"/>
        <v>0</v>
      </c>
      <c r="AW193">
        <f t="shared" si="37"/>
        <v>1</v>
      </c>
      <c r="AX193">
        <f t="shared" si="38"/>
        <v>0</v>
      </c>
      <c r="AY193">
        <v>0</v>
      </c>
      <c r="AZ193" t="s">
        <v>147</v>
      </c>
      <c r="BA193" t="s">
        <v>148</v>
      </c>
      <c r="BB193" t="s">
        <v>7</v>
      </c>
    </row>
    <row r="194" ht="202" spans="1:54">
      <c r="A194" t="s">
        <v>663</v>
      </c>
      <c r="B194" t="s">
        <v>55</v>
      </c>
      <c r="C194" t="s">
        <v>116</v>
      </c>
      <c r="D194">
        <v>171</v>
      </c>
      <c r="E194">
        <v>11</v>
      </c>
      <c r="F194">
        <v>119.3</v>
      </c>
      <c r="G194" t="s">
        <v>664</v>
      </c>
      <c r="H194" s="3" t="s">
        <v>665</v>
      </c>
      <c r="I194" s="3" t="s">
        <v>665</v>
      </c>
      <c r="J194">
        <f t="shared" ref="J194:J257" si="39">IF(SUM(R194:T194)&gt;0,1,0)</f>
        <v>0</v>
      </c>
      <c r="K194">
        <f t="shared" ref="K194:K257" si="40">IF(SUM(U194:Y194)&gt;0,1,0)</f>
        <v>1</v>
      </c>
      <c r="L194">
        <f t="shared" ref="L194:L257" si="41">IF(SUM(Z194:AC194)&gt;0,1,0)</f>
        <v>0</v>
      </c>
      <c r="M194">
        <f t="shared" ref="M194:M257" si="42">IF(SUM(AD194:AF194)&gt;0,1,0)</f>
        <v>1</v>
      </c>
      <c r="N194">
        <f t="shared" ref="N194:N257" si="43">IF(SUM(AG194:AH194)&gt;0,1,0)</f>
        <v>0</v>
      </c>
      <c r="O194">
        <f t="shared" ref="O194:O257" si="44">IF(SUM(AI194:AL194)&gt;0,1,0)</f>
        <v>0</v>
      </c>
      <c r="P194">
        <f t="shared" ref="P194:P257" si="45">IF(SUM(AM194:AQ194)&gt;0,1,0)</f>
        <v>0</v>
      </c>
      <c r="Q194">
        <f t="shared" ref="Q194:Q257" si="46">IF(AR194&gt;0,1,0)</f>
        <v>0</v>
      </c>
      <c r="R194">
        <v>0</v>
      </c>
      <c r="S194">
        <v>0</v>
      </c>
      <c r="T194">
        <v>0</v>
      </c>
      <c r="U194">
        <v>1</v>
      </c>
      <c r="V194">
        <v>1</v>
      </c>
      <c r="W194">
        <v>1</v>
      </c>
      <c r="X194">
        <v>0</v>
      </c>
      <c r="Y194">
        <v>1</v>
      </c>
      <c r="Z194">
        <v>0</v>
      </c>
      <c r="AA194">
        <v>0</v>
      </c>
      <c r="AB194">
        <v>0</v>
      </c>
      <c r="AC194">
        <v>0</v>
      </c>
      <c r="AD194">
        <v>1</v>
      </c>
      <c r="AE194">
        <v>0</v>
      </c>
      <c r="AF194">
        <v>0</v>
      </c>
      <c r="AG194">
        <v>0</v>
      </c>
      <c r="AH194">
        <v>0</v>
      </c>
      <c r="AI194">
        <v>0</v>
      </c>
      <c r="AJ194">
        <v>0</v>
      </c>
      <c r="AK194">
        <v>0</v>
      </c>
      <c r="AL194">
        <v>0</v>
      </c>
      <c r="AM194">
        <v>0</v>
      </c>
      <c r="AN194">
        <v>0</v>
      </c>
      <c r="AO194">
        <v>0</v>
      </c>
      <c r="AP194">
        <v>0</v>
      </c>
      <c r="AQ194">
        <v>0</v>
      </c>
      <c r="AR194">
        <v>0</v>
      </c>
      <c r="AS194">
        <f t="shared" ref="AS194:AS257" si="47">SUM(J194:Q194)</f>
        <v>2</v>
      </c>
      <c r="AT194">
        <f t="shared" ref="AT194:AT257" si="48">SUM(R194:AR194)</f>
        <v>5</v>
      </c>
      <c r="AU194" s="3" t="s">
        <v>666</v>
      </c>
      <c r="AV194">
        <f t="shared" ref="AV194:AV257" si="49">IF(AT194&gt;0,1,0)</f>
        <v>1</v>
      </c>
      <c r="AW194">
        <f t="shared" ref="AW194:AW257" si="50">IF(AT194=0,1,0)</f>
        <v>0</v>
      </c>
      <c r="AX194">
        <f t="shared" ref="AX194:AX257" si="51">IF(AT194&gt;=8,1,0)</f>
        <v>0</v>
      </c>
      <c r="AY194">
        <v>7</v>
      </c>
      <c r="AZ194" t="s">
        <v>60</v>
      </c>
      <c r="BA194" t="s">
        <v>61</v>
      </c>
      <c r="BB194" t="s">
        <v>7</v>
      </c>
    </row>
    <row r="195" ht="409.5" spans="1:54">
      <c r="A195" t="s">
        <v>667</v>
      </c>
      <c r="B195" t="s">
        <v>55</v>
      </c>
      <c r="C195" t="s">
        <v>116</v>
      </c>
      <c r="D195">
        <v>18</v>
      </c>
      <c r="E195">
        <v>0</v>
      </c>
      <c r="F195" t="s">
        <v>668</v>
      </c>
      <c r="G195" t="s">
        <v>669</v>
      </c>
      <c r="H195" s="3" t="s">
        <v>670</v>
      </c>
      <c r="I195" s="3" t="s">
        <v>670</v>
      </c>
      <c r="J195">
        <f t="shared" si="39"/>
        <v>1</v>
      </c>
      <c r="K195">
        <f t="shared" si="40"/>
        <v>1</v>
      </c>
      <c r="L195">
        <f t="shared" si="41"/>
        <v>1</v>
      </c>
      <c r="M195">
        <f t="shared" si="42"/>
        <v>1</v>
      </c>
      <c r="N195">
        <f t="shared" si="43"/>
        <v>1</v>
      </c>
      <c r="O195">
        <f t="shared" si="44"/>
        <v>1</v>
      </c>
      <c r="P195">
        <f t="shared" si="45"/>
        <v>0</v>
      </c>
      <c r="Q195">
        <f t="shared" si="46"/>
        <v>0</v>
      </c>
      <c r="R195">
        <v>1</v>
      </c>
      <c r="S195">
        <v>0</v>
      </c>
      <c r="T195">
        <v>1</v>
      </c>
      <c r="U195">
        <v>1</v>
      </c>
      <c r="V195">
        <v>1</v>
      </c>
      <c r="W195">
        <v>1</v>
      </c>
      <c r="X195">
        <v>1</v>
      </c>
      <c r="Y195">
        <v>0</v>
      </c>
      <c r="Z195">
        <v>1</v>
      </c>
      <c r="AA195">
        <v>1</v>
      </c>
      <c r="AB195">
        <v>1</v>
      </c>
      <c r="AC195">
        <v>1</v>
      </c>
      <c r="AD195">
        <v>0</v>
      </c>
      <c r="AE195">
        <v>1</v>
      </c>
      <c r="AF195">
        <v>0</v>
      </c>
      <c r="AG195">
        <v>1</v>
      </c>
      <c r="AH195">
        <v>1</v>
      </c>
      <c r="AI195">
        <v>1</v>
      </c>
      <c r="AJ195">
        <v>1</v>
      </c>
      <c r="AK195">
        <v>0</v>
      </c>
      <c r="AL195">
        <v>1</v>
      </c>
      <c r="AM195">
        <v>0</v>
      </c>
      <c r="AN195">
        <v>0</v>
      </c>
      <c r="AO195">
        <v>0</v>
      </c>
      <c r="AP195">
        <v>0</v>
      </c>
      <c r="AQ195">
        <v>0</v>
      </c>
      <c r="AR195">
        <v>0</v>
      </c>
      <c r="AS195">
        <f t="shared" si="47"/>
        <v>6</v>
      </c>
      <c r="AT195">
        <f t="shared" si="48"/>
        <v>16</v>
      </c>
      <c r="AU195" s="3" t="s">
        <v>671</v>
      </c>
      <c r="AV195">
        <f t="shared" si="49"/>
        <v>1</v>
      </c>
      <c r="AW195">
        <f t="shared" si="50"/>
        <v>0</v>
      </c>
      <c r="AX195">
        <f t="shared" si="51"/>
        <v>1</v>
      </c>
      <c r="AY195">
        <v>65</v>
      </c>
      <c r="AZ195" t="s">
        <v>60</v>
      </c>
      <c r="BA195" t="s">
        <v>61</v>
      </c>
      <c r="BB195" t="s">
        <v>7</v>
      </c>
    </row>
    <row r="196" ht="135" spans="1:54">
      <c r="A196" t="s">
        <v>672</v>
      </c>
      <c r="B196" t="s">
        <v>55</v>
      </c>
      <c r="C196" t="s">
        <v>56</v>
      </c>
      <c r="D196">
        <v>135</v>
      </c>
      <c r="E196">
        <v>4</v>
      </c>
      <c r="F196">
        <v>58.4</v>
      </c>
      <c r="G196" t="s">
        <v>673</v>
      </c>
      <c r="H196" s="3" t="s">
        <v>674</v>
      </c>
      <c r="I196" s="3" t="s">
        <v>674</v>
      </c>
      <c r="J196">
        <f t="shared" si="39"/>
        <v>0</v>
      </c>
      <c r="K196">
        <f t="shared" si="40"/>
        <v>0</v>
      </c>
      <c r="L196">
        <f t="shared" si="41"/>
        <v>0</v>
      </c>
      <c r="M196">
        <f t="shared" si="42"/>
        <v>0</v>
      </c>
      <c r="N196">
        <f t="shared" si="43"/>
        <v>0</v>
      </c>
      <c r="O196">
        <f t="shared" si="44"/>
        <v>0</v>
      </c>
      <c r="P196">
        <f t="shared" si="45"/>
        <v>0</v>
      </c>
      <c r="Q196">
        <f t="shared" si="4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f t="shared" si="47"/>
        <v>0</v>
      </c>
      <c r="AT196">
        <f t="shared" si="48"/>
        <v>0</v>
      </c>
      <c r="AU196" s="3" t="s">
        <v>118</v>
      </c>
      <c r="AV196">
        <f t="shared" si="49"/>
        <v>0</v>
      </c>
      <c r="AW196">
        <f t="shared" si="50"/>
        <v>1</v>
      </c>
      <c r="AX196">
        <f t="shared" si="51"/>
        <v>0</v>
      </c>
      <c r="AY196">
        <v>6.5</v>
      </c>
      <c r="AZ196" t="s">
        <v>60</v>
      </c>
      <c r="BA196" t="s">
        <v>61</v>
      </c>
      <c r="BB196" t="s">
        <v>7</v>
      </c>
    </row>
    <row r="197" ht="34" spans="1:54">
      <c r="A197" t="s">
        <v>675</v>
      </c>
      <c r="B197" t="s">
        <v>55</v>
      </c>
      <c r="C197" t="s">
        <v>56</v>
      </c>
      <c r="D197">
        <v>50</v>
      </c>
      <c r="E197">
        <v>1</v>
      </c>
      <c r="F197">
        <v>55.1</v>
      </c>
      <c r="G197" t="s">
        <v>673</v>
      </c>
      <c r="H197" s="3" t="s">
        <v>676</v>
      </c>
      <c r="I197" s="3" t="s">
        <v>676</v>
      </c>
      <c r="J197">
        <f t="shared" si="39"/>
        <v>0</v>
      </c>
      <c r="K197">
        <f t="shared" si="40"/>
        <v>0</v>
      </c>
      <c r="L197">
        <f t="shared" si="41"/>
        <v>0</v>
      </c>
      <c r="M197">
        <f t="shared" si="42"/>
        <v>0</v>
      </c>
      <c r="N197">
        <f t="shared" si="43"/>
        <v>0</v>
      </c>
      <c r="O197">
        <f t="shared" si="44"/>
        <v>0</v>
      </c>
      <c r="P197">
        <f t="shared" si="45"/>
        <v>0</v>
      </c>
      <c r="Q197">
        <f t="shared" si="46"/>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f t="shared" si="47"/>
        <v>0</v>
      </c>
      <c r="AT197">
        <f t="shared" si="48"/>
        <v>0</v>
      </c>
      <c r="AU197" s="3" t="s">
        <v>118</v>
      </c>
      <c r="AV197">
        <f t="shared" si="49"/>
        <v>0</v>
      </c>
      <c r="AW197">
        <f t="shared" si="50"/>
        <v>1</v>
      </c>
      <c r="AX197">
        <f t="shared" si="51"/>
        <v>0</v>
      </c>
      <c r="AY197">
        <v>2</v>
      </c>
      <c r="AZ197" t="s">
        <v>60</v>
      </c>
      <c r="BA197" t="s">
        <v>61</v>
      </c>
      <c r="BB197" t="s">
        <v>7</v>
      </c>
    </row>
    <row r="198" ht="152" spans="1:54">
      <c r="A198" t="s">
        <v>677</v>
      </c>
      <c r="B198" t="s">
        <v>55</v>
      </c>
      <c r="C198" t="s">
        <v>56</v>
      </c>
      <c r="D198">
        <v>49</v>
      </c>
      <c r="E198">
        <v>4</v>
      </c>
      <c r="F198">
        <v>90.3</v>
      </c>
      <c r="G198" t="s">
        <v>673</v>
      </c>
      <c r="H198" s="3" t="s">
        <v>678</v>
      </c>
      <c r="I198" s="3" t="s">
        <v>678</v>
      </c>
      <c r="J198">
        <f t="shared" si="39"/>
        <v>0</v>
      </c>
      <c r="K198">
        <f t="shared" si="40"/>
        <v>1</v>
      </c>
      <c r="L198">
        <f t="shared" si="41"/>
        <v>0</v>
      </c>
      <c r="M198">
        <f t="shared" si="42"/>
        <v>0</v>
      </c>
      <c r="N198">
        <f t="shared" si="43"/>
        <v>1</v>
      </c>
      <c r="O198">
        <f t="shared" si="44"/>
        <v>1</v>
      </c>
      <c r="P198">
        <f t="shared" si="45"/>
        <v>0</v>
      </c>
      <c r="Q198">
        <f t="shared" si="46"/>
        <v>0</v>
      </c>
      <c r="R198">
        <v>0</v>
      </c>
      <c r="S198">
        <v>0</v>
      </c>
      <c r="T198">
        <v>0</v>
      </c>
      <c r="U198">
        <v>0</v>
      </c>
      <c r="V198">
        <v>0</v>
      </c>
      <c r="W198">
        <v>1</v>
      </c>
      <c r="X198">
        <v>0</v>
      </c>
      <c r="Y198">
        <v>0</v>
      </c>
      <c r="Z198">
        <v>0</v>
      </c>
      <c r="AA198">
        <v>0</v>
      </c>
      <c r="AB198">
        <v>0</v>
      </c>
      <c r="AC198">
        <v>0</v>
      </c>
      <c r="AD198">
        <v>0</v>
      </c>
      <c r="AE198">
        <v>0</v>
      </c>
      <c r="AF198">
        <v>0</v>
      </c>
      <c r="AG198">
        <v>1</v>
      </c>
      <c r="AH198">
        <v>1</v>
      </c>
      <c r="AI198">
        <v>1</v>
      </c>
      <c r="AJ198">
        <v>0</v>
      </c>
      <c r="AK198">
        <v>0</v>
      </c>
      <c r="AL198">
        <v>0</v>
      </c>
      <c r="AM198">
        <v>0</v>
      </c>
      <c r="AN198">
        <v>0</v>
      </c>
      <c r="AO198">
        <v>0</v>
      </c>
      <c r="AP198">
        <v>0</v>
      </c>
      <c r="AQ198">
        <v>0</v>
      </c>
      <c r="AR198">
        <v>0</v>
      </c>
      <c r="AS198">
        <f t="shared" si="47"/>
        <v>3</v>
      </c>
      <c r="AT198">
        <f t="shared" si="48"/>
        <v>4</v>
      </c>
      <c r="AU198" s="3" t="s">
        <v>679</v>
      </c>
      <c r="AV198">
        <f t="shared" si="49"/>
        <v>1</v>
      </c>
      <c r="AW198">
        <f t="shared" si="50"/>
        <v>0</v>
      </c>
      <c r="AX198">
        <f t="shared" si="51"/>
        <v>0</v>
      </c>
      <c r="AY198">
        <v>13.5</v>
      </c>
      <c r="AZ198" t="s">
        <v>60</v>
      </c>
      <c r="BA198" t="s">
        <v>61</v>
      </c>
      <c r="BB198" t="s">
        <v>7</v>
      </c>
    </row>
    <row r="199" ht="185" spans="1:54">
      <c r="A199" t="s">
        <v>680</v>
      </c>
      <c r="B199" t="s">
        <v>55</v>
      </c>
      <c r="C199" t="s">
        <v>56</v>
      </c>
      <c r="D199">
        <v>44</v>
      </c>
      <c r="E199">
        <v>12</v>
      </c>
      <c r="F199">
        <v>202.2</v>
      </c>
      <c r="G199" t="s">
        <v>673</v>
      </c>
      <c r="H199" s="3" t="s">
        <v>681</v>
      </c>
      <c r="I199" s="3" t="s">
        <v>681</v>
      </c>
      <c r="J199">
        <f t="shared" si="39"/>
        <v>0</v>
      </c>
      <c r="K199">
        <f t="shared" si="40"/>
        <v>0</v>
      </c>
      <c r="L199">
        <f t="shared" si="41"/>
        <v>0</v>
      </c>
      <c r="M199">
        <f t="shared" si="42"/>
        <v>0</v>
      </c>
      <c r="N199">
        <f t="shared" si="43"/>
        <v>0</v>
      </c>
      <c r="O199">
        <f t="shared" si="44"/>
        <v>0</v>
      </c>
      <c r="P199">
        <f t="shared" si="45"/>
        <v>0</v>
      </c>
      <c r="Q199">
        <f t="shared" si="46"/>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f t="shared" si="47"/>
        <v>0</v>
      </c>
      <c r="AT199">
        <f t="shared" si="48"/>
        <v>0</v>
      </c>
      <c r="AU199" s="3" t="s">
        <v>118</v>
      </c>
      <c r="AV199">
        <f t="shared" si="49"/>
        <v>0</v>
      </c>
      <c r="AW199">
        <f t="shared" si="50"/>
        <v>1</v>
      </c>
      <c r="AX199">
        <f t="shared" si="51"/>
        <v>0</v>
      </c>
      <c r="AY199">
        <v>5</v>
      </c>
      <c r="AZ199" t="s">
        <v>60</v>
      </c>
      <c r="BA199" t="s">
        <v>61</v>
      </c>
      <c r="BB199" t="s">
        <v>7</v>
      </c>
    </row>
    <row r="200" ht="185" spans="1:54">
      <c r="A200" t="s">
        <v>682</v>
      </c>
      <c r="B200" t="s">
        <v>55</v>
      </c>
      <c r="C200" t="s">
        <v>116</v>
      </c>
      <c r="D200">
        <v>754</v>
      </c>
      <c r="E200">
        <v>52</v>
      </c>
      <c r="F200">
        <v>63.2</v>
      </c>
      <c r="G200" t="s">
        <v>683</v>
      </c>
      <c r="H200" s="3" t="s">
        <v>684</v>
      </c>
      <c r="I200" s="3" t="s">
        <v>684</v>
      </c>
      <c r="J200">
        <f t="shared" si="39"/>
        <v>0</v>
      </c>
      <c r="K200">
        <f t="shared" si="40"/>
        <v>1</v>
      </c>
      <c r="L200">
        <f t="shared" si="41"/>
        <v>0</v>
      </c>
      <c r="M200">
        <f t="shared" si="42"/>
        <v>0</v>
      </c>
      <c r="N200">
        <f t="shared" si="43"/>
        <v>1</v>
      </c>
      <c r="O200">
        <f t="shared" si="44"/>
        <v>0</v>
      </c>
      <c r="P200">
        <f t="shared" si="45"/>
        <v>0</v>
      </c>
      <c r="Q200">
        <f t="shared" si="46"/>
        <v>0</v>
      </c>
      <c r="R200">
        <v>0</v>
      </c>
      <c r="S200">
        <v>0</v>
      </c>
      <c r="T200">
        <v>0</v>
      </c>
      <c r="U200">
        <v>1</v>
      </c>
      <c r="V200">
        <v>0</v>
      </c>
      <c r="W200">
        <v>0</v>
      </c>
      <c r="X200">
        <v>0</v>
      </c>
      <c r="Y200">
        <v>0</v>
      </c>
      <c r="Z200">
        <v>0</v>
      </c>
      <c r="AA200">
        <v>0</v>
      </c>
      <c r="AB200">
        <v>0</v>
      </c>
      <c r="AC200">
        <v>0</v>
      </c>
      <c r="AD200">
        <v>0</v>
      </c>
      <c r="AE200">
        <v>0</v>
      </c>
      <c r="AF200">
        <v>0</v>
      </c>
      <c r="AG200">
        <v>0</v>
      </c>
      <c r="AH200">
        <v>1</v>
      </c>
      <c r="AI200">
        <v>0</v>
      </c>
      <c r="AJ200">
        <v>0</v>
      </c>
      <c r="AK200">
        <v>0</v>
      </c>
      <c r="AL200">
        <v>0</v>
      </c>
      <c r="AM200">
        <v>0</v>
      </c>
      <c r="AN200">
        <v>0</v>
      </c>
      <c r="AO200">
        <v>0</v>
      </c>
      <c r="AP200">
        <v>0</v>
      </c>
      <c r="AQ200">
        <v>0</v>
      </c>
      <c r="AR200">
        <v>0</v>
      </c>
      <c r="AS200">
        <f t="shared" si="47"/>
        <v>2</v>
      </c>
      <c r="AT200">
        <f t="shared" si="48"/>
        <v>2</v>
      </c>
      <c r="AU200" s="3" t="s">
        <v>685</v>
      </c>
      <c r="AV200">
        <f t="shared" si="49"/>
        <v>1</v>
      </c>
      <c r="AW200">
        <f t="shared" si="50"/>
        <v>0</v>
      </c>
      <c r="AX200">
        <f t="shared" si="51"/>
        <v>0</v>
      </c>
      <c r="AY200">
        <v>-3</v>
      </c>
      <c r="AZ200" t="s">
        <v>133</v>
      </c>
      <c r="BA200" t="s">
        <v>134</v>
      </c>
      <c r="BB200" t="s">
        <v>7</v>
      </c>
    </row>
    <row r="201" ht="409.5" spans="1:54">
      <c r="A201" t="s">
        <v>686</v>
      </c>
      <c r="B201" t="s">
        <v>55</v>
      </c>
      <c r="C201" t="s">
        <v>56</v>
      </c>
      <c r="D201">
        <v>12</v>
      </c>
      <c r="E201">
        <v>1</v>
      </c>
      <c r="F201" t="s">
        <v>687</v>
      </c>
      <c r="G201" t="s">
        <v>57</v>
      </c>
      <c r="H201" s="3" t="s">
        <v>688</v>
      </c>
      <c r="I201" s="3" t="s">
        <v>688</v>
      </c>
      <c r="J201">
        <f t="shared" si="39"/>
        <v>1</v>
      </c>
      <c r="K201">
        <f t="shared" si="40"/>
        <v>1</v>
      </c>
      <c r="L201">
        <f t="shared" si="41"/>
        <v>1</v>
      </c>
      <c r="M201">
        <f t="shared" si="42"/>
        <v>0</v>
      </c>
      <c r="N201">
        <f t="shared" si="43"/>
        <v>1</v>
      </c>
      <c r="O201">
        <f t="shared" si="44"/>
        <v>1</v>
      </c>
      <c r="P201">
        <f t="shared" si="45"/>
        <v>1</v>
      </c>
      <c r="Q201">
        <f t="shared" si="46"/>
        <v>0</v>
      </c>
      <c r="R201">
        <v>1</v>
      </c>
      <c r="S201">
        <v>0</v>
      </c>
      <c r="T201">
        <v>1</v>
      </c>
      <c r="U201">
        <v>1</v>
      </c>
      <c r="V201">
        <v>1</v>
      </c>
      <c r="W201">
        <v>1</v>
      </c>
      <c r="X201">
        <v>0</v>
      </c>
      <c r="Y201">
        <v>0</v>
      </c>
      <c r="Z201">
        <v>1</v>
      </c>
      <c r="AA201">
        <v>0</v>
      </c>
      <c r="AB201">
        <v>1</v>
      </c>
      <c r="AC201">
        <v>1</v>
      </c>
      <c r="AD201">
        <v>0</v>
      </c>
      <c r="AE201">
        <v>0</v>
      </c>
      <c r="AF201">
        <v>0</v>
      </c>
      <c r="AG201">
        <v>0</v>
      </c>
      <c r="AH201">
        <v>1</v>
      </c>
      <c r="AI201">
        <v>1</v>
      </c>
      <c r="AJ201">
        <v>0</v>
      </c>
      <c r="AK201">
        <v>0</v>
      </c>
      <c r="AL201">
        <v>0</v>
      </c>
      <c r="AM201">
        <v>0</v>
      </c>
      <c r="AN201">
        <v>0</v>
      </c>
      <c r="AO201">
        <v>0</v>
      </c>
      <c r="AP201">
        <v>1</v>
      </c>
      <c r="AQ201">
        <v>0</v>
      </c>
      <c r="AR201">
        <v>0</v>
      </c>
      <c r="AS201">
        <f t="shared" si="47"/>
        <v>6</v>
      </c>
      <c r="AT201">
        <f t="shared" si="48"/>
        <v>11</v>
      </c>
      <c r="AU201" s="3" t="s">
        <v>689</v>
      </c>
      <c r="AV201">
        <f t="shared" si="49"/>
        <v>1</v>
      </c>
      <c r="AW201">
        <f t="shared" si="50"/>
        <v>0</v>
      </c>
      <c r="AX201">
        <f t="shared" si="51"/>
        <v>1</v>
      </c>
      <c r="AY201">
        <v>26.5</v>
      </c>
      <c r="AZ201" t="s">
        <v>60</v>
      </c>
      <c r="BA201" t="s">
        <v>61</v>
      </c>
      <c r="BB201" t="s">
        <v>7</v>
      </c>
    </row>
    <row r="202" ht="353" spans="1:54">
      <c r="A202" t="s">
        <v>690</v>
      </c>
      <c r="B202" t="s">
        <v>55</v>
      </c>
      <c r="C202" t="s">
        <v>116</v>
      </c>
      <c r="D202">
        <v>314</v>
      </c>
      <c r="E202">
        <v>37</v>
      </c>
      <c r="F202">
        <v>44.8</v>
      </c>
      <c r="G202" t="s">
        <v>683</v>
      </c>
      <c r="H202" s="3" t="s">
        <v>691</v>
      </c>
      <c r="I202" s="3" t="s">
        <v>691</v>
      </c>
      <c r="J202">
        <f t="shared" si="39"/>
        <v>1</v>
      </c>
      <c r="K202">
        <f t="shared" si="40"/>
        <v>1</v>
      </c>
      <c r="L202">
        <f t="shared" si="41"/>
        <v>1</v>
      </c>
      <c r="M202">
        <f t="shared" si="42"/>
        <v>0</v>
      </c>
      <c r="N202">
        <f t="shared" si="43"/>
        <v>1</v>
      </c>
      <c r="O202">
        <f t="shared" si="44"/>
        <v>0</v>
      </c>
      <c r="P202">
        <f t="shared" si="45"/>
        <v>0</v>
      </c>
      <c r="Q202">
        <f t="shared" si="46"/>
        <v>0</v>
      </c>
      <c r="R202">
        <v>1</v>
      </c>
      <c r="S202">
        <v>0</v>
      </c>
      <c r="T202">
        <v>1</v>
      </c>
      <c r="U202">
        <v>1</v>
      </c>
      <c r="V202">
        <v>1</v>
      </c>
      <c r="W202">
        <v>0</v>
      </c>
      <c r="X202">
        <v>1</v>
      </c>
      <c r="Y202">
        <v>0</v>
      </c>
      <c r="Z202">
        <v>1</v>
      </c>
      <c r="AA202">
        <v>1</v>
      </c>
      <c r="AB202">
        <v>1</v>
      </c>
      <c r="AC202">
        <v>0</v>
      </c>
      <c r="AD202">
        <v>0</v>
      </c>
      <c r="AE202">
        <v>0</v>
      </c>
      <c r="AF202">
        <v>0</v>
      </c>
      <c r="AG202">
        <v>1</v>
      </c>
      <c r="AH202">
        <v>1</v>
      </c>
      <c r="AI202">
        <v>0</v>
      </c>
      <c r="AJ202">
        <v>0</v>
      </c>
      <c r="AK202">
        <v>0</v>
      </c>
      <c r="AL202">
        <v>0</v>
      </c>
      <c r="AM202">
        <v>0</v>
      </c>
      <c r="AN202">
        <v>0</v>
      </c>
      <c r="AO202">
        <v>0</v>
      </c>
      <c r="AP202">
        <v>0</v>
      </c>
      <c r="AQ202">
        <v>0</v>
      </c>
      <c r="AR202">
        <v>0</v>
      </c>
      <c r="AS202">
        <f t="shared" si="47"/>
        <v>4</v>
      </c>
      <c r="AT202">
        <f t="shared" si="48"/>
        <v>10</v>
      </c>
      <c r="AU202" s="3" t="s">
        <v>692</v>
      </c>
      <c r="AV202">
        <f t="shared" si="49"/>
        <v>1</v>
      </c>
      <c r="AW202">
        <f t="shared" si="50"/>
        <v>0</v>
      </c>
      <c r="AX202">
        <f t="shared" si="51"/>
        <v>1</v>
      </c>
      <c r="AY202">
        <v>5.5</v>
      </c>
      <c r="AZ202" t="s">
        <v>60</v>
      </c>
      <c r="BA202" t="s">
        <v>61</v>
      </c>
      <c r="BB202" t="s">
        <v>7</v>
      </c>
    </row>
    <row r="203" ht="68" spans="1:54">
      <c r="A203" t="s">
        <v>693</v>
      </c>
      <c r="B203" t="s">
        <v>55</v>
      </c>
      <c r="C203" t="s">
        <v>116</v>
      </c>
      <c r="D203">
        <v>299</v>
      </c>
      <c r="E203">
        <v>46</v>
      </c>
      <c r="F203">
        <v>21.2</v>
      </c>
      <c r="G203" t="s">
        <v>683</v>
      </c>
      <c r="H203" s="3" t="s">
        <v>694</v>
      </c>
      <c r="I203" s="3" t="s">
        <v>694</v>
      </c>
      <c r="J203">
        <f t="shared" si="39"/>
        <v>1</v>
      </c>
      <c r="K203">
        <f t="shared" si="40"/>
        <v>0</v>
      </c>
      <c r="L203">
        <f t="shared" si="41"/>
        <v>0</v>
      </c>
      <c r="M203">
        <f t="shared" si="42"/>
        <v>0</v>
      </c>
      <c r="N203">
        <f t="shared" si="43"/>
        <v>0</v>
      </c>
      <c r="O203">
        <f t="shared" si="44"/>
        <v>1</v>
      </c>
      <c r="P203">
        <f t="shared" si="45"/>
        <v>0</v>
      </c>
      <c r="Q203">
        <f t="shared" si="46"/>
        <v>0</v>
      </c>
      <c r="R203">
        <v>0</v>
      </c>
      <c r="S203">
        <v>0</v>
      </c>
      <c r="T203">
        <v>1</v>
      </c>
      <c r="U203">
        <v>0</v>
      </c>
      <c r="V203">
        <v>0</v>
      </c>
      <c r="W203">
        <v>0</v>
      </c>
      <c r="X203">
        <v>0</v>
      </c>
      <c r="Y203">
        <v>0</v>
      </c>
      <c r="Z203">
        <v>0</v>
      </c>
      <c r="AA203">
        <v>0</v>
      </c>
      <c r="AB203">
        <v>0</v>
      </c>
      <c r="AC203">
        <v>0</v>
      </c>
      <c r="AD203">
        <v>0</v>
      </c>
      <c r="AE203">
        <v>0</v>
      </c>
      <c r="AF203">
        <v>0</v>
      </c>
      <c r="AG203">
        <v>0</v>
      </c>
      <c r="AH203">
        <v>0</v>
      </c>
      <c r="AI203">
        <v>1</v>
      </c>
      <c r="AJ203">
        <v>1</v>
      </c>
      <c r="AK203">
        <v>1</v>
      </c>
      <c r="AL203">
        <v>1</v>
      </c>
      <c r="AM203">
        <v>0</v>
      </c>
      <c r="AN203">
        <v>0</v>
      </c>
      <c r="AO203">
        <v>0</v>
      </c>
      <c r="AP203">
        <v>0</v>
      </c>
      <c r="AQ203">
        <v>0</v>
      </c>
      <c r="AR203">
        <v>0</v>
      </c>
      <c r="AS203">
        <f t="shared" si="47"/>
        <v>2</v>
      </c>
      <c r="AT203">
        <f t="shared" si="48"/>
        <v>5</v>
      </c>
      <c r="AU203" s="3" t="s">
        <v>695</v>
      </c>
      <c r="AV203">
        <f t="shared" si="49"/>
        <v>1</v>
      </c>
      <c r="AW203">
        <f t="shared" si="50"/>
        <v>0</v>
      </c>
      <c r="AX203">
        <f t="shared" si="51"/>
        <v>0</v>
      </c>
      <c r="AY203">
        <v>3</v>
      </c>
      <c r="AZ203" t="s">
        <v>60</v>
      </c>
      <c r="BA203" t="s">
        <v>61</v>
      </c>
      <c r="BB203" t="s">
        <v>7</v>
      </c>
    </row>
    <row r="204" ht="409.5" spans="1:54">
      <c r="A204" t="s">
        <v>696</v>
      </c>
      <c r="B204" t="s">
        <v>55</v>
      </c>
      <c r="C204" t="s">
        <v>116</v>
      </c>
      <c r="D204">
        <v>1474</v>
      </c>
      <c r="E204">
        <v>80</v>
      </c>
      <c r="F204">
        <v>63.2</v>
      </c>
      <c r="G204" t="s">
        <v>697</v>
      </c>
      <c r="H204" s="3" t="s">
        <v>698</v>
      </c>
      <c r="I204" s="3" t="s">
        <v>698</v>
      </c>
      <c r="J204">
        <f t="shared" si="39"/>
        <v>1</v>
      </c>
      <c r="K204">
        <f t="shared" si="40"/>
        <v>1</v>
      </c>
      <c r="L204">
        <f t="shared" si="41"/>
        <v>1</v>
      </c>
      <c r="M204">
        <f t="shared" si="42"/>
        <v>1</v>
      </c>
      <c r="N204">
        <f t="shared" si="43"/>
        <v>1</v>
      </c>
      <c r="O204">
        <f t="shared" si="44"/>
        <v>1</v>
      </c>
      <c r="P204">
        <f t="shared" si="45"/>
        <v>0</v>
      </c>
      <c r="Q204">
        <f t="shared" si="46"/>
        <v>0</v>
      </c>
      <c r="R204">
        <v>1</v>
      </c>
      <c r="S204">
        <v>1</v>
      </c>
      <c r="T204">
        <v>0</v>
      </c>
      <c r="U204">
        <v>1</v>
      </c>
      <c r="V204">
        <v>1</v>
      </c>
      <c r="W204">
        <v>1</v>
      </c>
      <c r="X204">
        <v>1</v>
      </c>
      <c r="Y204">
        <v>0</v>
      </c>
      <c r="Z204">
        <v>1</v>
      </c>
      <c r="AA204">
        <v>1</v>
      </c>
      <c r="AB204">
        <v>1</v>
      </c>
      <c r="AC204">
        <v>1</v>
      </c>
      <c r="AD204">
        <v>1</v>
      </c>
      <c r="AE204">
        <v>0</v>
      </c>
      <c r="AF204">
        <v>0</v>
      </c>
      <c r="AG204">
        <v>0</v>
      </c>
      <c r="AH204">
        <v>1</v>
      </c>
      <c r="AI204">
        <v>0</v>
      </c>
      <c r="AJ204">
        <v>0</v>
      </c>
      <c r="AK204">
        <v>0</v>
      </c>
      <c r="AL204">
        <v>1</v>
      </c>
      <c r="AM204">
        <v>0</v>
      </c>
      <c r="AN204">
        <v>0</v>
      </c>
      <c r="AO204">
        <v>0</v>
      </c>
      <c r="AP204">
        <v>0</v>
      </c>
      <c r="AQ204">
        <v>0</v>
      </c>
      <c r="AR204">
        <v>0</v>
      </c>
      <c r="AS204">
        <f t="shared" si="47"/>
        <v>6</v>
      </c>
      <c r="AT204">
        <f t="shared" si="48"/>
        <v>13</v>
      </c>
      <c r="AU204" s="3" t="s">
        <v>699</v>
      </c>
      <c r="AV204">
        <f t="shared" si="49"/>
        <v>1</v>
      </c>
      <c r="AW204">
        <f t="shared" si="50"/>
        <v>0</v>
      </c>
      <c r="AX204">
        <f t="shared" si="51"/>
        <v>1</v>
      </c>
      <c r="AY204">
        <v>26.5</v>
      </c>
      <c r="AZ204" t="s">
        <v>60</v>
      </c>
      <c r="BA204" t="s">
        <v>61</v>
      </c>
      <c r="BB204" t="s">
        <v>7</v>
      </c>
    </row>
    <row r="205" ht="68" spans="1:54">
      <c r="A205" t="s">
        <v>700</v>
      </c>
      <c r="B205" t="s">
        <v>55</v>
      </c>
      <c r="C205" t="s">
        <v>56</v>
      </c>
      <c r="D205">
        <v>1488</v>
      </c>
      <c r="E205">
        <v>69</v>
      </c>
      <c r="F205">
        <v>55.7</v>
      </c>
      <c r="G205" t="s">
        <v>701</v>
      </c>
      <c r="H205" s="3" t="s">
        <v>702</v>
      </c>
      <c r="I205" s="3" t="s">
        <v>702</v>
      </c>
      <c r="J205">
        <f t="shared" si="39"/>
        <v>0</v>
      </c>
      <c r="K205">
        <f t="shared" si="40"/>
        <v>0</v>
      </c>
      <c r="L205">
        <f t="shared" si="41"/>
        <v>0</v>
      </c>
      <c r="M205">
        <f t="shared" si="42"/>
        <v>0</v>
      </c>
      <c r="N205">
        <f t="shared" si="43"/>
        <v>1</v>
      </c>
      <c r="O205">
        <f t="shared" si="44"/>
        <v>0</v>
      </c>
      <c r="P205">
        <f t="shared" si="45"/>
        <v>0</v>
      </c>
      <c r="Q205">
        <f t="shared" si="46"/>
        <v>0</v>
      </c>
      <c r="R205">
        <v>0</v>
      </c>
      <c r="S205">
        <v>0</v>
      </c>
      <c r="T205">
        <v>0</v>
      </c>
      <c r="U205">
        <v>0</v>
      </c>
      <c r="V205">
        <v>0</v>
      </c>
      <c r="W205">
        <v>0</v>
      </c>
      <c r="X205">
        <v>0</v>
      </c>
      <c r="Y205">
        <v>0</v>
      </c>
      <c r="Z205">
        <v>0</v>
      </c>
      <c r="AA205">
        <v>0</v>
      </c>
      <c r="AB205">
        <v>0</v>
      </c>
      <c r="AC205">
        <v>0</v>
      </c>
      <c r="AD205">
        <v>0</v>
      </c>
      <c r="AE205">
        <v>0</v>
      </c>
      <c r="AF205">
        <v>0</v>
      </c>
      <c r="AG205">
        <v>0</v>
      </c>
      <c r="AH205">
        <v>1</v>
      </c>
      <c r="AI205">
        <v>0</v>
      </c>
      <c r="AJ205">
        <v>0</v>
      </c>
      <c r="AK205">
        <v>0</v>
      </c>
      <c r="AL205">
        <v>0</v>
      </c>
      <c r="AM205">
        <v>0</v>
      </c>
      <c r="AN205">
        <v>0</v>
      </c>
      <c r="AO205">
        <v>0</v>
      </c>
      <c r="AP205">
        <v>0</v>
      </c>
      <c r="AQ205">
        <v>0</v>
      </c>
      <c r="AR205">
        <v>0</v>
      </c>
      <c r="AS205">
        <f t="shared" si="47"/>
        <v>1</v>
      </c>
      <c r="AT205">
        <f t="shared" si="48"/>
        <v>1</v>
      </c>
      <c r="AU205" s="3" t="s">
        <v>129</v>
      </c>
      <c r="AV205">
        <f t="shared" si="49"/>
        <v>1</v>
      </c>
      <c r="AW205">
        <f t="shared" si="50"/>
        <v>0</v>
      </c>
      <c r="AX205">
        <f t="shared" si="51"/>
        <v>0</v>
      </c>
      <c r="AY205">
        <v>4</v>
      </c>
      <c r="AZ205" t="s">
        <v>60</v>
      </c>
      <c r="BA205" t="s">
        <v>61</v>
      </c>
      <c r="BB205" t="s">
        <v>7</v>
      </c>
    </row>
    <row r="206" ht="101" spans="1:54">
      <c r="A206" t="s">
        <v>703</v>
      </c>
      <c r="B206" t="s">
        <v>55</v>
      </c>
      <c r="C206" t="s">
        <v>56</v>
      </c>
      <c r="D206">
        <v>205</v>
      </c>
      <c r="E206">
        <v>25</v>
      </c>
      <c r="F206">
        <v>91.6</v>
      </c>
      <c r="G206" t="s">
        <v>704</v>
      </c>
      <c r="H206" s="3" t="s">
        <v>705</v>
      </c>
      <c r="I206" s="3" t="s">
        <v>705</v>
      </c>
      <c r="J206">
        <f t="shared" si="39"/>
        <v>0</v>
      </c>
      <c r="K206">
        <f t="shared" si="40"/>
        <v>0</v>
      </c>
      <c r="L206">
        <f t="shared" si="41"/>
        <v>0</v>
      </c>
      <c r="M206">
        <f t="shared" si="42"/>
        <v>0</v>
      </c>
      <c r="N206">
        <f t="shared" si="43"/>
        <v>0</v>
      </c>
      <c r="O206">
        <f t="shared" si="44"/>
        <v>0</v>
      </c>
      <c r="P206">
        <f t="shared" si="45"/>
        <v>0</v>
      </c>
      <c r="Q206">
        <f t="shared" si="4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f t="shared" si="47"/>
        <v>0</v>
      </c>
      <c r="AT206">
        <f t="shared" si="48"/>
        <v>0</v>
      </c>
      <c r="AU206" s="3" t="s">
        <v>118</v>
      </c>
      <c r="AV206">
        <f t="shared" si="49"/>
        <v>0</v>
      </c>
      <c r="AW206">
        <f t="shared" si="50"/>
        <v>1</v>
      </c>
      <c r="AX206">
        <f t="shared" si="51"/>
        <v>0</v>
      </c>
      <c r="AY206">
        <v>9</v>
      </c>
      <c r="AZ206" t="s">
        <v>60</v>
      </c>
      <c r="BA206" t="s">
        <v>61</v>
      </c>
      <c r="BB206" t="s">
        <v>7</v>
      </c>
    </row>
    <row r="207" ht="202" spans="1:54">
      <c r="A207" t="s">
        <v>706</v>
      </c>
      <c r="B207" t="s">
        <v>55</v>
      </c>
      <c r="C207" t="s">
        <v>56</v>
      </c>
      <c r="D207">
        <v>117</v>
      </c>
      <c r="E207">
        <v>4</v>
      </c>
      <c r="F207">
        <v>51</v>
      </c>
      <c r="G207" t="s">
        <v>707</v>
      </c>
      <c r="H207" s="3" t="s">
        <v>708</v>
      </c>
      <c r="I207" s="3" t="s">
        <v>708</v>
      </c>
      <c r="J207">
        <f t="shared" si="39"/>
        <v>0</v>
      </c>
      <c r="K207">
        <f t="shared" si="40"/>
        <v>1</v>
      </c>
      <c r="L207">
        <f t="shared" si="41"/>
        <v>1</v>
      </c>
      <c r="M207">
        <f t="shared" si="42"/>
        <v>0</v>
      </c>
      <c r="N207">
        <f t="shared" si="43"/>
        <v>1</v>
      </c>
      <c r="O207">
        <f t="shared" si="44"/>
        <v>1</v>
      </c>
      <c r="P207">
        <f t="shared" si="45"/>
        <v>0</v>
      </c>
      <c r="Q207">
        <f t="shared" si="46"/>
        <v>0</v>
      </c>
      <c r="R207">
        <v>0</v>
      </c>
      <c r="S207">
        <v>0</v>
      </c>
      <c r="T207">
        <v>0</v>
      </c>
      <c r="U207">
        <v>1</v>
      </c>
      <c r="V207">
        <v>1</v>
      </c>
      <c r="W207">
        <v>1</v>
      </c>
      <c r="X207">
        <v>0</v>
      </c>
      <c r="Y207">
        <v>0</v>
      </c>
      <c r="Z207">
        <v>0</v>
      </c>
      <c r="AA207">
        <v>0</v>
      </c>
      <c r="AB207">
        <v>1</v>
      </c>
      <c r="AC207">
        <v>0</v>
      </c>
      <c r="AD207">
        <v>0</v>
      </c>
      <c r="AE207">
        <v>0</v>
      </c>
      <c r="AF207">
        <v>0</v>
      </c>
      <c r="AG207">
        <v>1</v>
      </c>
      <c r="AH207">
        <v>1</v>
      </c>
      <c r="AI207">
        <v>1</v>
      </c>
      <c r="AJ207">
        <v>0</v>
      </c>
      <c r="AK207">
        <v>0</v>
      </c>
      <c r="AL207">
        <v>0</v>
      </c>
      <c r="AM207">
        <v>0</v>
      </c>
      <c r="AN207">
        <v>0</v>
      </c>
      <c r="AO207">
        <v>0</v>
      </c>
      <c r="AP207">
        <v>0</v>
      </c>
      <c r="AQ207">
        <v>0</v>
      </c>
      <c r="AR207">
        <v>0</v>
      </c>
      <c r="AS207">
        <f t="shared" si="47"/>
        <v>4</v>
      </c>
      <c r="AT207">
        <f t="shared" si="48"/>
        <v>7</v>
      </c>
      <c r="AU207" s="3" t="s">
        <v>709</v>
      </c>
      <c r="AV207">
        <f t="shared" si="49"/>
        <v>1</v>
      </c>
      <c r="AW207">
        <f t="shared" si="50"/>
        <v>0</v>
      </c>
      <c r="AX207">
        <f t="shared" si="51"/>
        <v>0</v>
      </c>
      <c r="AY207">
        <v>4</v>
      </c>
      <c r="AZ207" t="s">
        <v>60</v>
      </c>
      <c r="BA207" t="s">
        <v>61</v>
      </c>
      <c r="BB207" t="s">
        <v>7</v>
      </c>
    </row>
    <row r="208" ht="34" spans="1:54">
      <c r="A208" t="s">
        <v>710</v>
      </c>
      <c r="B208" t="s">
        <v>55</v>
      </c>
      <c r="C208" t="s">
        <v>56</v>
      </c>
      <c r="D208">
        <v>226</v>
      </c>
      <c r="E208">
        <v>29</v>
      </c>
      <c r="F208">
        <v>116.4</v>
      </c>
      <c r="G208" t="s">
        <v>711</v>
      </c>
      <c r="H208" s="3" t="s">
        <v>712</v>
      </c>
      <c r="I208" s="3" t="s">
        <v>712</v>
      </c>
      <c r="J208">
        <f t="shared" si="39"/>
        <v>0</v>
      </c>
      <c r="K208">
        <f t="shared" si="40"/>
        <v>0</v>
      </c>
      <c r="L208">
        <f t="shared" si="41"/>
        <v>1</v>
      </c>
      <c r="M208">
        <f t="shared" si="42"/>
        <v>0</v>
      </c>
      <c r="N208">
        <f t="shared" si="43"/>
        <v>0</v>
      </c>
      <c r="O208">
        <f t="shared" si="44"/>
        <v>0</v>
      </c>
      <c r="P208">
        <f t="shared" si="45"/>
        <v>0</v>
      </c>
      <c r="Q208">
        <f t="shared" si="46"/>
        <v>0</v>
      </c>
      <c r="R208">
        <v>0</v>
      </c>
      <c r="S208">
        <v>0</v>
      </c>
      <c r="T208">
        <v>0</v>
      </c>
      <c r="U208">
        <v>0</v>
      </c>
      <c r="V208">
        <v>0</v>
      </c>
      <c r="W208">
        <v>0</v>
      </c>
      <c r="X208">
        <v>0</v>
      </c>
      <c r="Y208">
        <v>0</v>
      </c>
      <c r="Z208">
        <v>1</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f t="shared" si="47"/>
        <v>1</v>
      </c>
      <c r="AT208">
        <f t="shared" si="48"/>
        <v>1</v>
      </c>
      <c r="AU208" s="3" t="s">
        <v>146</v>
      </c>
      <c r="AV208">
        <f t="shared" si="49"/>
        <v>1</v>
      </c>
      <c r="AW208">
        <f t="shared" si="50"/>
        <v>0</v>
      </c>
      <c r="AX208">
        <f t="shared" si="51"/>
        <v>0</v>
      </c>
      <c r="AY208">
        <v>4</v>
      </c>
      <c r="AZ208" t="s">
        <v>60</v>
      </c>
      <c r="BA208" t="s">
        <v>61</v>
      </c>
      <c r="BB208" t="s">
        <v>7</v>
      </c>
    </row>
    <row r="209" ht="409.5" spans="1:54">
      <c r="A209" t="s">
        <v>713</v>
      </c>
      <c r="B209" t="s">
        <v>55</v>
      </c>
      <c r="C209" t="s">
        <v>116</v>
      </c>
      <c r="D209">
        <v>190</v>
      </c>
      <c r="E209">
        <v>18</v>
      </c>
      <c r="F209">
        <v>45.1</v>
      </c>
      <c r="G209" t="s">
        <v>711</v>
      </c>
      <c r="H209" s="3" t="s">
        <v>714</v>
      </c>
      <c r="I209" s="3" t="s">
        <v>714</v>
      </c>
      <c r="J209">
        <f t="shared" si="39"/>
        <v>1</v>
      </c>
      <c r="K209">
        <f t="shared" si="40"/>
        <v>1</v>
      </c>
      <c r="L209">
        <f t="shared" si="41"/>
        <v>1</v>
      </c>
      <c r="M209">
        <f t="shared" si="42"/>
        <v>1</v>
      </c>
      <c r="N209">
        <f t="shared" si="43"/>
        <v>1</v>
      </c>
      <c r="O209">
        <f t="shared" si="44"/>
        <v>1</v>
      </c>
      <c r="P209">
        <f t="shared" si="45"/>
        <v>0</v>
      </c>
      <c r="Q209">
        <f t="shared" si="46"/>
        <v>1</v>
      </c>
      <c r="R209">
        <v>1</v>
      </c>
      <c r="S209">
        <v>1</v>
      </c>
      <c r="T209">
        <v>1</v>
      </c>
      <c r="U209">
        <v>1</v>
      </c>
      <c r="V209">
        <v>1</v>
      </c>
      <c r="W209">
        <v>1</v>
      </c>
      <c r="X209">
        <v>1</v>
      </c>
      <c r="Y209">
        <v>1</v>
      </c>
      <c r="Z209">
        <v>1</v>
      </c>
      <c r="AA209">
        <v>1</v>
      </c>
      <c r="AB209">
        <v>1</v>
      </c>
      <c r="AC209">
        <v>1</v>
      </c>
      <c r="AD209">
        <v>1</v>
      </c>
      <c r="AE209">
        <v>1</v>
      </c>
      <c r="AF209">
        <v>1</v>
      </c>
      <c r="AG209">
        <v>1</v>
      </c>
      <c r="AH209">
        <v>1</v>
      </c>
      <c r="AI209">
        <v>1</v>
      </c>
      <c r="AJ209">
        <v>1</v>
      </c>
      <c r="AK209">
        <v>1</v>
      </c>
      <c r="AL209">
        <v>0</v>
      </c>
      <c r="AM209">
        <v>0</v>
      </c>
      <c r="AN209">
        <v>0</v>
      </c>
      <c r="AO209">
        <v>0</v>
      </c>
      <c r="AP209">
        <v>0</v>
      </c>
      <c r="AQ209">
        <v>0</v>
      </c>
      <c r="AR209">
        <v>1</v>
      </c>
      <c r="AS209">
        <f t="shared" si="47"/>
        <v>7</v>
      </c>
      <c r="AT209">
        <f t="shared" si="48"/>
        <v>21</v>
      </c>
      <c r="AU209" s="3" t="s">
        <v>715</v>
      </c>
      <c r="AV209">
        <f t="shared" si="49"/>
        <v>1</v>
      </c>
      <c r="AW209">
        <f t="shared" si="50"/>
        <v>0</v>
      </c>
      <c r="AX209">
        <f t="shared" si="51"/>
        <v>1</v>
      </c>
      <c r="AY209">
        <v>5.5</v>
      </c>
      <c r="AZ209" t="s">
        <v>60</v>
      </c>
      <c r="BA209" t="s">
        <v>61</v>
      </c>
      <c r="BB209" t="s">
        <v>7</v>
      </c>
    </row>
    <row r="210" ht="34" spans="1:54">
      <c r="A210" t="s">
        <v>716</v>
      </c>
      <c r="B210" t="s">
        <v>55</v>
      </c>
      <c r="C210" t="s">
        <v>56</v>
      </c>
      <c r="D210">
        <v>25</v>
      </c>
      <c r="E210">
        <v>2</v>
      </c>
      <c r="F210">
        <v>60.1</v>
      </c>
      <c r="G210" t="s">
        <v>711</v>
      </c>
      <c r="H210" s="3" t="s">
        <v>717</v>
      </c>
      <c r="I210" s="3" t="s">
        <v>717</v>
      </c>
      <c r="J210">
        <f t="shared" si="39"/>
        <v>0</v>
      </c>
      <c r="K210">
        <f t="shared" si="40"/>
        <v>1</v>
      </c>
      <c r="L210">
        <f t="shared" si="41"/>
        <v>0</v>
      </c>
      <c r="M210">
        <f t="shared" si="42"/>
        <v>0</v>
      </c>
      <c r="N210">
        <f t="shared" si="43"/>
        <v>0</v>
      </c>
      <c r="O210">
        <f t="shared" si="44"/>
        <v>0</v>
      </c>
      <c r="P210">
        <f t="shared" si="45"/>
        <v>0</v>
      </c>
      <c r="Q210">
        <f t="shared" si="46"/>
        <v>0</v>
      </c>
      <c r="R210">
        <v>0</v>
      </c>
      <c r="S210">
        <v>0</v>
      </c>
      <c r="T210">
        <v>0</v>
      </c>
      <c r="U210">
        <v>0</v>
      </c>
      <c r="V210">
        <v>0</v>
      </c>
      <c r="W210">
        <v>1</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f t="shared" si="47"/>
        <v>1</v>
      </c>
      <c r="AT210">
        <f t="shared" si="48"/>
        <v>1</v>
      </c>
      <c r="AU210" s="3" t="s">
        <v>271</v>
      </c>
      <c r="AV210">
        <f t="shared" si="49"/>
        <v>1</v>
      </c>
      <c r="AW210">
        <f t="shared" si="50"/>
        <v>0</v>
      </c>
      <c r="AX210">
        <f t="shared" si="51"/>
        <v>0</v>
      </c>
      <c r="AY210">
        <v>-4.5</v>
      </c>
      <c r="AZ210" t="s">
        <v>133</v>
      </c>
      <c r="BA210" t="s">
        <v>134</v>
      </c>
      <c r="BB210" t="s">
        <v>7</v>
      </c>
    </row>
    <row r="211" ht="409.5" spans="1:54">
      <c r="A211" t="s">
        <v>718</v>
      </c>
      <c r="B211" t="s">
        <v>55</v>
      </c>
      <c r="C211" t="s">
        <v>116</v>
      </c>
      <c r="D211">
        <v>422</v>
      </c>
      <c r="E211">
        <v>35</v>
      </c>
      <c r="F211">
        <v>121.3</v>
      </c>
      <c r="G211" t="s">
        <v>719</v>
      </c>
      <c r="H211" s="3" t="s">
        <v>720</v>
      </c>
      <c r="I211" s="3" t="s">
        <v>720</v>
      </c>
      <c r="J211">
        <f t="shared" si="39"/>
        <v>1</v>
      </c>
      <c r="K211">
        <f t="shared" si="40"/>
        <v>1</v>
      </c>
      <c r="L211">
        <f t="shared" si="41"/>
        <v>1</v>
      </c>
      <c r="M211">
        <f t="shared" si="42"/>
        <v>1</v>
      </c>
      <c r="N211">
        <f t="shared" si="43"/>
        <v>1</v>
      </c>
      <c r="O211">
        <f t="shared" si="44"/>
        <v>1</v>
      </c>
      <c r="P211">
        <f t="shared" si="45"/>
        <v>1</v>
      </c>
      <c r="Q211">
        <f t="shared" si="46"/>
        <v>0</v>
      </c>
      <c r="R211">
        <v>1</v>
      </c>
      <c r="S211">
        <v>1</v>
      </c>
      <c r="T211">
        <v>0</v>
      </c>
      <c r="U211">
        <v>1</v>
      </c>
      <c r="V211">
        <v>1</v>
      </c>
      <c r="W211">
        <v>1</v>
      </c>
      <c r="X211">
        <v>1</v>
      </c>
      <c r="Y211">
        <v>0</v>
      </c>
      <c r="Z211">
        <v>1</v>
      </c>
      <c r="AA211">
        <v>1</v>
      </c>
      <c r="AB211">
        <v>1</v>
      </c>
      <c r="AC211">
        <v>1</v>
      </c>
      <c r="AD211">
        <v>0</v>
      </c>
      <c r="AE211">
        <v>0</v>
      </c>
      <c r="AF211">
        <v>1</v>
      </c>
      <c r="AG211">
        <v>1</v>
      </c>
      <c r="AH211">
        <v>1</v>
      </c>
      <c r="AI211">
        <v>1</v>
      </c>
      <c r="AJ211">
        <v>1</v>
      </c>
      <c r="AK211">
        <v>0</v>
      </c>
      <c r="AL211">
        <v>0</v>
      </c>
      <c r="AM211">
        <v>0</v>
      </c>
      <c r="AN211">
        <v>0</v>
      </c>
      <c r="AO211">
        <v>0</v>
      </c>
      <c r="AP211">
        <v>1</v>
      </c>
      <c r="AQ211">
        <v>0</v>
      </c>
      <c r="AR211">
        <v>0</v>
      </c>
      <c r="AS211">
        <f t="shared" si="47"/>
        <v>7</v>
      </c>
      <c r="AT211">
        <f t="shared" si="48"/>
        <v>16</v>
      </c>
      <c r="AU211" s="3" t="s">
        <v>721</v>
      </c>
      <c r="AV211">
        <f t="shared" si="49"/>
        <v>1</v>
      </c>
      <c r="AW211">
        <f t="shared" si="50"/>
        <v>0</v>
      </c>
      <c r="AX211">
        <f t="shared" si="51"/>
        <v>1</v>
      </c>
      <c r="AY211">
        <v>33.5</v>
      </c>
      <c r="AZ211" t="s">
        <v>60</v>
      </c>
      <c r="BA211" t="s">
        <v>61</v>
      </c>
      <c r="BB211" t="s">
        <v>7</v>
      </c>
    </row>
    <row r="212" ht="409.5" spans="1:54">
      <c r="A212" t="s">
        <v>722</v>
      </c>
      <c r="B212" t="s">
        <v>55</v>
      </c>
      <c r="C212" t="s">
        <v>56</v>
      </c>
      <c r="D212">
        <v>226</v>
      </c>
      <c r="E212">
        <v>128</v>
      </c>
      <c r="F212">
        <v>89.3</v>
      </c>
      <c r="G212" t="s">
        <v>615</v>
      </c>
      <c r="H212" s="3" t="s">
        <v>723</v>
      </c>
      <c r="I212" s="3" t="s">
        <v>723</v>
      </c>
      <c r="J212">
        <f t="shared" si="39"/>
        <v>0</v>
      </c>
      <c r="K212">
        <f t="shared" si="40"/>
        <v>1</v>
      </c>
      <c r="L212">
        <f t="shared" si="41"/>
        <v>1</v>
      </c>
      <c r="M212">
        <f t="shared" si="42"/>
        <v>0</v>
      </c>
      <c r="N212">
        <f t="shared" si="43"/>
        <v>1</v>
      </c>
      <c r="O212">
        <f t="shared" si="44"/>
        <v>1</v>
      </c>
      <c r="P212">
        <f t="shared" si="45"/>
        <v>0</v>
      </c>
      <c r="Q212">
        <f t="shared" si="46"/>
        <v>0</v>
      </c>
      <c r="R212">
        <v>0</v>
      </c>
      <c r="S212">
        <v>0</v>
      </c>
      <c r="T212">
        <v>0</v>
      </c>
      <c r="U212">
        <v>0</v>
      </c>
      <c r="V212">
        <v>0</v>
      </c>
      <c r="W212">
        <v>1</v>
      </c>
      <c r="X212">
        <v>0</v>
      </c>
      <c r="Y212">
        <v>0</v>
      </c>
      <c r="Z212">
        <v>0</v>
      </c>
      <c r="AA212">
        <v>0</v>
      </c>
      <c r="AB212">
        <v>0</v>
      </c>
      <c r="AC212">
        <v>1</v>
      </c>
      <c r="AD212">
        <v>0</v>
      </c>
      <c r="AE212">
        <v>0</v>
      </c>
      <c r="AF212">
        <v>0</v>
      </c>
      <c r="AG212">
        <v>0</v>
      </c>
      <c r="AH212">
        <v>1</v>
      </c>
      <c r="AI212">
        <v>1</v>
      </c>
      <c r="AJ212">
        <v>0</v>
      </c>
      <c r="AK212">
        <v>0</v>
      </c>
      <c r="AL212">
        <v>0</v>
      </c>
      <c r="AM212">
        <v>0</v>
      </c>
      <c r="AN212">
        <v>0</v>
      </c>
      <c r="AO212">
        <v>0</v>
      </c>
      <c r="AP212">
        <v>0</v>
      </c>
      <c r="AQ212">
        <v>0</v>
      </c>
      <c r="AR212">
        <v>0</v>
      </c>
      <c r="AS212">
        <f t="shared" si="47"/>
        <v>4</v>
      </c>
      <c r="AT212">
        <f t="shared" si="48"/>
        <v>4</v>
      </c>
      <c r="AU212" s="3" t="s">
        <v>724</v>
      </c>
      <c r="AV212">
        <f t="shared" si="49"/>
        <v>1</v>
      </c>
      <c r="AW212">
        <f t="shared" si="50"/>
        <v>0</v>
      </c>
      <c r="AX212">
        <f t="shared" si="51"/>
        <v>0</v>
      </c>
      <c r="AY212">
        <v>5</v>
      </c>
      <c r="AZ212" t="s">
        <v>60</v>
      </c>
      <c r="BA212" t="s">
        <v>61</v>
      </c>
      <c r="BB212" t="s">
        <v>7</v>
      </c>
    </row>
    <row r="213" ht="409.5" spans="1:54">
      <c r="A213" t="s">
        <v>725</v>
      </c>
      <c r="B213" t="s">
        <v>55</v>
      </c>
      <c r="C213" t="s">
        <v>56</v>
      </c>
      <c r="D213">
        <v>553</v>
      </c>
      <c r="E213">
        <v>85</v>
      </c>
      <c r="F213">
        <v>40.6</v>
      </c>
      <c r="G213" t="s">
        <v>726</v>
      </c>
      <c r="H213" s="3" t="s">
        <v>727</v>
      </c>
      <c r="I213" s="3" t="s">
        <v>727</v>
      </c>
      <c r="J213">
        <f t="shared" si="39"/>
        <v>0</v>
      </c>
      <c r="K213">
        <f t="shared" si="40"/>
        <v>1</v>
      </c>
      <c r="L213">
        <f t="shared" si="41"/>
        <v>1</v>
      </c>
      <c r="M213">
        <f t="shared" si="42"/>
        <v>0</v>
      </c>
      <c r="N213">
        <f t="shared" si="43"/>
        <v>0</v>
      </c>
      <c r="O213">
        <f t="shared" si="44"/>
        <v>1</v>
      </c>
      <c r="P213">
        <f t="shared" si="45"/>
        <v>1</v>
      </c>
      <c r="Q213">
        <f t="shared" si="46"/>
        <v>1</v>
      </c>
      <c r="R213">
        <v>0</v>
      </c>
      <c r="S213">
        <v>0</v>
      </c>
      <c r="T213">
        <v>0</v>
      </c>
      <c r="U213">
        <v>0</v>
      </c>
      <c r="V213">
        <v>0</v>
      </c>
      <c r="W213">
        <v>1</v>
      </c>
      <c r="X213">
        <v>0</v>
      </c>
      <c r="Y213">
        <v>0</v>
      </c>
      <c r="Z213">
        <v>1</v>
      </c>
      <c r="AA213">
        <v>0</v>
      </c>
      <c r="AB213">
        <v>1</v>
      </c>
      <c r="AC213">
        <v>0</v>
      </c>
      <c r="AD213">
        <v>0</v>
      </c>
      <c r="AE213">
        <v>0</v>
      </c>
      <c r="AF213">
        <v>0</v>
      </c>
      <c r="AG213">
        <v>0</v>
      </c>
      <c r="AH213">
        <v>0</v>
      </c>
      <c r="AI213">
        <v>1</v>
      </c>
      <c r="AJ213">
        <v>0</v>
      </c>
      <c r="AK213">
        <v>0</v>
      </c>
      <c r="AL213">
        <v>0</v>
      </c>
      <c r="AM213">
        <v>0</v>
      </c>
      <c r="AN213">
        <v>0</v>
      </c>
      <c r="AO213">
        <v>0</v>
      </c>
      <c r="AP213">
        <v>1</v>
      </c>
      <c r="AQ213">
        <v>0</v>
      </c>
      <c r="AR213">
        <v>1</v>
      </c>
      <c r="AS213">
        <f t="shared" si="47"/>
        <v>5</v>
      </c>
      <c r="AT213">
        <f t="shared" si="48"/>
        <v>6</v>
      </c>
      <c r="AU213" s="3" t="s">
        <v>728</v>
      </c>
      <c r="AV213">
        <f t="shared" si="49"/>
        <v>1</v>
      </c>
      <c r="AW213">
        <f t="shared" si="50"/>
        <v>0</v>
      </c>
      <c r="AX213">
        <f t="shared" si="51"/>
        <v>0</v>
      </c>
      <c r="AY213">
        <v>0.5</v>
      </c>
      <c r="AZ213" t="s">
        <v>60</v>
      </c>
      <c r="BA213" t="s">
        <v>61</v>
      </c>
      <c r="BB213" t="s">
        <v>7</v>
      </c>
    </row>
    <row r="214" ht="236" spans="1:54">
      <c r="A214" t="s">
        <v>729</v>
      </c>
      <c r="B214" t="s">
        <v>55</v>
      </c>
      <c r="C214" t="s">
        <v>116</v>
      </c>
      <c r="D214">
        <v>288</v>
      </c>
      <c r="E214">
        <v>23</v>
      </c>
      <c r="F214">
        <v>113</v>
      </c>
      <c r="G214" t="s">
        <v>726</v>
      </c>
      <c r="H214" s="3" t="s">
        <v>730</v>
      </c>
      <c r="I214" s="3" t="s">
        <v>730</v>
      </c>
      <c r="J214">
        <f t="shared" si="39"/>
        <v>0</v>
      </c>
      <c r="K214">
        <f t="shared" si="40"/>
        <v>0</v>
      </c>
      <c r="L214">
        <f t="shared" si="41"/>
        <v>0</v>
      </c>
      <c r="M214">
        <f t="shared" si="42"/>
        <v>0</v>
      </c>
      <c r="N214">
        <f t="shared" si="43"/>
        <v>1</v>
      </c>
      <c r="O214">
        <f t="shared" si="44"/>
        <v>0</v>
      </c>
      <c r="P214">
        <f t="shared" si="45"/>
        <v>0</v>
      </c>
      <c r="Q214">
        <f t="shared" si="46"/>
        <v>0</v>
      </c>
      <c r="R214">
        <v>0</v>
      </c>
      <c r="S214">
        <v>0</v>
      </c>
      <c r="T214">
        <v>0</v>
      </c>
      <c r="U214">
        <v>0</v>
      </c>
      <c r="V214">
        <v>0</v>
      </c>
      <c r="W214">
        <v>0</v>
      </c>
      <c r="X214">
        <v>0</v>
      </c>
      <c r="Y214">
        <v>0</v>
      </c>
      <c r="Z214">
        <v>0</v>
      </c>
      <c r="AA214">
        <v>0</v>
      </c>
      <c r="AB214">
        <v>0</v>
      </c>
      <c r="AC214">
        <v>0</v>
      </c>
      <c r="AD214">
        <v>0</v>
      </c>
      <c r="AE214">
        <v>0</v>
      </c>
      <c r="AF214">
        <v>0</v>
      </c>
      <c r="AG214">
        <v>0</v>
      </c>
      <c r="AH214">
        <v>1</v>
      </c>
      <c r="AI214">
        <v>0</v>
      </c>
      <c r="AJ214">
        <v>0</v>
      </c>
      <c r="AK214">
        <v>0</v>
      </c>
      <c r="AL214">
        <v>0</v>
      </c>
      <c r="AM214">
        <v>0</v>
      </c>
      <c r="AN214">
        <v>0</v>
      </c>
      <c r="AO214">
        <v>0</v>
      </c>
      <c r="AP214">
        <v>0</v>
      </c>
      <c r="AQ214">
        <v>0</v>
      </c>
      <c r="AR214">
        <v>0</v>
      </c>
      <c r="AS214">
        <f t="shared" si="47"/>
        <v>1</v>
      </c>
      <c r="AT214">
        <f t="shared" si="48"/>
        <v>1</v>
      </c>
      <c r="AU214" s="3" t="s">
        <v>129</v>
      </c>
      <c r="AV214">
        <f t="shared" si="49"/>
        <v>1</v>
      </c>
      <c r="AW214">
        <f t="shared" si="50"/>
        <v>0</v>
      </c>
      <c r="AX214">
        <f t="shared" si="51"/>
        <v>0</v>
      </c>
      <c r="AY214">
        <v>2.5</v>
      </c>
      <c r="AZ214" t="s">
        <v>60</v>
      </c>
      <c r="BA214" t="s">
        <v>61</v>
      </c>
      <c r="BB214" t="s">
        <v>7</v>
      </c>
    </row>
    <row r="215" ht="202" spans="1:54">
      <c r="A215" t="s">
        <v>731</v>
      </c>
      <c r="B215" t="s">
        <v>55</v>
      </c>
      <c r="C215" t="s">
        <v>56</v>
      </c>
      <c r="D215">
        <v>15</v>
      </c>
      <c r="E215">
        <v>0</v>
      </c>
      <c r="F215" t="s">
        <v>732</v>
      </c>
      <c r="G215" t="s">
        <v>57</v>
      </c>
      <c r="H215" s="3" t="s">
        <v>733</v>
      </c>
      <c r="I215" s="3" t="s">
        <v>733</v>
      </c>
      <c r="J215">
        <f t="shared" si="39"/>
        <v>1</v>
      </c>
      <c r="K215">
        <f t="shared" si="40"/>
        <v>1</v>
      </c>
      <c r="L215">
        <f t="shared" si="41"/>
        <v>1</v>
      </c>
      <c r="M215">
        <f t="shared" si="42"/>
        <v>0</v>
      </c>
      <c r="N215">
        <f t="shared" si="43"/>
        <v>1</v>
      </c>
      <c r="O215">
        <f t="shared" si="44"/>
        <v>1</v>
      </c>
      <c r="P215">
        <f t="shared" si="45"/>
        <v>0</v>
      </c>
      <c r="Q215">
        <f t="shared" si="46"/>
        <v>1</v>
      </c>
      <c r="R215">
        <v>1</v>
      </c>
      <c r="S215">
        <v>0</v>
      </c>
      <c r="T215">
        <v>0</v>
      </c>
      <c r="U215">
        <v>1</v>
      </c>
      <c r="V215">
        <v>1</v>
      </c>
      <c r="W215">
        <v>0</v>
      </c>
      <c r="X215">
        <v>0</v>
      </c>
      <c r="Y215">
        <v>0</v>
      </c>
      <c r="Z215">
        <v>1</v>
      </c>
      <c r="AA215">
        <v>1</v>
      </c>
      <c r="AB215">
        <v>1</v>
      </c>
      <c r="AC215">
        <v>0</v>
      </c>
      <c r="AD215">
        <v>0</v>
      </c>
      <c r="AE215">
        <v>0</v>
      </c>
      <c r="AF215">
        <v>0</v>
      </c>
      <c r="AG215">
        <v>1</v>
      </c>
      <c r="AH215">
        <v>1</v>
      </c>
      <c r="AI215">
        <v>0</v>
      </c>
      <c r="AJ215">
        <v>0</v>
      </c>
      <c r="AK215">
        <v>0</v>
      </c>
      <c r="AL215">
        <v>1</v>
      </c>
      <c r="AM215">
        <v>0</v>
      </c>
      <c r="AN215">
        <v>0</v>
      </c>
      <c r="AO215">
        <v>0</v>
      </c>
      <c r="AP215">
        <v>0</v>
      </c>
      <c r="AQ215">
        <v>0</v>
      </c>
      <c r="AR215">
        <v>1</v>
      </c>
      <c r="AS215">
        <f t="shared" si="47"/>
        <v>6</v>
      </c>
      <c r="AT215">
        <f t="shared" si="48"/>
        <v>10</v>
      </c>
      <c r="AU215" s="3" t="s">
        <v>734</v>
      </c>
      <c r="AV215">
        <f t="shared" si="49"/>
        <v>1</v>
      </c>
      <c r="AW215">
        <f t="shared" si="50"/>
        <v>0</v>
      </c>
      <c r="AX215">
        <f t="shared" si="51"/>
        <v>1</v>
      </c>
      <c r="AY215">
        <v>15</v>
      </c>
      <c r="AZ215" t="s">
        <v>60</v>
      </c>
      <c r="BA215" t="s">
        <v>61</v>
      </c>
      <c r="BB215" t="s">
        <v>7</v>
      </c>
    </row>
    <row r="216" ht="152" spans="1:54">
      <c r="A216" t="s">
        <v>735</v>
      </c>
      <c r="B216" t="s">
        <v>55</v>
      </c>
      <c r="C216" t="s">
        <v>56</v>
      </c>
      <c r="D216">
        <v>99</v>
      </c>
      <c r="E216">
        <v>0</v>
      </c>
      <c r="F216">
        <v>63.5</v>
      </c>
      <c r="G216" t="s">
        <v>736</v>
      </c>
      <c r="H216" s="3" t="s">
        <v>737</v>
      </c>
      <c r="I216" s="3" t="s">
        <v>737</v>
      </c>
      <c r="J216">
        <f t="shared" si="39"/>
        <v>1</v>
      </c>
      <c r="K216">
        <f t="shared" si="40"/>
        <v>1</v>
      </c>
      <c r="L216">
        <f t="shared" si="41"/>
        <v>1</v>
      </c>
      <c r="M216">
        <f t="shared" si="42"/>
        <v>0</v>
      </c>
      <c r="N216">
        <f t="shared" si="43"/>
        <v>1</v>
      </c>
      <c r="O216">
        <f t="shared" si="44"/>
        <v>1</v>
      </c>
      <c r="P216">
        <f t="shared" si="45"/>
        <v>0</v>
      </c>
      <c r="Q216">
        <f t="shared" si="46"/>
        <v>1</v>
      </c>
      <c r="R216">
        <v>1</v>
      </c>
      <c r="S216">
        <v>1</v>
      </c>
      <c r="T216">
        <v>1</v>
      </c>
      <c r="U216">
        <v>0</v>
      </c>
      <c r="V216">
        <v>1</v>
      </c>
      <c r="W216">
        <v>0</v>
      </c>
      <c r="X216">
        <v>0</v>
      </c>
      <c r="Y216">
        <v>0</v>
      </c>
      <c r="Z216">
        <v>1</v>
      </c>
      <c r="AA216">
        <v>0</v>
      </c>
      <c r="AB216">
        <v>0</v>
      </c>
      <c r="AC216">
        <v>0</v>
      </c>
      <c r="AD216">
        <v>0</v>
      </c>
      <c r="AE216">
        <v>0</v>
      </c>
      <c r="AF216">
        <v>0</v>
      </c>
      <c r="AG216">
        <v>1</v>
      </c>
      <c r="AH216">
        <v>0</v>
      </c>
      <c r="AI216">
        <v>1</v>
      </c>
      <c r="AJ216">
        <v>0</v>
      </c>
      <c r="AK216">
        <v>0</v>
      </c>
      <c r="AL216">
        <v>0</v>
      </c>
      <c r="AM216">
        <v>0</v>
      </c>
      <c r="AN216">
        <v>0</v>
      </c>
      <c r="AO216">
        <v>0</v>
      </c>
      <c r="AP216">
        <v>0</v>
      </c>
      <c r="AQ216">
        <v>0</v>
      </c>
      <c r="AR216">
        <v>1</v>
      </c>
      <c r="AS216">
        <f t="shared" si="47"/>
        <v>6</v>
      </c>
      <c r="AT216">
        <f t="shared" si="48"/>
        <v>8</v>
      </c>
      <c r="AU216" s="3" t="s">
        <v>738</v>
      </c>
      <c r="AV216">
        <f t="shared" si="49"/>
        <v>1</v>
      </c>
      <c r="AW216">
        <f t="shared" si="50"/>
        <v>0</v>
      </c>
      <c r="AX216">
        <f t="shared" si="51"/>
        <v>1</v>
      </c>
      <c r="AY216">
        <v>7.5</v>
      </c>
      <c r="AZ216" t="s">
        <v>60</v>
      </c>
      <c r="BA216" t="s">
        <v>61</v>
      </c>
      <c r="BB216" t="s">
        <v>7</v>
      </c>
    </row>
    <row r="217" ht="185" spans="1:54">
      <c r="A217" t="s">
        <v>739</v>
      </c>
      <c r="B217" t="s">
        <v>55</v>
      </c>
      <c r="C217" t="s">
        <v>56</v>
      </c>
      <c r="D217">
        <v>31</v>
      </c>
      <c r="E217">
        <v>1</v>
      </c>
      <c r="F217">
        <v>157.3</v>
      </c>
      <c r="G217" t="s">
        <v>740</v>
      </c>
      <c r="H217" s="3" t="s">
        <v>741</v>
      </c>
      <c r="I217" s="3" t="s">
        <v>741</v>
      </c>
      <c r="J217">
        <f t="shared" si="39"/>
        <v>0</v>
      </c>
      <c r="K217">
        <f t="shared" si="40"/>
        <v>0</v>
      </c>
      <c r="L217">
        <f t="shared" si="41"/>
        <v>1</v>
      </c>
      <c r="M217">
        <f t="shared" si="42"/>
        <v>0</v>
      </c>
      <c r="N217">
        <f t="shared" si="43"/>
        <v>0</v>
      </c>
      <c r="O217">
        <f t="shared" si="44"/>
        <v>0</v>
      </c>
      <c r="P217">
        <f t="shared" si="45"/>
        <v>1</v>
      </c>
      <c r="Q217">
        <f t="shared" si="46"/>
        <v>0</v>
      </c>
      <c r="R217">
        <v>0</v>
      </c>
      <c r="S217">
        <v>0</v>
      </c>
      <c r="T217">
        <v>0</v>
      </c>
      <c r="U217">
        <v>0</v>
      </c>
      <c r="V217">
        <v>0</v>
      </c>
      <c r="W217">
        <v>0</v>
      </c>
      <c r="X217">
        <v>0</v>
      </c>
      <c r="Y217">
        <v>0</v>
      </c>
      <c r="Z217">
        <v>1</v>
      </c>
      <c r="AA217">
        <v>0</v>
      </c>
      <c r="AB217">
        <v>0</v>
      </c>
      <c r="AC217">
        <v>0</v>
      </c>
      <c r="AD217">
        <v>0</v>
      </c>
      <c r="AE217">
        <v>0</v>
      </c>
      <c r="AF217">
        <v>0</v>
      </c>
      <c r="AG217">
        <v>0</v>
      </c>
      <c r="AH217">
        <v>0</v>
      </c>
      <c r="AI217">
        <v>0</v>
      </c>
      <c r="AJ217">
        <v>0</v>
      </c>
      <c r="AK217">
        <v>0</v>
      </c>
      <c r="AL217">
        <v>0</v>
      </c>
      <c r="AM217">
        <v>0</v>
      </c>
      <c r="AN217">
        <v>0</v>
      </c>
      <c r="AO217">
        <v>0</v>
      </c>
      <c r="AP217">
        <v>1</v>
      </c>
      <c r="AQ217">
        <v>1</v>
      </c>
      <c r="AR217">
        <v>0</v>
      </c>
      <c r="AS217">
        <f t="shared" si="47"/>
        <v>2</v>
      </c>
      <c r="AT217">
        <f t="shared" si="48"/>
        <v>3</v>
      </c>
      <c r="AU217" s="3" t="s">
        <v>742</v>
      </c>
      <c r="AV217">
        <f t="shared" si="49"/>
        <v>1</v>
      </c>
      <c r="AW217">
        <f t="shared" si="50"/>
        <v>0</v>
      </c>
      <c r="AX217">
        <f t="shared" si="51"/>
        <v>0</v>
      </c>
      <c r="AY217">
        <v>3</v>
      </c>
      <c r="AZ217" t="s">
        <v>60</v>
      </c>
      <c r="BA217" t="s">
        <v>61</v>
      </c>
      <c r="BB217" t="s">
        <v>7</v>
      </c>
    </row>
    <row r="218" ht="252" spans="1:54">
      <c r="A218" t="s">
        <v>743</v>
      </c>
      <c r="B218" t="s">
        <v>55</v>
      </c>
      <c r="C218" t="s">
        <v>56</v>
      </c>
      <c r="D218">
        <v>348</v>
      </c>
      <c r="E218">
        <v>30</v>
      </c>
      <c r="F218">
        <v>131.1</v>
      </c>
      <c r="G218" t="s">
        <v>744</v>
      </c>
      <c r="H218" s="3" t="s">
        <v>745</v>
      </c>
      <c r="I218" s="3" t="s">
        <v>745</v>
      </c>
      <c r="J218">
        <f t="shared" si="39"/>
        <v>1</v>
      </c>
      <c r="K218">
        <f t="shared" si="40"/>
        <v>1</v>
      </c>
      <c r="L218">
        <f t="shared" si="41"/>
        <v>0</v>
      </c>
      <c r="M218">
        <f t="shared" si="42"/>
        <v>1</v>
      </c>
      <c r="N218">
        <f t="shared" si="43"/>
        <v>1</v>
      </c>
      <c r="O218">
        <f t="shared" si="44"/>
        <v>1</v>
      </c>
      <c r="P218">
        <f t="shared" si="45"/>
        <v>0</v>
      </c>
      <c r="Q218">
        <f t="shared" si="46"/>
        <v>0</v>
      </c>
      <c r="R218">
        <v>1</v>
      </c>
      <c r="S218">
        <v>0</v>
      </c>
      <c r="T218">
        <v>0</v>
      </c>
      <c r="U218">
        <v>0</v>
      </c>
      <c r="V218">
        <v>1</v>
      </c>
      <c r="W218">
        <v>1</v>
      </c>
      <c r="X218">
        <v>0</v>
      </c>
      <c r="Y218">
        <v>0</v>
      </c>
      <c r="Z218">
        <v>0</v>
      </c>
      <c r="AA218">
        <v>0</v>
      </c>
      <c r="AB218">
        <v>0</v>
      </c>
      <c r="AC218">
        <v>0</v>
      </c>
      <c r="AD218">
        <v>0</v>
      </c>
      <c r="AE218">
        <v>0</v>
      </c>
      <c r="AF218">
        <v>1</v>
      </c>
      <c r="AG218">
        <v>0</v>
      </c>
      <c r="AH218">
        <v>1</v>
      </c>
      <c r="AI218">
        <v>1</v>
      </c>
      <c r="AJ218">
        <v>1</v>
      </c>
      <c r="AK218">
        <v>0</v>
      </c>
      <c r="AL218">
        <v>0</v>
      </c>
      <c r="AM218">
        <v>0</v>
      </c>
      <c r="AN218">
        <v>0</v>
      </c>
      <c r="AO218">
        <v>0</v>
      </c>
      <c r="AP218">
        <v>0</v>
      </c>
      <c r="AQ218">
        <v>0</v>
      </c>
      <c r="AR218">
        <v>0</v>
      </c>
      <c r="AS218">
        <f t="shared" si="47"/>
        <v>5</v>
      </c>
      <c r="AT218">
        <f t="shared" si="48"/>
        <v>7</v>
      </c>
      <c r="AU218" s="3" t="s">
        <v>746</v>
      </c>
      <c r="AV218">
        <f t="shared" si="49"/>
        <v>1</v>
      </c>
      <c r="AW218">
        <f t="shared" si="50"/>
        <v>0</v>
      </c>
      <c r="AX218">
        <f t="shared" si="51"/>
        <v>0</v>
      </c>
      <c r="AY218">
        <v>9.5</v>
      </c>
      <c r="AZ218" t="s">
        <v>60</v>
      </c>
      <c r="BA218" t="s">
        <v>61</v>
      </c>
      <c r="BB218" t="s">
        <v>7</v>
      </c>
    </row>
    <row r="219" ht="51" spans="1:54">
      <c r="A219" t="s">
        <v>747</v>
      </c>
      <c r="B219" t="s">
        <v>55</v>
      </c>
      <c r="C219" t="s">
        <v>116</v>
      </c>
      <c r="D219">
        <v>265</v>
      </c>
      <c r="E219">
        <v>28</v>
      </c>
      <c r="F219">
        <v>98.7</v>
      </c>
      <c r="G219" t="s">
        <v>744</v>
      </c>
      <c r="H219" s="3" t="s">
        <v>748</v>
      </c>
      <c r="I219" s="3" t="s">
        <v>748</v>
      </c>
      <c r="J219">
        <f t="shared" si="39"/>
        <v>0</v>
      </c>
      <c r="K219">
        <f t="shared" si="40"/>
        <v>0</v>
      </c>
      <c r="L219">
        <f t="shared" si="41"/>
        <v>0</v>
      </c>
      <c r="M219">
        <f t="shared" si="42"/>
        <v>0</v>
      </c>
      <c r="N219">
        <f t="shared" si="43"/>
        <v>0</v>
      </c>
      <c r="O219">
        <f t="shared" si="44"/>
        <v>0</v>
      </c>
      <c r="P219">
        <f t="shared" si="45"/>
        <v>0</v>
      </c>
      <c r="Q219">
        <f t="shared" si="46"/>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f t="shared" si="47"/>
        <v>0</v>
      </c>
      <c r="AT219">
        <f t="shared" si="48"/>
        <v>0</v>
      </c>
      <c r="AU219" s="3" t="s">
        <v>118</v>
      </c>
      <c r="AV219">
        <f t="shared" si="49"/>
        <v>0</v>
      </c>
      <c r="AW219">
        <f t="shared" si="50"/>
        <v>1</v>
      </c>
      <c r="AX219">
        <f t="shared" si="51"/>
        <v>0</v>
      </c>
      <c r="AY219">
        <v>-4.5</v>
      </c>
      <c r="AZ219" t="s">
        <v>133</v>
      </c>
      <c r="BA219" t="s">
        <v>134</v>
      </c>
      <c r="BB219" t="s">
        <v>7</v>
      </c>
    </row>
    <row r="220" ht="219" spans="1:54">
      <c r="A220" t="s">
        <v>749</v>
      </c>
      <c r="B220" t="s">
        <v>55</v>
      </c>
      <c r="C220" t="s">
        <v>56</v>
      </c>
      <c r="D220">
        <v>60</v>
      </c>
      <c r="E220">
        <v>1</v>
      </c>
      <c r="F220">
        <v>93.9</v>
      </c>
      <c r="G220" t="s">
        <v>750</v>
      </c>
      <c r="H220" s="3" t="s">
        <v>751</v>
      </c>
      <c r="I220" s="3" t="s">
        <v>751</v>
      </c>
      <c r="J220">
        <f t="shared" si="39"/>
        <v>1</v>
      </c>
      <c r="K220">
        <f t="shared" si="40"/>
        <v>1</v>
      </c>
      <c r="L220">
        <f t="shared" si="41"/>
        <v>0</v>
      </c>
      <c r="M220">
        <f t="shared" si="42"/>
        <v>0</v>
      </c>
      <c r="N220">
        <f t="shared" si="43"/>
        <v>1</v>
      </c>
      <c r="O220">
        <f t="shared" si="44"/>
        <v>0</v>
      </c>
      <c r="P220">
        <f t="shared" si="45"/>
        <v>1</v>
      </c>
      <c r="Q220">
        <f t="shared" si="46"/>
        <v>0</v>
      </c>
      <c r="R220">
        <v>1</v>
      </c>
      <c r="S220">
        <v>0</v>
      </c>
      <c r="T220">
        <v>0</v>
      </c>
      <c r="U220">
        <v>1</v>
      </c>
      <c r="V220">
        <v>1</v>
      </c>
      <c r="W220">
        <v>0</v>
      </c>
      <c r="X220">
        <v>0</v>
      </c>
      <c r="Y220">
        <v>0</v>
      </c>
      <c r="Z220">
        <v>0</v>
      </c>
      <c r="AA220">
        <v>0</v>
      </c>
      <c r="AB220">
        <v>0</v>
      </c>
      <c r="AC220">
        <v>0</v>
      </c>
      <c r="AD220">
        <v>0</v>
      </c>
      <c r="AE220">
        <v>0</v>
      </c>
      <c r="AF220">
        <v>0</v>
      </c>
      <c r="AG220">
        <v>0</v>
      </c>
      <c r="AH220">
        <v>1</v>
      </c>
      <c r="AI220">
        <v>0</v>
      </c>
      <c r="AJ220">
        <v>0</v>
      </c>
      <c r="AK220">
        <v>0</v>
      </c>
      <c r="AL220">
        <v>0</v>
      </c>
      <c r="AM220">
        <v>0</v>
      </c>
      <c r="AN220">
        <v>0</v>
      </c>
      <c r="AO220">
        <v>0</v>
      </c>
      <c r="AP220">
        <v>1</v>
      </c>
      <c r="AQ220">
        <v>0</v>
      </c>
      <c r="AR220">
        <v>0</v>
      </c>
      <c r="AS220">
        <f t="shared" si="47"/>
        <v>4</v>
      </c>
      <c r="AT220">
        <f t="shared" si="48"/>
        <v>5</v>
      </c>
      <c r="AU220" s="3" t="s">
        <v>752</v>
      </c>
      <c r="AV220">
        <f t="shared" si="49"/>
        <v>1</v>
      </c>
      <c r="AW220">
        <f t="shared" si="50"/>
        <v>0</v>
      </c>
      <c r="AX220">
        <f t="shared" si="51"/>
        <v>0</v>
      </c>
      <c r="AY220">
        <v>10</v>
      </c>
      <c r="AZ220" t="s">
        <v>60</v>
      </c>
      <c r="BA220" t="s">
        <v>61</v>
      </c>
      <c r="BB220" t="s">
        <v>7</v>
      </c>
    </row>
    <row r="221" ht="185" spans="1:54">
      <c r="A221" t="s">
        <v>753</v>
      </c>
      <c r="B221" t="s">
        <v>55</v>
      </c>
      <c r="C221" t="s">
        <v>56</v>
      </c>
      <c r="D221">
        <v>328</v>
      </c>
      <c r="E221">
        <v>18</v>
      </c>
      <c r="F221">
        <v>196.1</v>
      </c>
      <c r="G221" t="s">
        <v>754</v>
      </c>
      <c r="H221" s="3" t="s">
        <v>755</v>
      </c>
      <c r="I221" s="3" t="s">
        <v>755</v>
      </c>
      <c r="J221">
        <f t="shared" si="39"/>
        <v>1</v>
      </c>
      <c r="K221">
        <f t="shared" si="40"/>
        <v>1</v>
      </c>
      <c r="L221">
        <f t="shared" si="41"/>
        <v>1</v>
      </c>
      <c r="M221">
        <f t="shared" si="42"/>
        <v>0</v>
      </c>
      <c r="N221">
        <f t="shared" si="43"/>
        <v>1</v>
      </c>
      <c r="O221">
        <f t="shared" si="44"/>
        <v>1</v>
      </c>
      <c r="P221">
        <f t="shared" si="45"/>
        <v>1</v>
      </c>
      <c r="Q221">
        <f t="shared" si="46"/>
        <v>0</v>
      </c>
      <c r="R221">
        <v>1</v>
      </c>
      <c r="S221">
        <v>0</v>
      </c>
      <c r="T221">
        <v>0</v>
      </c>
      <c r="U221">
        <v>1</v>
      </c>
      <c r="V221">
        <v>1</v>
      </c>
      <c r="W221">
        <v>0</v>
      </c>
      <c r="X221">
        <v>0</v>
      </c>
      <c r="Y221">
        <v>0</v>
      </c>
      <c r="Z221">
        <v>0</v>
      </c>
      <c r="AA221">
        <v>0</v>
      </c>
      <c r="AB221">
        <v>1</v>
      </c>
      <c r="AC221">
        <v>0</v>
      </c>
      <c r="AD221">
        <v>0</v>
      </c>
      <c r="AE221">
        <v>0</v>
      </c>
      <c r="AF221">
        <v>0</v>
      </c>
      <c r="AG221">
        <v>0</v>
      </c>
      <c r="AH221">
        <v>1</v>
      </c>
      <c r="AI221">
        <v>1</v>
      </c>
      <c r="AJ221">
        <v>0</v>
      </c>
      <c r="AK221">
        <v>0</v>
      </c>
      <c r="AL221">
        <v>0</v>
      </c>
      <c r="AM221">
        <v>0</v>
      </c>
      <c r="AN221">
        <v>1</v>
      </c>
      <c r="AO221">
        <v>0</v>
      </c>
      <c r="AP221">
        <v>0</v>
      </c>
      <c r="AQ221">
        <v>1</v>
      </c>
      <c r="AR221">
        <v>0</v>
      </c>
      <c r="AS221">
        <f t="shared" si="47"/>
        <v>6</v>
      </c>
      <c r="AT221">
        <f t="shared" si="48"/>
        <v>8</v>
      </c>
      <c r="AU221" s="3" t="s">
        <v>756</v>
      </c>
      <c r="AV221">
        <f t="shared" si="49"/>
        <v>1</v>
      </c>
      <c r="AW221">
        <f t="shared" si="50"/>
        <v>0</v>
      </c>
      <c r="AX221">
        <f t="shared" si="51"/>
        <v>1</v>
      </c>
      <c r="AY221">
        <v>11.5</v>
      </c>
      <c r="AZ221" t="s">
        <v>60</v>
      </c>
      <c r="BA221" t="s">
        <v>61</v>
      </c>
      <c r="BB221" t="s">
        <v>7</v>
      </c>
    </row>
    <row r="222" ht="202" spans="1:54">
      <c r="A222" t="s">
        <v>757</v>
      </c>
      <c r="B222" t="s">
        <v>55</v>
      </c>
      <c r="C222" t="s">
        <v>116</v>
      </c>
      <c r="D222">
        <v>61</v>
      </c>
      <c r="E222">
        <v>5</v>
      </c>
      <c r="F222">
        <v>33.8</v>
      </c>
      <c r="G222" t="s">
        <v>754</v>
      </c>
      <c r="H222" s="3" t="s">
        <v>758</v>
      </c>
      <c r="I222" s="3" t="s">
        <v>758</v>
      </c>
      <c r="J222">
        <f t="shared" si="39"/>
        <v>1</v>
      </c>
      <c r="K222">
        <f t="shared" si="40"/>
        <v>1</v>
      </c>
      <c r="L222">
        <f t="shared" si="41"/>
        <v>1</v>
      </c>
      <c r="M222">
        <f t="shared" si="42"/>
        <v>1</v>
      </c>
      <c r="N222">
        <f t="shared" si="43"/>
        <v>1</v>
      </c>
      <c r="O222">
        <f t="shared" si="44"/>
        <v>0</v>
      </c>
      <c r="P222">
        <f t="shared" si="45"/>
        <v>0</v>
      </c>
      <c r="Q222">
        <f t="shared" si="46"/>
        <v>1</v>
      </c>
      <c r="R222">
        <v>1</v>
      </c>
      <c r="S222">
        <v>1</v>
      </c>
      <c r="T222">
        <v>0</v>
      </c>
      <c r="U222">
        <v>0</v>
      </c>
      <c r="V222">
        <v>1</v>
      </c>
      <c r="W222">
        <v>0</v>
      </c>
      <c r="X222">
        <v>1</v>
      </c>
      <c r="Y222">
        <v>1</v>
      </c>
      <c r="Z222">
        <v>0</v>
      </c>
      <c r="AA222">
        <v>1</v>
      </c>
      <c r="AB222">
        <v>1</v>
      </c>
      <c r="AC222">
        <v>0</v>
      </c>
      <c r="AD222">
        <v>1</v>
      </c>
      <c r="AE222">
        <v>0</v>
      </c>
      <c r="AF222">
        <v>0</v>
      </c>
      <c r="AG222">
        <v>0</v>
      </c>
      <c r="AH222">
        <v>1</v>
      </c>
      <c r="AI222">
        <v>0</v>
      </c>
      <c r="AJ222">
        <v>0</v>
      </c>
      <c r="AK222">
        <v>0</v>
      </c>
      <c r="AL222">
        <v>0</v>
      </c>
      <c r="AM222">
        <v>0</v>
      </c>
      <c r="AN222">
        <v>0</v>
      </c>
      <c r="AO222">
        <v>0</v>
      </c>
      <c r="AP222">
        <v>0</v>
      </c>
      <c r="AQ222">
        <v>0</v>
      </c>
      <c r="AR222">
        <v>1</v>
      </c>
      <c r="AS222">
        <f t="shared" si="47"/>
        <v>6</v>
      </c>
      <c r="AT222">
        <f t="shared" si="48"/>
        <v>10</v>
      </c>
      <c r="AU222" s="3" t="s">
        <v>759</v>
      </c>
      <c r="AV222">
        <f t="shared" si="49"/>
        <v>1</v>
      </c>
      <c r="AW222">
        <f t="shared" si="50"/>
        <v>0</v>
      </c>
      <c r="AX222">
        <f t="shared" si="51"/>
        <v>1</v>
      </c>
      <c r="AY222">
        <v>12.5</v>
      </c>
      <c r="AZ222" t="s">
        <v>60</v>
      </c>
      <c r="BA222" t="s">
        <v>61</v>
      </c>
      <c r="BB222" t="s">
        <v>7</v>
      </c>
    </row>
    <row r="223" ht="409.5" spans="1:54">
      <c r="A223" t="s">
        <v>760</v>
      </c>
      <c r="B223" t="s">
        <v>55</v>
      </c>
      <c r="C223" t="s">
        <v>56</v>
      </c>
      <c r="D223">
        <v>211</v>
      </c>
      <c r="E223">
        <v>9</v>
      </c>
      <c r="F223">
        <v>156.7</v>
      </c>
      <c r="G223" t="s">
        <v>761</v>
      </c>
      <c r="H223" s="3" t="s">
        <v>762</v>
      </c>
      <c r="I223" s="3" t="s">
        <v>762</v>
      </c>
      <c r="J223">
        <f t="shared" si="39"/>
        <v>1</v>
      </c>
      <c r="K223">
        <f t="shared" si="40"/>
        <v>1</v>
      </c>
      <c r="L223">
        <f t="shared" si="41"/>
        <v>1</v>
      </c>
      <c r="M223">
        <f t="shared" si="42"/>
        <v>0</v>
      </c>
      <c r="N223">
        <f t="shared" si="43"/>
        <v>1</v>
      </c>
      <c r="O223">
        <f t="shared" si="44"/>
        <v>1</v>
      </c>
      <c r="P223">
        <f t="shared" si="45"/>
        <v>1</v>
      </c>
      <c r="Q223">
        <f t="shared" si="46"/>
        <v>1</v>
      </c>
      <c r="R223">
        <v>1</v>
      </c>
      <c r="S223">
        <v>1</v>
      </c>
      <c r="T223">
        <v>1</v>
      </c>
      <c r="U223">
        <v>1</v>
      </c>
      <c r="V223">
        <v>1</v>
      </c>
      <c r="W223">
        <v>1</v>
      </c>
      <c r="X223">
        <v>1</v>
      </c>
      <c r="Y223">
        <v>1</v>
      </c>
      <c r="Z223">
        <v>1</v>
      </c>
      <c r="AA223">
        <v>1</v>
      </c>
      <c r="AB223">
        <v>1</v>
      </c>
      <c r="AC223">
        <v>1</v>
      </c>
      <c r="AD223">
        <v>0</v>
      </c>
      <c r="AE223">
        <v>0</v>
      </c>
      <c r="AF223">
        <v>0</v>
      </c>
      <c r="AG223">
        <v>1</v>
      </c>
      <c r="AH223">
        <v>1</v>
      </c>
      <c r="AI223">
        <v>1</v>
      </c>
      <c r="AJ223">
        <v>0</v>
      </c>
      <c r="AK223">
        <v>1</v>
      </c>
      <c r="AL223">
        <v>1</v>
      </c>
      <c r="AM223">
        <v>0</v>
      </c>
      <c r="AN223">
        <v>1</v>
      </c>
      <c r="AO223">
        <v>0</v>
      </c>
      <c r="AP223">
        <v>0</v>
      </c>
      <c r="AQ223">
        <v>1</v>
      </c>
      <c r="AR223">
        <v>1</v>
      </c>
      <c r="AS223">
        <f t="shared" si="47"/>
        <v>7</v>
      </c>
      <c r="AT223">
        <f t="shared" si="48"/>
        <v>20</v>
      </c>
      <c r="AU223" s="3" t="s">
        <v>763</v>
      </c>
      <c r="AV223">
        <f t="shared" si="49"/>
        <v>1</v>
      </c>
      <c r="AW223">
        <f t="shared" si="50"/>
        <v>0</v>
      </c>
      <c r="AX223">
        <f t="shared" si="51"/>
        <v>1</v>
      </c>
      <c r="AY223">
        <v>153</v>
      </c>
      <c r="AZ223" t="s">
        <v>60</v>
      </c>
      <c r="BA223" t="s">
        <v>61</v>
      </c>
      <c r="BB223" t="s">
        <v>7</v>
      </c>
    </row>
    <row r="224" ht="409.5" spans="1:54">
      <c r="A224" t="s">
        <v>764</v>
      </c>
      <c r="B224" t="s">
        <v>55</v>
      </c>
      <c r="C224" t="s">
        <v>116</v>
      </c>
      <c r="D224">
        <v>104</v>
      </c>
      <c r="E224">
        <v>11</v>
      </c>
      <c r="F224">
        <v>72.6</v>
      </c>
      <c r="G224" t="s">
        <v>761</v>
      </c>
      <c r="H224" s="3" t="s">
        <v>765</v>
      </c>
      <c r="I224" s="3" t="s">
        <v>765</v>
      </c>
      <c r="J224">
        <f t="shared" si="39"/>
        <v>1</v>
      </c>
      <c r="K224">
        <f t="shared" si="40"/>
        <v>1</v>
      </c>
      <c r="L224">
        <f t="shared" si="41"/>
        <v>1</v>
      </c>
      <c r="M224">
        <f t="shared" si="42"/>
        <v>1</v>
      </c>
      <c r="N224">
        <f t="shared" si="43"/>
        <v>1</v>
      </c>
      <c r="O224">
        <f t="shared" si="44"/>
        <v>1</v>
      </c>
      <c r="P224">
        <f t="shared" si="45"/>
        <v>1</v>
      </c>
      <c r="Q224">
        <f t="shared" si="46"/>
        <v>0</v>
      </c>
      <c r="R224">
        <v>1</v>
      </c>
      <c r="S224">
        <v>0</v>
      </c>
      <c r="T224">
        <v>0</v>
      </c>
      <c r="U224">
        <v>1</v>
      </c>
      <c r="V224">
        <v>1</v>
      </c>
      <c r="W224">
        <v>1</v>
      </c>
      <c r="X224">
        <v>1</v>
      </c>
      <c r="Y224">
        <v>1</v>
      </c>
      <c r="Z224">
        <v>1</v>
      </c>
      <c r="AA224">
        <v>1</v>
      </c>
      <c r="AB224">
        <v>1</v>
      </c>
      <c r="AC224">
        <v>1</v>
      </c>
      <c r="AD224">
        <v>1</v>
      </c>
      <c r="AE224">
        <v>0</v>
      </c>
      <c r="AF224">
        <v>0</v>
      </c>
      <c r="AG224">
        <v>1</v>
      </c>
      <c r="AH224">
        <v>1</v>
      </c>
      <c r="AI224">
        <v>1</v>
      </c>
      <c r="AJ224">
        <v>0</v>
      </c>
      <c r="AK224">
        <v>0</v>
      </c>
      <c r="AL224">
        <v>0</v>
      </c>
      <c r="AM224">
        <v>0</v>
      </c>
      <c r="AN224">
        <v>0</v>
      </c>
      <c r="AO224">
        <v>0</v>
      </c>
      <c r="AP224">
        <v>1</v>
      </c>
      <c r="AQ224">
        <v>0</v>
      </c>
      <c r="AR224">
        <v>0</v>
      </c>
      <c r="AS224">
        <f t="shared" si="47"/>
        <v>7</v>
      </c>
      <c r="AT224">
        <f t="shared" si="48"/>
        <v>15</v>
      </c>
      <c r="AU224" s="3" t="s">
        <v>766</v>
      </c>
      <c r="AV224">
        <f t="shared" si="49"/>
        <v>1</v>
      </c>
      <c r="AW224">
        <f t="shared" si="50"/>
        <v>0</v>
      </c>
      <c r="AX224">
        <f t="shared" si="51"/>
        <v>1</v>
      </c>
      <c r="AY224">
        <v>21</v>
      </c>
      <c r="AZ224" t="s">
        <v>60</v>
      </c>
      <c r="BA224" t="s">
        <v>61</v>
      </c>
      <c r="BB224" t="s">
        <v>7</v>
      </c>
    </row>
    <row r="225" ht="409.5" spans="1:54">
      <c r="A225" t="s">
        <v>767</v>
      </c>
      <c r="B225" t="s">
        <v>55</v>
      </c>
      <c r="C225" t="s">
        <v>56</v>
      </c>
      <c r="D225">
        <v>156</v>
      </c>
      <c r="E225">
        <v>13</v>
      </c>
      <c r="F225">
        <v>244.3</v>
      </c>
      <c r="G225" t="s">
        <v>768</v>
      </c>
      <c r="H225" s="3" t="s">
        <v>769</v>
      </c>
      <c r="I225" s="3" t="s">
        <v>769</v>
      </c>
      <c r="J225">
        <f t="shared" si="39"/>
        <v>1</v>
      </c>
      <c r="K225">
        <f t="shared" si="40"/>
        <v>1</v>
      </c>
      <c r="L225">
        <f t="shared" si="41"/>
        <v>1</v>
      </c>
      <c r="M225">
        <f t="shared" si="42"/>
        <v>1</v>
      </c>
      <c r="N225">
        <f t="shared" si="43"/>
        <v>1</v>
      </c>
      <c r="O225">
        <f t="shared" si="44"/>
        <v>1</v>
      </c>
      <c r="P225">
        <f t="shared" si="45"/>
        <v>1</v>
      </c>
      <c r="Q225">
        <f t="shared" si="46"/>
        <v>0</v>
      </c>
      <c r="R225">
        <v>1</v>
      </c>
      <c r="S225">
        <v>0</v>
      </c>
      <c r="T225">
        <v>1</v>
      </c>
      <c r="U225">
        <v>1</v>
      </c>
      <c r="V225">
        <v>1</v>
      </c>
      <c r="W225">
        <v>1</v>
      </c>
      <c r="X225">
        <v>1</v>
      </c>
      <c r="Y225">
        <v>1</v>
      </c>
      <c r="Z225">
        <v>0</v>
      </c>
      <c r="AA225">
        <v>0</v>
      </c>
      <c r="AB225">
        <v>1</v>
      </c>
      <c r="AC225">
        <v>1</v>
      </c>
      <c r="AD225">
        <v>1</v>
      </c>
      <c r="AE225">
        <v>0</v>
      </c>
      <c r="AF225">
        <v>0</v>
      </c>
      <c r="AG225">
        <v>0</v>
      </c>
      <c r="AH225">
        <v>1</v>
      </c>
      <c r="AI225">
        <v>1</v>
      </c>
      <c r="AJ225">
        <v>0</v>
      </c>
      <c r="AK225">
        <v>0</v>
      </c>
      <c r="AL225">
        <v>0</v>
      </c>
      <c r="AM225">
        <v>0</v>
      </c>
      <c r="AN225">
        <v>0</v>
      </c>
      <c r="AO225">
        <v>0</v>
      </c>
      <c r="AP225">
        <v>1</v>
      </c>
      <c r="AQ225">
        <v>0</v>
      </c>
      <c r="AR225">
        <v>0</v>
      </c>
      <c r="AS225">
        <f t="shared" si="47"/>
        <v>7</v>
      </c>
      <c r="AT225">
        <f t="shared" si="48"/>
        <v>13</v>
      </c>
      <c r="AU225" s="3" t="s">
        <v>770</v>
      </c>
      <c r="AV225">
        <f t="shared" si="49"/>
        <v>1</v>
      </c>
      <c r="AW225">
        <f t="shared" si="50"/>
        <v>0</v>
      </c>
      <c r="AX225">
        <f t="shared" si="51"/>
        <v>1</v>
      </c>
      <c r="AY225">
        <v>29.5</v>
      </c>
      <c r="AZ225" t="s">
        <v>60</v>
      </c>
      <c r="BA225" t="s">
        <v>61</v>
      </c>
      <c r="BB225" t="s">
        <v>7</v>
      </c>
    </row>
    <row r="226" ht="17" spans="1:54">
      <c r="A226" t="s">
        <v>771</v>
      </c>
      <c r="B226" t="s">
        <v>55</v>
      </c>
      <c r="C226" t="s">
        <v>56</v>
      </c>
      <c r="D226">
        <v>76</v>
      </c>
      <c r="E226">
        <v>3</v>
      </c>
      <c r="F226">
        <v>103.2</v>
      </c>
      <c r="G226" t="s">
        <v>772</v>
      </c>
      <c r="H226" s="3" t="s">
        <v>773</v>
      </c>
      <c r="I226" s="3" t="s">
        <v>773</v>
      </c>
      <c r="J226">
        <f t="shared" si="39"/>
        <v>1</v>
      </c>
      <c r="K226">
        <f t="shared" si="40"/>
        <v>0</v>
      </c>
      <c r="L226">
        <f t="shared" si="41"/>
        <v>1</v>
      </c>
      <c r="M226">
        <f t="shared" si="42"/>
        <v>0</v>
      </c>
      <c r="N226">
        <f t="shared" si="43"/>
        <v>1</v>
      </c>
      <c r="O226">
        <f t="shared" si="44"/>
        <v>0</v>
      </c>
      <c r="P226">
        <f t="shared" si="45"/>
        <v>0</v>
      </c>
      <c r="Q226">
        <f t="shared" si="46"/>
        <v>0</v>
      </c>
      <c r="R226">
        <v>1</v>
      </c>
      <c r="S226">
        <v>0</v>
      </c>
      <c r="T226">
        <v>0</v>
      </c>
      <c r="U226">
        <v>0</v>
      </c>
      <c r="V226">
        <v>0</v>
      </c>
      <c r="W226">
        <v>0</v>
      </c>
      <c r="X226">
        <v>0</v>
      </c>
      <c r="Y226">
        <v>0</v>
      </c>
      <c r="Z226">
        <v>1</v>
      </c>
      <c r="AA226">
        <v>0</v>
      </c>
      <c r="AB226">
        <v>0</v>
      </c>
      <c r="AC226">
        <v>0</v>
      </c>
      <c r="AD226">
        <v>0</v>
      </c>
      <c r="AE226">
        <v>0</v>
      </c>
      <c r="AF226">
        <v>0</v>
      </c>
      <c r="AG226">
        <v>0</v>
      </c>
      <c r="AH226">
        <v>1</v>
      </c>
      <c r="AI226">
        <v>0</v>
      </c>
      <c r="AJ226">
        <v>0</v>
      </c>
      <c r="AK226">
        <v>0</v>
      </c>
      <c r="AL226">
        <v>0</v>
      </c>
      <c r="AM226">
        <v>0</v>
      </c>
      <c r="AN226">
        <v>0</v>
      </c>
      <c r="AO226">
        <v>0</v>
      </c>
      <c r="AP226">
        <v>0</v>
      </c>
      <c r="AQ226">
        <v>0</v>
      </c>
      <c r="AR226">
        <v>0</v>
      </c>
      <c r="AS226">
        <f t="shared" si="47"/>
        <v>3</v>
      </c>
      <c r="AT226">
        <f t="shared" si="48"/>
        <v>3</v>
      </c>
      <c r="AU226" s="3" t="s">
        <v>774</v>
      </c>
      <c r="AV226">
        <f t="shared" si="49"/>
        <v>1</v>
      </c>
      <c r="AW226">
        <f t="shared" si="50"/>
        <v>0</v>
      </c>
      <c r="AX226">
        <f t="shared" si="51"/>
        <v>0</v>
      </c>
      <c r="AY226">
        <v>-1.5</v>
      </c>
      <c r="AZ226" t="s">
        <v>133</v>
      </c>
      <c r="BA226" t="s">
        <v>134</v>
      </c>
      <c r="BB226" t="s">
        <v>7</v>
      </c>
    </row>
    <row r="227" ht="387" spans="1:54">
      <c r="A227" t="s">
        <v>775</v>
      </c>
      <c r="B227" t="s">
        <v>55</v>
      </c>
      <c r="C227" t="s">
        <v>56</v>
      </c>
      <c r="D227">
        <v>18</v>
      </c>
      <c r="E227">
        <v>1</v>
      </c>
      <c r="F227" t="s">
        <v>776</v>
      </c>
      <c r="G227" t="s">
        <v>777</v>
      </c>
      <c r="H227" s="3" t="s">
        <v>778</v>
      </c>
      <c r="I227" s="3" t="s">
        <v>778</v>
      </c>
      <c r="J227">
        <f t="shared" si="39"/>
        <v>1</v>
      </c>
      <c r="K227">
        <f t="shared" si="40"/>
        <v>1</v>
      </c>
      <c r="L227">
        <f t="shared" si="41"/>
        <v>1</v>
      </c>
      <c r="M227">
        <f t="shared" si="42"/>
        <v>0</v>
      </c>
      <c r="N227">
        <f t="shared" si="43"/>
        <v>1</v>
      </c>
      <c r="O227">
        <f t="shared" si="44"/>
        <v>1</v>
      </c>
      <c r="P227">
        <f t="shared" si="45"/>
        <v>1</v>
      </c>
      <c r="Q227">
        <f t="shared" si="46"/>
        <v>1</v>
      </c>
      <c r="R227">
        <v>1</v>
      </c>
      <c r="S227">
        <v>1</v>
      </c>
      <c r="T227">
        <v>1</v>
      </c>
      <c r="U227">
        <v>1</v>
      </c>
      <c r="V227">
        <v>0</v>
      </c>
      <c r="W227">
        <v>0</v>
      </c>
      <c r="X227">
        <v>0</v>
      </c>
      <c r="Y227">
        <v>0</v>
      </c>
      <c r="Z227">
        <v>1</v>
      </c>
      <c r="AA227">
        <v>0</v>
      </c>
      <c r="AB227">
        <v>0</v>
      </c>
      <c r="AC227">
        <v>1</v>
      </c>
      <c r="AD227">
        <v>0</v>
      </c>
      <c r="AE227">
        <v>0</v>
      </c>
      <c r="AF227">
        <v>0</v>
      </c>
      <c r="AG227">
        <v>1</v>
      </c>
      <c r="AH227">
        <v>0</v>
      </c>
      <c r="AI227">
        <v>1</v>
      </c>
      <c r="AJ227">
        <v>1</v>
      </c>
      <c r="AK227">
        <v>0</v>
      </c>
      <c r="AL227">
        <v>1</v>
      </c>
      <c r="AM227">
        <v>0</v>
      </c>
      <c r="AN227">
        <v>0</v>
      </c>
      <c r="AO227">
        <v>0</v>
      </c>
      <c r="AP227">
        <v>0</v>
      </c>
      <c r="AQ227">
        <v>1</v>
      </c>
      <c r="AR227">
        <v>1</v>
      </c>
      <c r="AS227">
        <f t="shared" si="47"/>
        <v>7</v>
      </c>
      <c r="AT227">
        <f t="shared" si="48"/>
        <v>12</v>
      </c>
      <c r="AU227" s="3" t="s">
        <v>779</v>
      </c>
      <c r="AV227">
        <f t="shared" si="49"/>
        <v>1</v>
      </c>
      <c r="AW227">
        <f t="shared" si="50"/>
        <v>0</v>
      </c>
      <c r="AX227">
        <f t="shared" si="51"/>
        <v>1</v>
      </c>
      <c r="AY227">
        <v>8</v>
      </c>
      <c r="AZ227" t="s">
        <v>60</v>
      </c>
      <c r="BA227" t="s">
        <v>61</v>
      </c>
      <c r="BB227" t="s">
        <v>7</v>
      </c>
    </row>
    <row r="228" ht="404" spans="1:54">
      <c r="A228" t="s">
        <v>780</v>
      </c>
      <c r="B228" t="s">
        <v>55</v>
      </c>
      <c r="C228" t="s">
        <v>56</v>
      </c>
      <c r="D228">
        <v>71</v>
      </c>
      <c r="E228">
        <v>3</v>
      </c>
      <c r="F228">
        <v>45.9</v>
      </c>
      <c r="G228" t="s">
        <v>781</v>
      </c>
      <c r="H228" s="3" t="s">
        <v>782</v>
      </c>
      <c r="I228" s="3" t="s">
        <v>782</v>
      </c>
      <c r="J228">
        <f t="shared" si="39"/>
        <v>0</v>
      </c>
      <c r="K228">
        <f t="shared" si="40"/>
        <v>1</v>
      </c>
      <c r="L228">
        <f t="shared" si="41"/>
        <v>1</v>
      </c>
      <c r="M228">
        <f t="shared" si="42"/>
        <v>0</v>
      </c>
      <c r="N228">
        <f t="shared" si="43"/>
        <v>1</v>
      </c>
      <c r="O228">
        <f t="shared" si="44"/>
        <v>1</v>
      </c>
      <c r="P228">
        <f t="shared" si="45"/>
        <v>1</v>
      </c>
      <c r="Q228">
        <f t="shared" si="46"/>
        <v>0</v>
      </c>
      <c r="R228">
        <v>0</v>
      </c>
      <c r="S228">
        <v>0</v>
      </c>
      <c r="T228">
        <v>0</v>
      </c>
      <c r="U228">
        <v>1</v>
      </c>
      <c r="V228">
        <v>1</v>
      </c>
      <c r="W228">
        <v>1</v>
      </c>
      <c r="X228">
        <v>0</v>
      </c>
      <c r="Y228">
        <v>0</v>
      </c>
      <c r="Z228">
        <v>1</v>
      </c>
      <c r="AA228">
        <v>1</v>
      </c>
      <c r="AB228">
        <v>0</v>
      </c>
      <c r="AC228">
        <v>1</v>
      </c>
      <c r="AD228">
        <v>0</v>
      </c>
      <c r="AE228">
        <v>0</v>
      </c>
      <c r="AF228">
        <v>0</v>
      </c>
      <c r="AG228">
        <v>0</v>
      </c>
      <c r="AH228">
        <v>1</v>
      </c>
      <c r="AI228">
        <v>1</v>
      </c>
      <c r="AJ228">
        <v>0</v>
      </c>
      <c r="AK228">
        <v>0</v>
      </c>
      <c r="AL228">
        <v>0</v>
      </c>
      <c r="AM228">
        <v>0</v>
      </c>
      <c r="AN228">
        <v>0</v>
      </c>
      <c r="AO228">
        <v>0</v>
      </c>
      <c r="AP228">
        <v>1</v>
      </c>
      <c r="AQ228">
        <v>0</v>
      </c>
      <c r="AR228">
        <v>0</v>
      </c>
      <c r="AS228">
        <f t="shared" si="47"/>
        <v>5</v>
      </c>
      <c r="AT228">
        <f t="shared" si="48"/>
        <v>9</v>
      </c>
      <c r="AU228" s="3" t="s">
        <v>783</v>
      </c>
      <c r="AV228">
        <f t="shared" si="49"/>
        <v>1</v>
      </c>
      <c r="AW228">
        <f t="shared" si="50"/>
        <v>0</v>
      </c>
      <c r="AX228">
        <f t="shared" si="51"/>
        <v>1</v>
      </c>
      <c r="AY228">
        <v>15</v>
      </c>
      <c r="AZ228" t="s">
        <v>60</v>
      </c>
      <c r="BA228" t="s">
        <v>61</v>
      </c>
      <c r="BB228" t="s">
        <v>7</v>
      </c>
    </row>
    <row r="229" ht="51" spans="1:54">
      <c r="A229" t="s">
        <v>784</v>
      </c>
      <c r="B229" t="s">
        <v>55</v>
      </c>
      <c r="C229" t="s">
        <v>56</v>
      </c>
      <c r="D229">
        <v>241</v>
      </c>
      <c r="E229">
        <v>240</v>
      </c>
      <c r="F229">
        <v>96.8</v>
      </c>
      <c r="G229" t="s">
        <v>785</v>
      </c>
      <c r="H229" s="3" t="s">
        <v>786</v>
      </c>
      <c r="I229" s="3" t="s">
        <v>786</v>
      </c>
      <c r="J229">
        <f t="shared" si="39"/>
        <v>0</v>
      </c>
      <c r="K229">
        <f t="shared" si="40"/>
        <v>0</v>
      </c>
      <c r="L229">
        <f t="shared" si="41"/>
        <v>0</v>
      </c>
      <c r="M229">
        <f t="shared" si="42"/>
        <v>0</v>
      </c>
      <c r="N229">
        <f t="shared" si="43"/>
        <v>0</v>
      </c>
      <c r="O229">
        <f t="shared" si="44"/>
        <v>1</v>
      </c>
      <c r="P229">
        <f t="shared" si="45"/>
        <v>0</v>
      </c>
      <c r="Q229">
        <f t="shared" si="46"/>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1</v>
      </c>
      <c r="AM229">
        <v>0</v>
      </c>
      <c r="AN229">
        <v>0</v>
      </c>
      <c r="AO229">
        <v>0</v>
      </c>
      <c r="AP229">
        <v>0</v>
      </c>
      <c r="AQ229">
        <v>0</v>
      </c>
      <c r="AR229">
        <v>0</v>
      </c>
      <c r="AS229">
        <f t="shared" si="47"/>
        <v>1</v>
      </c>
      <c r="AT229">
        <f t="shared" si="48"/>
        <v>1</v>
      </c>
      <c r="AU229" s="3" t="s">
        <v>787</v>
      </c>
      <c r="AV229">
        <f t="shared" si="49"/>
        <v>1</v>
      </c>
      <c r="AW229">
        <f t="shared" si="50"/>
        <v>0</v>
      </c>
      <c r="AX229">
        <f t="shared" si="51"/>
        <v>0</v>
      </c>
      <c r="AY229">
        <v>3</v>
      </c>
      <c r="AZ229" t="s">
        <v>60</v>
      </c>
      <c r="BA229" t="s">
        <v>61</v>
      </c>
      <c r="BB229" t="s">
        <v>7</v>
      </c>
    </row>
    <row r="230" ht="409.5" spans="1:54">
      <c r="A230" t="s">
        <v>788</v>
      </c>
      <c r="B230" t="s">
        <v>55</v>
      </c>
      <c r="C230" t="s">
        <v>116</v>
      </c>
      <c r="D230">
        <v>218</v>
      </c>
      <c r="E230">
        <v>15</v>
      </c>
      <c r="F230">
        <v>91.8</v>
      </c>
      <c r="G230" t="s">
        <v>789</v>
      </c>
      <c r="H230" s="3" t="s">
        <v>790</v>
      </c>
      <c r="I230" s="3" t="s">
        <v>790</v>
      </c>
      <c r="J230">
        <f t="shared" si="39"/>
        <v>1</v>
      </c>
      <c r="K230">
        <f t="shared" si="40"/>
        <v>1</v>
      </c>
      <c r="L230">
        <f t="shared" si="41"/>
        <v>1</v>
      </c>
      <c r="M230">
        <f t="shared" si="42"/>
        <v>1</v>
      </c>
      <c r="N230">
        <f t="shared" si="43"/>
        <v>1</v>
      </c>
      <c r="O230">
        <f t="shared" si="44"/>
        <v>1</v>
      </c>
      <c r="P230">
        <f t="shared" si="45"/>
        <v>1</v>
      </c>
      <c r="Q230">
        <f t="shared" si="46"/>
        <v>0</v>
      </c>
      <c r="R230">
        <v>1</v>
      </c>
      <c r="S230">
        <v>0</v>
      </c>
      <c r="T230">
        <v>1</v>
      </c>
      <c r="U230">
        <v>1</v>
      </c>
      <c r="V230">
        <v>1</v>
      </c>
      <c r="W230">
        <v>1</v>
      </c>
      <c r="X230">
        <v>0</v>
      </c>
      <c r="Y230">
        <v>0</v>
      </c>
      <c r="Z230">
        <v>1</v>
      </c>
      <c r="AA230">
        <v>1</v>
      </c>
      <c r="AB230">
        <v>1</v>
      </c>
      <c r="AC230">
        <v>1</v>
      </c>
      <c r="AD230">
        <v>1</v>
      </c>
      <c r="AE230">
        <v>1</v>
      </c>
      <c r="AF230">
        <v>1</v>
      </c>
      <c r="AG230">
        <v>1</v>
      </c>
      <c r="AH230">
        <v>1</v>
      </c>
      <c r="AI230">
        <v>1</v>
      </c>
      <c r="AJ230">
        <v>0</v>
      </c>
      <c r="AK230">
        <v>1</v>
      </c>
      <c r="AL230">
        <v>1</v>
      </c>
      <c r="AM230">
        <v>0</v>
      </c>
      <c r="AN230">
        <v>1</v>
      </c>
      <c r="AO230">
        <v>0</v>
      </c>
      <c r="AP230">
        <v>1</v>
      </c>
      <c r="AQ230">
        <v>1</v>
      </c>
      <c r="AR230">
        <v>0</v>
      </c>
      <c r="AS230">
        <f t="shared" si="47"/>
        <v>7</v>
      </c>
      <c r="AT230">
        <f t="shared" si="48"/>
        <v>20</v>
      </c>
      <c r="AU230" s="3" t="s">
        <v>791</v>
      </c>
      <c r="AV230">
        <f t="shared" si="49"/>
        <v>1</v>
      </c>
      <c r="AW230">
        <f t="shared" si="50"/>
        <v>0</v>
      </c>
      <c r="AX230">
        <f t="shared" si="51"/>
        <v>1</v>
      </c>
      <c r="AY230">
        <v>100</v>
      </c>
      <c r="AZ230" t="s">
        <v>60</v>
      </c>
      <c r="BA230" t="s">
        <v>61</v>
      </c>
      <c r="BB230" t="s">
        <v>7</v>
      </c>
    </row>
    <row r="231" ht="269" spans="1:54">
      <c r="A231" t="s">
        <v>792</v>
      </c>
      <c r="B231" t="s">
        <v>55</v>
      </c>
      <c r="C231" t="s">
        <v>56</v>
      </c>
      <c r="D231">
        <v>814</v>
      </c>
      <c r="E231">
        <v>35</v>
      </c>
      <c r="F231">
        <v>97.2</v>
      </c>
      <c r="G231" t="s">
        <v>793</v>
      </c>
      <c r="H231" s="3" t="s">
        <v>794</v>
      </c>
      <c r="I231" s="3" t="s">
        <v>794</v>
      </c>
      <c r="J231">
        <f t="shared" si="39"/>
        <v>1</v>
      </c>
      <c r="K231">
        <f t="shared" si="40"/>
        <v>1</v>
      </c>
      <c r="L231">
        <f t="shared" si="41"/>
        <v>1</v>
      </c>
      <c r="M231">
        <f t="shared" si="42"/>
        <v>0</v>
      </c>
      <c r="N231">
        <f t="shared" si="43"/>
        <v>1</v>
      </c>
      <c r="O231">
        <f t="shared" si="44"/>
        <v>1</v>
      </c>
      <c r="P231">
        <f t="shared" si="45"/>
        <v>0</v>
      </c>
      <c r="Q231">
        <f t="shared" si="46"/>
        <v>1</v>
      </c>
      <c r="R231">
        <v>1</v>
      </c>
      <c r="S231">
        <v>0</v>
      </c>
      <c r="T231">
        <v>0</v>
      </c>
      <c r="U231">
        <v>1</v>
      </c>
      <c r="V231">
        <v>1</v>
      </c>
      <c r="W231">
        <v>1</v>
      </c>
      <c r="X231">
        <v>0</v>
      </c>
      <c r="Y231">
        <v>0</v>
      </c>
      <c r="Z231">
        <v>1</v>
      </c>
      <c r="AA231">
        <v>0</v>
      </c>
      <c r="AB231">
        <v>0</v>
      </c>
      <c r="AC231">
        <v>0</v>
      </c>
      <c r="AD231">
        <v>0</v>
      </c>
      <c r="AE231">
        <v>0</v>
      </c>
      <c r="AF231">
        <v>0</v>
      </c>
      <c r="AG231">
        <v>0</v>
      </c>
      <c r="AH231">
        <v>1</v>
      </c>
      <c r="AI231">
        <v>1</v>
      </c>
      <c r="AJ231">
        <v>1</v>
      </c>
      <c r="AK231">
        <v>0</v>
      </c>
      <c r="AL231">
        <v>0</v>
      </c>
      <c r="AM231">
        <v>0</v>
      </c>
      <c r="AN231">
        <v>0</v>
      </c>
      <c r="AO231">
        <v>0</v>
      </c>
      <c r="AP231">
        <v>0</v>
      </c>
      <c r="AQ231">
        <v>0</v>
      </c>
      <c r="AR231">
        <v>1</v>
      </c>
      <c r="AS231">
        <f t="shared" si="47"/>
        <v>6</v>
      </c>
      <c r="AT231">
        <f t="shared" si="48"/>
        <v>9</v>
      </c>
      <c r="AU231" s="3" t="s">
        <v>795</v>
      </c>
      <c r="AV231">
        <f t="shared" si="49"/>
        <v>1</v>
      </c>
      <c r="AW231">
        <f t="shared" si="50"/>
        <v>0</v>
      </c>
      <c r="AX231">
        <f t="shared" si="51"/>
        <v>1</v>
      </c>
      <c r="AY231">
        <v>8</v>
      </c>
      <c r="AZ231" t="s">
        <v>60</v>
      </c>
      <c r="BA231" t="s">
        <v>61</v>
      </c>
      <c r="BB231" t="s">
        <v>7</v>
      </c>
    </row>
    <row r="232" ht="409.5" spans="1:54">
      <c r="A232" t="s">
        <v>796</v>
      </c>
      <c r="B232" t="s">
        <v>55</v>
      </c>
      <c r="C232" t="s">
        <v>56</v>
      </c>
      <c r="D232">
        <v>752</v>
      </c>
      <c r="E232">
        <v>26</v>
      </c>
      <c r="F232">
        <v>41.5</v>
      </c>
      <c r="G232" t="s">
        <v>793</v>
      </c>
      <c r="H232" s="3" t="s">
        <v>797</v>
      </c>
      <c r="I232" s="3" t="s">
        <v>797</v>
      </c>
      <c r="J232">
        <f t="shared" si="39"/>
        <v>1</v>
      </c>
      <c r="K232">
        <f t="shared" si="40"/>
        <v>1</v>
      </c>
      <c r="L232">
        <f t="shared" si="41"/>
        <v>1</v>
      </c>
      <c r="M232">
        <f t="shared" si="42"/>
        <v>1</v>
      </c>
      <c r="N232">
        <f t="shared" si="43"/>
        <v>1</v>
      </c>
      <c r="O232">
        <f t="shared" si="44"/>
        <v>1</v>
      </c>
      <c r="P232">
        <f t="shared" si="45"/>
        <v>1</v>
      </c>
      <c r="Q232">
        <f t="shared" si="46"/>
        <v>0</v>
      </c>
      <c r="R232">
        <v>1</v>
      </c>
      <c r="S232">
        <v>1</v>
      </c>
      <c r="T232">
        <v>1</v>
      </c>
      <c r="U232">
        <v>1</v>
      </c>
      <c r="V232">
        <v>1</v>
      </c>
      <c r="W232">
        <v>1</v>
      </c>
      <c r="X232">
        <v>1</v>
      </c>
      <c r="Y232">
        <v>1</v>
      </c>
      <c r="Z232">
        <v>1</v>
      </c>
      <c r="AA232">
        <v>1</v>
      </c>
      <c r="AB232">
        <v>1</v>
      </c>
      <c r="AC232">
        <v>1</v>
      </c>
      <c r="AD232">
        <v>1</v>
      </c>
      <c r="AE232">
        <v>0</v>
      </c>
      <c r="AF232">
        <v>1</v>
      </c>
      <c r="AG232">
        <v>1</v>
      </c>
      <c r="AH232">
        <v>1</v>
      </c>
      <c r="AI232">
        <v>1</v>
      </c>
      <c r="AJ232">
        <v>1</v>
      </c>
      <c r="AK232">
        <v>1</v>
      </c>
      <c r="AL232">
        <v>1</v>
      </c>
      <c r="AM232">
        <v>0</v>
      </c>
      <c r="AN232">
        <v>1</v>
      </c>
      <c r="AO232">
        <v>0</v>
      </c>
      <c r="AP232">
        <v>0</v>
      </c>
      <c r="AQ232">
        <v>0</v>
      </c>
      <c r="AR232">
        <v>0</v>
      </c>
      <c r="AS232">
        <f t="shared" si="47"/>
        <v>7</v>
      </c>
      <c r="AT232">
        <f t="shared" si="48"/>
        <v>21</v>
      </c>
      <c r="AU232" s="3" t="s">
        <v>798</v>
      </c>
      <c r="AV232">
        <f t="shared" si="49"/>
        <v>1</v>
      </c>
      <c r="AW232">
        <f t="shared" si="50"/>
        <v>0</v>
      </c>
      <c r="AX232">
        <f t="shared" si="51"/>
        <v>1</v>
      </c>
      <c r="AY232">
        <v>125</v>
      </c>
      <c r="AZ232" t="s">
        <v>60</v>
      </c>
      <c r="BA232" t="s">
        <v>61</v>
      </c>
      <c r="BB232" t="s">
        <v>7</v>
      </c>
    </row>
    <row r="233" ht="409.5" spans="1:54">
      <c r="A233" t="s">
        <v>799</v>
      </c>
      <c r="B233" t="s">
        <v>55</v>
      </c>
      <c r="C233" t="s">
        <v>116</v>
      </c>
      <c r="D233">
        <v>661</v>
      </c>
      <c r="E233">
        <v>41</v>
      </c>
      <c r="F233">
        <v>42.3</v>
      </c>
      <c r="G233" t="s">
        <v>793</v>
      </c>
      <c r="H233" s="3" t="s">
        <v>800</v>
      </c>
      <c r="I233" s="3" t="s">
        <v>800</v>
      </c>
      <c r="J233">
        <f t="shared" si="39"/>
        <v>1</v>
      </c>
      <c r="K233">
        <f t="shared" si="40"/>
        <v>1</v>
      </c>
      <c r="L233">
        <f t="shared" si="41"/>
        <v>1</v>
      </c>
      <c r="M233">
        <f t="shared" si="42"/>
        <v>0</v>
      </c>
      <c r="N233">
        <f t="shared" si="43"/>
        <v>1</v>
      </c>
      <c r="O233">
        <f t="shared" si="44"/>
        <v>1</v>
      </c>
      <c r="P233">
        <f t="shared" si="45"/>
        <v>1</v>
      </c>
      <c r="Q233">
        <f t="shared" si="46"/>
        <v>0</v>
      </c>
      <c r="R233">
        <v>1</v>
      </c>
      <c r="S233">
        <v>1</v>
      </c>
      <c r="T233">
        <v>1</v>
      </c>
      <c r="U233">
        <v>1</v>
      </c>
      <c r="V233">
        <v>1</v>
      </c>
      <c r="W233">
        <v>1</v>
      </c>
      <c r="X233">
        <v>1</v>
      </c>
      <c r="Y233">
        <v>1</v>
      </c>
      <c r="Z233">
        <v>1</v>
      </c>
      <c r="AA233">
        <v>0</v>
      </c>
      <c r="AB233">
        <v>1</v>
      </c>
      <c r="AC233">
        <v>1</v>
      </c>
      <c r="AD233">
        <v>0</v>
      </c>
      <c r="AE233">
        <v>0</v>
      </c>
      <c r="AF233">
        <v>0</v>
      </c>
      <c r="AG233">
        <v>1</v>
      </c>
      <c r="AH233">
        <v>1</v>
      </c>
      <c r="AI233">
        <v>1</v>
      </c>
      <c r="AJ233">
        <v>1</v>
      </c>
      <c r="AK233">
        <v>0</v>
      </c>
      <c r="AL233">
        <v>1</v>
      </c>
      <c r="AM233">
        <v>0</v>
      </c>
      <c r="AN233">
        <v>1</v>
      </c>
      <c r="AO233">
        <v>0</v>
      </c>
      <c r="AP233">
        <v>1</v>
      </c>
      <c r="AQ233">
        <v>0</v>
      </c>
      <c r="AR233">
        <v>0</v>
      </c>
      <c r="AS233">
        <f t="shared" si="47"/>
        <v>6</v>
      </c>
      <c r="AT233">
        <f t="shared" si="48"/>
        <v>18</v>
      </c>
      <c r="AU233" s="3" t="s">
        <v>801</v>
      </c>
      <c r="AV233">
        <f t="shared" si="49"/>
        <v>1</v>
      </c>
      <c r="AW233">
        <f t="shared" si="50"/>
        <v>0</v>
      </c>
      <c r="AX233">
        <f t="shared" si="51"/>
        <v>1</v>
      </c>
      <c r="AY233">
        <v>78.5</v>
      </c>
      <c r="AZ233" t="s">
        <v>60</v>
      </c>
      <c r="BA233" t="s">
        <v>61</v>
      </c>
      <c r="BB233" t="s">
        <v>7</v>
      </c>
    </row>
    <row r="234" ht="409.5" spans="1:54">
      <c r="A234" t="s">
        <v>802</v>
      </c>
      <c r="B234" t="s">
        <v>55</v>
      </c>
      <c r="C234" t="s">
        <v>116</v>
      </c>
      <c r="D234">
        <v>322</v>
      </c>
      <c r="E234">
        <v>18</v>
      </c>
      <c r="F234">
        <v>62.5</v>
      </c>
      <c r="G234" t="s">
        <v>793</v>
      </c>
      <c r="H234" s="3" t="s">
        <v>803</v>
      </c>
      <c r="I234" s="3" t="s">
        <v>803</v>
      </c>
      <c r="J234">
        <f t="shared" si="39"/>
        <v>1</v>
      </c>
      <c r="K234">
        <f t="shared" si="40"/>
        <v>1</v>
      </c>
      <c r="L234">
        <f t="shared" si="41"/>
        <v>1</v>
      </c>
      <c r="M234">
        <f t="shared" si="42"/>
        <v>1</v>
      </c>
      <c r="N234">
        <f t="shared" si="43"/>
        <v>1</v>
      </c>
      <c r="O234">
        <f t="shared" si="44"/>
        <v>0</v>
      </c>
      <c r="P234">
        <f t="shared" si="45"/>
        <v>0</v>
      </c>
      <c r="Q234">
        <f t="shared" si="46"/>
        <v>1</v>
      </c>
      <c r="R234">
        <v>1</v>
      </c>
      <c r="S234">
        <v>0</v>
      </c>
      <c r="T234">
        <v>1</v>
      </c>
      <c r="U234">
        <v>1</v>
      </c>
      <c r="V234">
        <v>1</v>
      </c>
      <c r="W234">
        <v>1</v>
      </c>
      <c r="X234">
        <v>0</v>
      </c>
      <c r="Y234">
        <v>1</v>
      </c>
      <c r="Z234">
        <v>1</v>
      </c>
      <c r="AA234">
        <v>1</v>
      </c>
      <c r="AB234">
        <v>1</v>
      </c>
      <c r="AC234">
        <v>0</v>
      </c>
      <c r="AD234">
        <v>1</v>
      </c>
      <c r="AE234">
        <v>0</v>
      </c>
      <c r="AF234">
        <v>0</v>
      </c>
      <c r="AG234">
        <v>1</v>
      </c>
      <c r="AH234">
        <v>1</v>
      </c>
      <c r="AI234">
        <v>0</v>
      </c>
      <c r="AJ234">
        <v>0</v>
      </c>
      <c r="AK234">
        <v>0</v>
      </c>
      <c r="AL234">
        <v>0</v>
      </c>
      <c r="AM234">
        <v>0</v>
      </c>
      <c r="AN234">
        <v>0</v>
      </c>
      <c r="AO234">
        <v>0</v>
      </c>
      <c r="AP234">
        <v>0</v>
      </c>
      <c r="AQ234">
        <v>0</v>
      </c>
      <c r="AR234">
        <v>1</v>
      </c>
      <c r="AS234">
        <f t="shared" si="47"/>
        <v>6</v>
      </c>
      <c r="AT234">
        <f t="shared" si="48"/>
        <v>13</v>
      </c>
      <c r="AU234" s="3" t="s">
        <v>804</v>
      </c>
      <c r="AV234">
        <f t="shared" si="49"/>
        <v>1</v>
      </c>
      <c r="AW234">
        <f t="shared" si="50"/>
        <v>0</v>
      </c>
      <c r="AX234">
        <f t="shared" si="51"/>
        <v>1</v>
      </c>
      <c r="AY234">
        <v>18</v>
      </c>
      <c r="AZ234" t="s">
        <v>60</v>
      </c>
      <c r="BA234" t="s">
        <v>61</v>
      </c>
      <c r="BB234" t="s">
        <v>7</v>
      </c>
    </row>
    <row r="235" ht="409.5" spans="1:54">
      <c r="A235" t="s">
        <v>805</v>
      </c>
      <c r="B235" t="s">
        <v>55</v>
      </c>
      <c r="C235" t="s">
        <v>56</v>
      </c>
      <c r="D235">
        <v>195</v>
      </c>
      <c r="E235">
        <v>12</v>
      </c>
      <c r="F235">
        <v>106</v>
      </c>
      <c r="G235" t="s">
        <v>806</v>
      </c>
      <c r="H235" s="3" t="s">
        <v>807</v>
      </c>
      <c r="I235" s="3" t="s">
        <v>807</v>
      </c>
      <c r="J235">
        <f t="shared" si="39"/>
        <v>1</v>
      </c>
      <c r="K235">
        <f t="shared" si="40"/>
        <v>1</v>
      </c>
      <c r="L235">
        <f t="shared" si="41"/>
        <v>0</v>
      </c>
      <c r="M235">
        <f t="shared" si="42"/>
        <v>0</v>
      </c>
      <c r="N235">
        <f t="shared" si="43"/>
        <v>1</v>
      </c>
      <c r="O235">
        <f t="shared" si="44"/>
        <v>1</v>
      </c>
      <c r="P235">
        <f t="shared" si="45"/>
        <v>1</v>
      </c>
      <c r="Q235">
        <f t="shared" si="46"/>
        <v>0</v>
      </c>
      <c r="R235">
        <v>0</v>
      </c>
      <c r="S235">
        <v>1</v>
      </c>
      <c r="T235">
        <v>1</v>
      </c>
      <c r="U235">
        <v>0</v>
      </c>
      <c r="V235">
        <v>1</v>
      </c>
      <c r="W235">
        <v>1</v>
      </c>
      <c r="X235">
        <v>0</v>
      </c>
      <c r="Y235">
        <v>0</v>
      </c>
      <c r="Z235">
        <v>0</v>
      </c>
      <c r="AA235">
        <v>0</v>
      </c>
      <c r="AB235">
        <v>0</v>
      </c>
      <c r="AC235">
        <v>0</v>
      </c>
      <c r="AD235">
        <v>0</v>
      </c>
      <c r="AE235">
        <v>0</v>
      </c>
      <c r="AF235">
        <v>0</v>
      </c>
      <c r="AG235">
        <v>1</v>
      </c>
      <c r="AH235">
        <v>1</v>
      </c>
      <c r="AI235">
        <v>0</v>
      </c>
      <c r="AJ235">
        <v>0</v>
      </c>
      <c r="AK235">
        <v>1</v>
      </c>
      <c r="AL235">
        <v>1</v>
      </c>
      <c r="AM235">
        <v>0</v>
      </c>
      <c r="AN235">
        <v>1</v>
      </c>
      <c r="AO235">
        <v>0</v>
      </c>
      <c r="AP235">
        <v>0</v>
      </c>
      <c r="AQ235">
        <v>0</v>
      </c>
      <c r="AR235">
        <v>0</v>
      </c>
      <c r="AS235">
        <f t="shared" si="47"/>
        <v>5</v>
      </c>
      <c r="AT235">
        <f t="shared" si="48"/>
        <v>9</v>
      </c>
      <c r="AU235" s="3" t="s">
        <v>808</v>
      </c>
      <c r="AV235">
        <f t="shared" si="49"/>
        <v>1</v>
      </c>
      <c r="AW235">
        <f t="shared" si="50"/>
        <v>0</v>
      </c>
      <c r="AX235">
        <f t="shared" si="51"/>
        <v>1</v>
      </c>
      <c r="AY235">
        <v>21.5</v>
      </c>
      <c r="AZ235" t="s">
        <v>60</v>
      </c>
      <c r="BA235" t="s">
        <v>61</v>
      </c>
      <c r="BB235" t="s">
        <v>7</v>
      </c>
    </row>
    <row r="236" ht="34" spans="1:54">
      <c r="A236" t="s">
        <v>809</v>
      </c>
      <c r="B236" t="s">
        <v>55</v>
      </c>
      <c r="C236" t="s">
        <v>56</v>
      </c>
      <c r="D236">
        <v>35</v>
      </c>
      <c r="E236">
        <v>1</v>
      </c>
      <c r="F236">
        <v>27.5</v>
      </c>
      <c r="G236" t="s">
        <v>810</v>
      </c>
      <c r="H236" s="3" t="s">
        <v>811</v>
      </c>
      <c r="I236" s="3" t="s">
        <v>811</v>
      </c>
      <c r="J236">
        <f t="shared" si="39"/>
        <v>0</v>
      </c>
      <c r="K236">
        <f t="shared" si="40"/>
        <v>0</v>
      </c>
      <c r="L236">
        <f t="shared" si="41"/>
        <v>0</v>
      </c>
      <c r="M236">
        <f t="shared" si="42"/>
        <v>0</v>
      </c>
      <c r="N236">
        <f t="shared" si="43"/>
        <v>0</v>
      </c>
      <c r="O236">
        <f t="shared" si="44"/>
        <v>0</v>
      </c>
      <c r="P236">
        <f t="shared" si="45"/>
        <v>1</v>
      </c>
      <c r="Q236">
        <f t="shared" si="4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1</v>
      </c>
      <c r="AO236">
        <v>0</v>
      </c>
      <c r="AP236">
        <v>0</v>
      </c>
      <c r="AQ236">
        <v>0</v>
      </c>
      <c r="AR236">
        <v>0</v>
      </c>
      <c r="AS236">
        <f t="shared" si="47"/>
        <v>1</v>
      </c>
      <c r="AT236">
        <f t="shared" si="48"/>
        <v>1</v>
      </c>
      <c r="AU236" s="3" t="s">
        <v>812</v>
      </c>
      <c r="AV236">
        <f t="shared" si="49"/>
        <v>1</v>
      </c>
      <c r="AW236">
        <f t="shared" si="50"/>
        <v>0</v>
      </c>
      <c r="AX236">
        <f t="shared" si="51"/>
        <v>0</v>
      </c>
      <c r="AY236">
        <v>0</v>
      </c>
      <c r="AZ236" t="s">
        <v>147</v>
      </c>
      <c r="BA236" t="s">
        <v>148</v>
      </c>
      <c r="BB236" t="s">
        <v>7</v>
      </c>
    </row>
    <row r="237" ht="409.5" spans="1:54">
      <c r="A237" t="s">
        <v>813</v>
      </c>
      <c r="B237" t="s">
        <v>55</v>
      </c>
      <c r="C237" t="s">
        <v>56</v>
      </c>
      <c r="D237">
        <v>34</v>
      </c>
      <c r="E237">
        <v>0</v>
      </c>
      <c r="F237">
        <v>58.4</v>
      </c>
      <c r="G237" t="s">
        <v>814</v>
      </c>
      <c r="H237" s="3" t="s">
        <v>815</v>
      </c>
      <c r="I237" s="3" t="s">
        <v>815</v>
      </c>
      <c r="J237">
        <f t="shared" si="39"/>
        <v>1</v>
      </c>
      <c r="K237">
        <f t="shared" si="40"/>
        <v>1</v>
      </c>
      <c r="L237">
        <f t="shared" si="41"/>
        <v>1</v>
      </c>
      <c r="M237">
        <f t="shared" si="42"/>
        <v>1</v>
      </c>
      <c r="N237">
        <f t="shared" si="43"/>
        <v>1</v>
      </c>
      <c r="O237">
        <f t="shared" si="44"/>
        <v>1</v>
      </c>
      <c r="P237">
        <f t="shared" si="45"/>
        <v>0</v>
      </c>
      <c r="Q237">
        <f t="shared" si="46"/>
        <v>0</v>
      </c>
      <c r="R237">
        <v>1</v>
      </c>
      <c r="S237">
        <v>1</v>
      </c>
      <c r="T237">
        <v>1</v>
      </c>
      <c r="U237">
        <v>1</v>
      </c>
      <c r="V237">
        <v>1</v>
      </c>
      <c r="W237">
        <v>1</v>
      </c>
      <c r="X237">
        <v>1</v>
      </c>
      <c r="Y237">
        <v>0</v>
      </c>
      <c r="Z237">
        <v>1</v>
      </c>
      <c r="AA237">
        <v>1</v>
      </c>
      <c r="AB237">
        <v>0</v>
      </c>
      <c r="AC237">
        <v>0</v>
      </c>
      <c r="AD237">
        <v>1</v>
      </c>
      <c r="AE237">
        <v>1</v>
      </c>
      <c r="AF237">
        <v>1</v>
      </c>
      <c r="AG237">
        <v>0</v>
      </c>
      <c r="AH237">
        <v>1</v>
      </c>
      <c r="AI237">
        <v>1</v>
      </c>
      <c r="AJ237">
        <v>0</v>
      </c>
      <c r="AK237">
        <v>1</v>
      </c>
      <c r="AL237">
        <v>1</v>
      </c>
      <c r="AM237">
        <v>0</v>
      </c>
      <c r="AN237">
        <v>0</v>
      </c>
      <c r="AO237">
        <v>0</v>
      </c>
      <c r="AP237">
        <v>0</v>
      </c>
      <c r="AQ237">
        <v>0</v>
      </c>
      <c r="AR237">
        <v>0</v>
      </c>
      <c r="AS237">
        <f t="shared" si="47"/>
        <v>6</v>
      </c>
      <c r="AT237">
        <f t="shared" si="48"/>
        <v>16</v>
      </c>
      <c r="AU237" s="3" t="s">
        <v>816</v>
      </c>
      <c r="AV237">
        <f t="shared" si="49"/>
        <v>1</v>
      </c>
      <c r="AW237">
        <f t="shared" si="50"/>
        <v>0</v>
      </c>
      <c r="AX237">
        <f t="shared" si="51"/>
        <v>1</v>
      </c>
      <c r="AY237">
        <v>43</v>
      </c>
      <c r="AZ237" t="s">
        <v>60</v>
      </c>
      <c r="BA237" t="s">
        <v>61</v>
      </c>
      <c r="BB237" t="s">
        <v>7</v>
      </c>
    </row>
    <row r="238" ht="409.5" spans="1:54">
      <c r="A238" t="s">
        <v>817</v>
      </c>
      <c r="B238" t="s">
        <v>55</v>
      </c>
      <c r="C238" t="s">
        <v>56</v>
      </c>
      <c r="D238">
        <v>130</v>
      </c>
      <c r="E238">
        <v>12</v>
      </c>
      <c r="F238">
        <v>35.4</v>
      </c>
      <c r="G238" t="s">
        <v>818</v>
      </c>
      <c r="H238" s="3" t="s">
        <v>819</v>
      </c>
      <c r="I238" s="3" t="s">
        <v>819</v>
      </c>
      <c r="J238">
        <f t="shared" si="39"/>
        <v>1</v>
      </c>
      <c r="K238">
        <f t="shared" si="40"/>
        <v>1</v>
      </c>
      <c r="L238">
        <f t="shared" si="41"/>
        <v>0</v>
      </c>
      <c r="M238">
        <f t="shared" si="42"/>
        <v>0</v>
      </c>
      <c r="N238">
        <f t="shared" si="43"/>
        <v>1</v>
      </c>
      <c r="O238">
        <f t="shared" si="44"/>
        <v>1</v>
      </c>
      <c r="P238">
        <f t="shared" si="45"/>
        <v>0</v>
      </c>
      <c r="Q238">
        <f t="shared" si="46"/>
        <v>0</v>
      </c>
      <c r="R238">
        <v>1</v>
      </c>
      <c r="S238">
        <v>1</v>
      </c>
      <c r="T238">
        <v>1</v>
      </c>
      <c r="U238">
        <v>1</v>
      </c>
      <c r="V238">
        <v>1</v>
      </c>
      <c r="W238">
        <v>0</v>
      </c>
      <c r="X238">
        <v>0</v>
      </c>
      <c r="Y238">
        <v>0</v>
      </c>
      <c r="Z238">
        <v>0</v>
      </c>
      <c r="AA238">
        <v>0</v>
      </c>
      <c r="AB238">
        <v>0</v>
      </c>
      <c r="AC238">
        <v>0</v>
      </c>
      <c r="AD238">
        <v>0</v>
      </c>
      <c r="AE238">
        <v>0</v>
      </c>
      <c r="AF238">
        <v>0</v>
      </c>
      <c r="AG238">
        <v>0</v>
      </c>
      <c r="AH238">
        <v>1</v>
      </c>
      <c r="AI238">
        <v>1</v>
      </c>
      <c r="AJ238">
        <v>0</v>
      </c>
      <c r="AK238">
        <v>1</v>
      </c>
      <c r="AL238">
        <v>0</v>
      </c>
      <c r="AM238">
        <v>0</v>
      </c>
      <c r="AN238">
        <v>0</v>
      </c>
      <c r="AO238">
        <v>0</v>
      </c>
      <c r="AP238">
        <v>0</v>
      </c>
      <c r="AQ238">
        <v>0</v>
      </c>
      <c r="AR238">
        <v>0</v>
      </c>
      <c r="AS238">
        <f t="shared" si="47"/>
        <v>4</v>
      </c>
      <c r="AT238">
        <f t="shared" si="48"/>
        <v>8</v>
      </c>
      <c r="AU238" s="3" t="s">
        <v>820</v>
      </c>
      <c r="AV238">
        <f t="shared" si="49"/>
        <v>1</v>
      </c>
      <c r="AW238">
        <f t="shared" si="50"/>
        <v>0</v>
      </c>
      <c r="AX238">
        <f t="shared" si="51"/>
        <v>1</v>
      </c>
      <c r="AY238">
        <v>9.5</v>
      </c>
      <c r="AZ238" t="s">
        <v>60</v>
      </c>
      <c r="BA238" t="s">
        <v>61</v>
      </c>
      <c r="BB238" t="s">
        <v>7</v>
      </c>
    </row>
    <row r="239" ht="409.5" spans="1:54">
      <c r="A239" t="s">
        <v>821</v>
      </c>
      <c r="B239" t="s">
        <v>55</v>
      </c>
      <c r="C239" t="s">
        <v>56</v>
      </c>
      <c r="D239">
        <v>220</v>
      </c>
      <c r="E239">
        <v>11</v>
      </c>
      <c r="F239">
        <v>61.9</v>
      </c>
      <c r="G239" t="s">
        <v>822</v>
      </c>
      <c r="H239" s="3" t="s">
        <v>823</v>
      </c>
      <c r="I239" s="3" t="s">
        <v>823</v>
      </c>
      <c r="J239">
        <f t="shared" si="39"/>
        <v>1</v>
      </c>
      <c r="K239">
        <f t="shared" si="40"/>
        <v>1</v>
      </c>
      <c r="L239">
        <f t="shared" si="41"/>
        <v>1</v>
      </c>
      <c r="M239">
        <f t="shared" si="42"/>
        <v>0</v>
      </c>
      <c r="N239">
        <f t="shared" si="43"/>
        <v>0</v>
      </c>
      <c r="O239">
        <f t="shared" si="44"/>
        <v>0</v>
      </c>
      <c r="P239">
        <f t="shared" si="45"/>
        <v>0</v>
      </c>
      <c r="Q239">
        <f t="shared" si="46"/>
        <v>0</v>
      </c>
      <c r="R239">
        <v>1</v>
      </c>
      <c r="S239">
        <v>0</v>
      </c>
      <c r="T239">
        <v>0</v>
      </c>
      <c r="U239">
        <v>1</v>
      </c>
      <c r="V239">
        <v>1</v>
      </c>
      <c r="W239">
        <v>1</v>
      </c>
      <c r="X239">
        <v>1</v>
      </c>
      <c r="Y239">
        <v>1</v>
      </c>
      <c r="Z239">
        <v>1</v>
      </c>
      <c r="AA239">
        <v>1</v>
      </c>
      <c r="AB239">
        <v>1</v>
      </c>
      <c r="AC239">
        <v>1</v>
      </c>
      <c r="AD239">
        <v>0</v>
      </c>
      <c r="AE239">
        <v>0</v>
      </c>
      <c r="AF239">
        <v>0</v>
      </c>
      <c r="AG239">
        <v>0</v>
      </c>
      <c r="AH239">
        <v>0</v>
      </c>
      <c r="AI239">
        <v>0</v>
      </c>
      <c r="AJ239">
        <v>0</v>
      </c>
      <c r="AK239">
        <v>0</v>
      </c>
      <c r="AL239">
        <v>0</v>
      </c>
      <c r="AM239">
        <v>0</v>
      </c>
      <c r="AN239">
        <v>0</v>
      </c>
      <c r="AO239">
        <v>0</v>
      </c>
      <c r="AP239">
        <v>0</v>
      </c>
      <c r="AQ239">
        <v>0</v>
      </c>
      <c r="AR239">
        <v>0</v>
      </c>
      <c r="AS239">
        <f t="shared" si="47"/>
        <v>3</v>
      </c>
      <c r="AT239">
        <f t="shared" si="48"/>
        <v>10</v>
      </c>
      <c r="AU239" s="3" t="s">
        <v>824</v>
      </c>
      <c r="AV239">
        <f t="shared" si="49"/>
        <v>1</v>
      </c>
      <c r="AW239">
        <f t="shared" si="50"/>
        <v>0</v>
      </c>
      <c r="AX239">
        <f t="shared" si="51"/>
        <v>1</v>
      </c>
      <c r="AY239">
        <v>32.5</v>
      </c>
      <c r="AZ239" t="s">
        <v>60</v>
      </c>
      <c r="BA239" t="s">
        <v>61</v>
      </c>
      <c r="BB239" t="s">
        <v>7</v>
      </c>
    </row>
    <row r="240" ht="17" spans="1:54">
      <c r="A240" t="s">
        <v>825</v>
      </c>
      <c r="B240" t="s">
        <v>55</v>
      </c>
      <c r="C240" t="s">
        <v>56</v>
      </c>
      <c r="D240">
        <v>46</v>
      </c>
      <c r="E240">
        <v>0</v>
      </c>
      <c r="F240">
        <v>57.7</v>
      </c>
      <c r="G240" t="s">
        <v>822</v>
      </c>
      <c r="H240" s="3" t="s">
        <v>826</v>
      </c>
      <c r="I240" s="3" t="s">
        <v>826</v>
      </c>
      <c r="J240">
        <f t="shared" si="39"/>
        <v>0</v>
      </c>
      <c r="K240">
        <f t="shared" si="40"/>
        <v>0</v>
      </c>
      <c r="L240">
        <f t="shared" si="41"/>
        <v>0</v>
      </c>
      <c r="M240">
        <f t="shared" si="42"/>
        <v>0</v>
      </c>
      <c r="N240">
        <f t="shared" si="43"/>
        <v>0</v>
      </c>
      <c r="O240">
        <f t="shared" si="44"/>
        <v>0</v>
      </c>
      <c r="P240">
        <f t="shared" si="45"/>
        <v>0</v>
      </c>
      <c r="Q240">
        <f t="shared" si="46"/>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f t="shared" si="47"/>
        <v>0</v>
      </c>
      <c r="AT240">
        <f t="shared" si="48"/>
        <v>0</v>
      </c>
      <c r="AU240" s="3" t="s">
        <v>118</v>
      </c>
      <c r="AV240">
        <f t="shared" si="49"/>
        <v>0</v>
      </c>
      <c r="AW240">
        <f t="shared" si="50"/>
        <v>1</v>
      </c>
      <c r="AX240">
        <f t="shared" si="51"/>
        <v>0</v>
      </c>
      <c r="AY240">
        <v>2</v>
      </c>
      <c r="AZ240" t="s">
        <v>60</v>
      </c>
      <c r="BA240" t="s">
        <v>61</v>
      </c>
      <c r="BB240" t="s">
        <v>7</v>
      </c>
    </row>
    <row r="241" ht="152" spans="1:54">
      <c r="A241" t="s">
        <v>827</v>
      </c>
      <c r="B241" t="s">
        <v>55</v>
      </c>
      <c r="C241" t="s">
        <v>116</v>
      </c>
      <c r="D241">
        <v>44</v>
      </c>
      <c r="E241">
        <v>0</v>
      </c>
      <c r="F241">
        <v>204</v>
      </c>
      <c r="G241" t="s">
        <v>828</v>
      </c>
      <c r="H241" s="3" t="s">
        <v>829</v>
      </c>
      <c r="I241" s="3" t="s">
        <v>829</v>
      </c>
      <c r="J241">
        <f t="shared" si="39"/>
        <v>1</v>
      </c>
      <c r="K241">
        <f t="shared" si="40"/>
        <v>0</v>
      </c>
      <c r="L241">
        <f t="shared" si="41"/>
        <v>1</v>
      </c>
      <c r="M241">
        <f t="shared" si="42"/>
        <v>0</v>
      </c>
      <c r="N241">
        <f t="shared" si="43"/>
        <v>1</v>
      </c>
      <c r="O241">
        <f t="shared" si="44"/>
        <v>1</v>
      </c>
      <c r="P241">
        <f t="shared" si="45"/>
        <v>0</v>
      </c>
      <c r="Q241">
        <f t="shared" si="46"/>
        <v>0</v>
      </c>
      <c r="R241">
        <v>1</v>
      </c>
      <c r="S241">
        <v>1</v>
      </c>
      <c r="T241">
        <v>0</v>
      </c>
      <c r="U241">
        <v>0</v>
      </c>
      <c r="V241">
        <v>0</v>
      </c>
      <c r="W241">
        <v>0</v>
      </c>
      <c r="X241">
        <v>0</v>
      </c>
      <c r="Y241">
        <v>0</v>
      </c>
      <c r="Z241">
        <v>1</v>
      </c>
      <c r="AA241">
        <v>0</v>
      </c>
      <c r="AB241">
        <v>0</v>
      </c>
      <c r="AC241">
        <v>0</v>
      </c>
      <c r="AD241">
        <v>0</v>
      </c>
      <c r="AE241">
        <v>0</v>
      </c>
      <c r="AF241">
        <v>0</v>
      </c>
      <c r="AG241">
        <v>1</v>
      </c>
      <c r="AH241">
        <v>0</v>
      </c>
      <c r="AI241">
        <v>0</v>
      </c>
      <c r="AJ241">
        <v>0</v>
      </c>
      <c r="AK241">
        <v>0</v>
      </c>
      <c r="AL241">
        <v>1</v>
      </c>
      <c r="AM241">
        <v>0</v>
      </c>
      <c r="AN241">
        <v>0</v>
      </c>
      <c r="AO241">
        <v>0</v>
      </c>
      <c r="AP241">
        <v>0</v>
      </c>
      <c r="AQ241">
        <v>0</v>
      </c>
      <c r="AR241">
        <v>0</v>
      </c>
      <c r="AS241">
        <f t="shared" si="47"/>
        <v>4</v>
      </c>
      <c r="AT241">
        <f t="shared" si="48"/>
        <v>5</v>
      </c>
      <c r="AU241" s="3" t="s">
        <v>830</v>
      </c>
      <c r="AV241">
        <f t="shared" si="49"/>
        <v>1</v>
      </c>
      <c r="AW241">
        <f t="shared" si="50"/>
        <v>0</v>
      </c>
      <c r="AX241">
        <f t="shared" si="51"/>
        <v>0</v>
      </c>
      <c r="AY241">
        <v>9.5</v>
      </c>
      <c r="AZ241" t="s">
        <v>60</v>
      </c>
      <c r="BA241" t="s">
        <v>61</v>
      </c>
      <c r="BB241" t="s">
        <v>7</v>
      </c>
    </row>
    <row r="242" ht="51" spans="1:54">
      <c r="A242" t="s">
        <v>831</v>
      </c>
      <c r="B242" t="s">
        <v>55</v>
      </c>
      <c r="C242" t="s">
        <v>56</v>
      </c>
      <c r="D242">
        <v>37</v>
      </c>
      <c r="E242">
        <v>0</v>
      </c>
      <c r="F242">
        <v>80</v>
      </c>
      <c r="G242" t="s">
        <v>832</v>
      </c>
      <c r="H242" s="3" t="s">
        <v>833</v>
      </c>
      <c r="I242" s="3" t="s">
        <v>833</v>
      </c>
      <c r="J242">
        <f t="shared" si="39"/>
        <v>1</v>
      </c>
      <c r="K242">
        <f t="shared" si="40"/>
        <v>1</v>
      </c>
      <c r="L242">
        <f t="shared" si="41"/>
        <v>0</v>
      </c>
      <c r="M242">
        <f t="shared" si="42"/>
        <v>0</v>
      </c>
      <c r="N242">
        <f t="shared" si="43"/>
        <v>1</v>
      </c>
      <c r="O242">
        <f t="shared" si="44"/>
        <v>1</v>
      </c>
      <c r="P242">
        <f t="shared" si="45"/>
        <v>0</v>
      </c>
      <c r="Q242">
        <f t="shared" si="46"/>
        <v>0</v>
      </c>
      <c r="R242">
        <v>1</v>
      </c>
      <c r="S242">
        <v>0</v>
      </c>
      <c r="T242">
        <v>0</v>
      </c>
      <c r="U242">
        <v>0</v>
      </c>
      <c r="V242">
        <v>1</v>
      </c>
      <c r="W242">
        <v>0</v>
      </c>
      <c r="X242">
        <v>0</v>
      </c>
      <c r="Y242">
        <v>0</v>
      </c>
      <c r="Z242">
        <v>0</v>
      </c>
      <c r="AA242">
        <v>0</v>
      </c>
      <c r="AB242">
        <v>0</v>
      </c>
      <c r="AC242">
        <v>0</v>
      </c>
      <c r="AD242">
        <v>0</v>
      </c>
      <c r="AE242">
        <v>0</v>
      </c>
      <c r="AF242">
        <v>0</v>
      </c>
      <c r="AG242">
        <v>0</v>
      </c>
      <c r="AH242">
        <v>1</v>
      </c>
      <c r="AI242">
        <v>1</v>
      </c>
      <c r="AJ242">
        <v>0</v>
      </c>
      <c r="AK242">
        <v>0</v>
      </c>
      <c r="AL242">
        <v>0</v>
      </c>
      <c r="AM242">
        <v>0</v>
      </c>
      <c r="AN242">
        <v>0</v>
      </c>
      <c r="AO242">
        <v>0</v>
      </c>
      <c r="AP242">
        <v>0</v>
      </c>
      <c r="AQ242">
        <v>0</v>
      </c>
      <c r="AR242">
        <v>0</v>
      </c>
      <c r="AS242">
        <f t="shared" si="47"/>
        <v>4</v>
      </c>
      <c r="AT242">
        <f t="shared" si="48"/>
        <v>4</v>
      </c>
      <c r="AU242" s="3" t="s">
        <v>834</v>
      </c>
      <c r="AV242">
        <f t="shared" si="49"/>
        <v>1</v>
      </c>
      <c r="AW242">
        <f t="shared" si="50"/>
        <v>0</v>
      </c>
      <c r="AX242">
        <f t="shared" si="51"/>
        <v>0</v>
      </c>
      <c r="AY242">
        <v>10.5</v>
      </c>
      <c r="AZ242" t="s">
        <v>60</v>
      </c>
      <c r="BA242" t="s">
        <v>61</v>
      </c>
      <c r="BB242" t="s">
        <v>7</v>
      </c>
    </row>
    <row r="243" ht="202" spans="1:54">
      <c r="A243" t="s">
        <v>835</v>
      </c>
      <c r="B243" t="s">
        <v>55</v>
      </c>
      <c r="C243" t="s">
        <v>56</v>
      </c>
      <c r="D243">
        <v>68</v>
      </c>
      <c r="E243">
        <v>0</v>
      </c>
      <c r="F243">
        <v>47.1</v>
      </c>
      <c r="G243" t="s">
        <v>836</v>
      </c>
      <c r="H243" s="3" t="s">
        <v>837</v>
      </c>
      <c r="I243" s="3" t="s">
        <v>837</v>
      </c>
      <c r="J243">
        <f t="shared" si="39"/>
        <v>1</v>
      </c>
      <c r="K243">
        <f t="shared" si="40"/>
        <v>1</v>
      </c>
      <c r="L243">
        <f t="shared" si="41"/>
        <v>1</v>
      </c>
      <c r="M243">
        <f t="shared" si="42"/>
        <v>0</v>
      </c>
      <c r="N243">
        <f t="shared" si="43"/>
        <v>0</v>
      </c>
      <c r="O243">
        <f t="shared" si="44"/>
        <v>1</v>
      </c>
      <c r="P243">
        <f t="shared" si="45"/>
        <v>1</v>
      </c>
      <c r="Q243">
        <f t="shared" si="46"/>
        <v>1</v>
      </c>
      <c r="R243">
        <v>1</v>
      </c>
      <c r="S243">
        <v>1</v>
      </c>
      <c r="T243">
        <v>0</v>
      </c>
      <c r="U243">
        <v>0</v>
      </c>
      <c r="V243">
        <v>1</v>
      </c>
      <c r="W243">
        <v>0</v>
      </c>
      <c r="X243">
        <v>0</v>
      </c>
      <c r="Y243">
        <v>0</v>
      </c>
      <c r="Z243">
        <v>1</v>
      </c>
      <c r="AA243">
        <v>0</v>
      </c>
      <c r="AB243">
        <v>1</v>
      </c>
      <c r="AC243">
        <v>0</v>
      </c>
      <c r="AD243">
        <v>0</v>
      </c>
      <c r="AE243">
        <v>0</v>
      </c>
      <c r="AF243">
        <v>0</v>
      </c>
      <c r="AG243">
        <v>0</v>
      </c>
      <c r="AH243">
        <v>0</v>
      </c>
      <c r="AI243">
        <v>1</v>
      </c>
      <c r="AJ243">
        <v>0</v>
      </c>
      <c r="AK243">
        <v>0</v>
      </c>
      <c r="AL243">
        <v>1</v>
      </c>
      <c r="AM243">
        <v>0</v>
      </c>
      <c r="AN243">
        <v>0</v>
      </c>
      <c r="AO243">
        <v>0</v>
      </c>
      <c r="AP243">
        <v>1</v>
      </c>
      <c r="AQ243">
        <v>0</v>
      </c>
      <c r="AR243">
        <v>1</v>
      </c>
      <c r="AS243">
        <f t="shared" si="47"/>
        <v>6</v>
      </c>
      <c r="AT243">
        <f t="shared" si="48"/>
        <v>9</v>
      </c>
      <c r="AU243" s="3" t="s">
        <v>838</v>
      </c>
      <c r="AV243">
        <f t="shared" si="49"/>
        <v>1</v>
      </c>
      <c r="AW243">
        <f t="shared" si="50"/>
        <v>0</v>
      </c>
      <c r="AX243">
        <f t="shared" si="51"/>
        <v>1</v>
      </c>
      <c r="AY243">
        <v>8</v>
      </c>
      <c r="AZ243" t="s">
        <v>60</v>
      </c>
      <c r="BA243" t="s">
        <v>61</v>
      </c>
      <c r="BB243" t="s">
        <v>7</v>
      </c>
    </row>
    <row r="244" ht="135" spans="1:54">
      <c r="A244" t="s">
        <v>839</v>
      </c>
      <c r="B244" t="s">
        <v>55</v>
      </c>
      <c r="C244" t="s">
        <v>56</v>
      </c>
      <c r="D244">
        <v>969</v>
      </c>
      <c r="E244">
        <v>54</v>
      </c>
      <c r="F244">
        <v>143.8</v>
      </c>
      <c r="G244" t="s">
        <v>840</v>
      </c>
      <c r="H244" s="3" t="s">
        <v>841</v>
      </c>
      <c r="I244" s="3" t="s">
        <v>841</v>
      </c>
      <c r="J244">
        <f t="shared" si="39"/>
        <v>0</v>
      </c>
      <c r="K244">
        <f t="shared" si="40"/>
        <v>0</v>
      </c>
      <c r="L244">
        <f t="shared" si="41"/>
        <v>0</v>
      </c>
      <c r="M244">
        <f t="shared" si="42"/>
        <v>0</v>
      </c>
      <c r="N244">
        <f t="shared" si="43"/>
        <v>0</v>
      </c>
      <c r="O244">
        <f t="shared" si="44"/>
        <v>1</v>
      </c>
      <c r="P244">
        <f t="shared" si="45"/>
        <v>0</v>
      </c>
      <c r="Q244">
        <f t="shared" si="46"/>
        <v>0</v>
      </c>
      <c r="R244">
        <v>0</v>
      </c>
      <c r="S244">
        <v>0</v>
      </c>
      <c r="T244">
        <v>0</v>
      </c>
      <c r="U244">
        <v>0</v>
      </c>
      <c r="V244">
        <v>0</v>
      </c>
      <c r="W244">
        <v>0</v>
      </c>
      <c r="X244">
        <v>0</v>
      </c>
      <c r="Y244">
        <v>0</v>
      </c>
      <c r="Z244">
        <v>0</v>
      </c>
      <c r="AA244">
        <v>0</v>
      </c>
      <c r="AB244">
        <v>0</v>
      </c>
      <c r="AC244">
        <v>0</v>
      </c>
      <c r="AD244">
        <v>0</v>
      </c>
      <c r="AE244">
        <v>0</v>
      </c>
      <c r="AF244">
        <v>0</v>
      </c>
      <c r="AG244">
        <v>0</v>
      </c>
      <c r="AH244">
        <v>0</v>
      </c>
      <c r="AI244">
        <v>1</v>
      </c>
      <c r="AJ244">
        <v>0</v>
      </c>
      <c r="AK244">
        <v>0</v>
      </c>
      <c r="AL244">
        <v>0</v>
      </c>
      <c r="AM244">
        <v>0</v>
      </c>
      <c r="AN244">
        <v>0</v>
      </c>
      <c r="AO244">
        <v>0</v>
      </c>
      <c r="AP244">
        <v>0</v>
      </c>
      <c r="AQ244">
        <v>0</v>
      </c>
      <c r="AR244">
        <v>0</v>
      </c>
      <c r="AS244">
        <f t="shared" si="47"/>
        <v>1</v>
      </c>
      <c r="AT244">
        <f t="shared" si="48"/>
        <v>1</v>
      </c>
      <c r="AU244" s="3" t="s">
        <v>79</v>
      </c>
      <c r="AV244">
        <f t="shared" si="49"/>
        <v>1</v>
      </c>
      <c r="AW244">
        <f t="shared" si="50"/>
        <v>0</v>
      </c>
      <c r="AX244">
        <f t="shared" si="51"/>
        <v>0</v>
      </c>
      <c r="AY244">
        <v>4.5</v>
      </c>
      <c r="AZ244" t="s">
        <v>60</v>
      </c>
      <c r="BA244" t="s">
        <v>61</v>
      </c>
      <c r="BB244" t="s">
        <v>7</v>
      </c>
    </row>
    <row r="245" ht="51" spans="1:54">
      <c r="A245" t="s">
        <v>842</v>
      </c>
      <c r="B245" t="s">
        <v>55</v>
      </c>
      <c r="C245" t="s">
        <v>56</v>
      </c>
      <c r="D245">
        <v>139</v>
      </c>
      <c r="E245">
        <v>1</v>
      </c>
      <c r="F245">
        <v>111.8</v>
      </c>
      <c r="G245" t="s">
        <v>843</v>
      </c>
      <c r="H245" s="3" t="s">
        <v>844</v>
      </c>
      <c r="I245" s="3" t="s">
        <v>844</v>
      </c>
      <c r="J245">
        <f t="shared" si="39"/>
        <v>0</v>
      </c>
      <c r="K245">
        <f t="shared" si="40"/>
        <v>1</v>
      </c>
      <c r="L245">
        <f t="shared" si="41"/>
        <v>0</v>
      </c>
      <c r="M245">
        <f t="shared" si="42"/>
        <v>0</v>
      </c>
      <c r="N245">
        <f t="shared" si="43"/>
        <v>0</v>
      </c>
      <c r="O245">
        <f t="shared" si="44"/>
        <v>0</v>
      </c>
      <c r="P245">
        <f t="shared" si="45"/>
        <v>0</v>
      </c>
      <c r="Q245">
        <f t="shared" si="46"/>
        <v>0</v>
      </c>
      <c r="R245">
        <v>0</v>
      </c>
      <c r="S245">
        <v>0</v>
      </c>
      <c r="T245">
        <v>0</v>
      </c>
      <c r="U245">
        <v>0</v>
      </c>
      <c r="V245">
        <v>1</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f t="shared" si="47"/>
        <v>1</v>
      </c>
      <c r="AT245">
        <f t="shared" si="48"/>
        <v>1</v>
      </c>
      <c r="AU245" s="3" t="s">
        <v>845</v>
      </c>
      <c r="AV245">
        <f t="shared" si="49"/>
        <v>1</v>
      </c>
      <c r="AW245">
        <f t="shared" si="50"/>
        <v>0</v>
      </c>
      <c r="AX245">
        <f t="shared" si="51"/>
        <v>0</v>
      </c>
      <c r="AY245">
        <v>3.5</v>
      </c>
      <c r="AZ245" t="s">
        <v>60</v>
      </c>
      <c r="BA245" t="s">
        <v>61</v>
      </c>
      <c r="BB245" t="s">
        <v>7</v>
      </c>
    </row>
    <row r="246" ht="51" spans="1:54">
      <c r="A246" t="s">
        <v>846</v>
      </c>
      <c r="B246" t="s">
        <v>55</v>
      </c>
      <c r="C246" t="s">
        <v>56</v>
      </c>
      <c r="D246">
        <v>359</v>
      </c>
      <c r="E246">
        <v>9</v>
      </c>
      <c r="F246">
        <v>39.9</v>
      </c>
      <c r="G246" t="s">
        <v>847</v>
      </c>
      <c r="H246" s="3" t="s">
        <v>848</v>
      </c>
      <c r="I246" s="3" t="s">
        <v>848</v>
      </c>
      <c r="J246">
        <f t="shared" si="39"/>
        <v>0</v>
      </c>
      <c r="K246">
        <f t="shared" si="40"/>
        <v>0</v>
      </c>
      <c r="L246">
        <f t="shared" si="41"/>
        <v>0</v>
      </c>
      <c r="M246">
        <f t="shared" si="42"/>
        <v>0</v>
      </c>
      <c r="N246">
        <f t="shared" si="43"/>
        <v>0</v>
      </c>
      <c r="O246">
        <f t="shared" si="44"/>
        <v>1</v>
      </c>
      <c r="P246">
        <f t="shared" si="45"/>
        <v>0</v>
      </c>
      <c r="Q246">
        <f t="shared" si="46"/>
        <v>0</v>
      </c>
      <c r="R246">
        <v>0</v>
      </c>
      <c r="S246">
        <v>0</v>
      </c>
      <c r="T246">
        <v>0</v>
      </c>
      <c r="U246">
        <v>0</v>
      </c>
      <c r="V246">
        <v>0</v>
      </c>
      <c r="W246">
        <v>0</v>
      </c>
      <c r="X246">
        <v>0</v>
      </c>
      <c r="Y246">
        <v>0</v>
      </c>
      <c r="Z246">
        <v>0</v>
      </c>
      <c r="AA246">
        <v>0</v>
      </c>
      <c r="AB246">
        <v>0</v>
      </c>
      <c r="AC246">
        <v>0</v>
      </c>
      <c r="AD246">
        <v>0</v>
      </c>
      <c r="AE246">
        <v>0</v>
      </c>
      <c r="AF246">
        <v>0</v>
      </c>
      <c r="AG246">
        <v>0</v>
      </c>
      <c r="AH246">
        <v>0</v>
      </c>
      <c r="AI246">
        <v>1</v>
      </c>
      <c r="AJ246">
        <v>0</v>
      </c>
      <c r="AK246">
        <v>0</v>
      </c>
      <c r="AL246">
        <v>0</v>
      </c>
      <c r="AM246">
        <v>0</v>
      </c>
      <c r="AN246">
        <v>0</v>
      </c>
      <c r="AO246">
        <v>0</v>
      </c>
      <c r="AP246">
        <v>0</v>
      </c>
      <c r="AQ246">
        <v>0</v>
      </c>
      <c r="AR246">
        <v>0</v>
      </c>
      <c r="AS246">
        <f t="shared" si="47"/>
        <v>1</v>
      </c>
      <c r="AT246">
        <f t="shared" si="48"/>
        <v>1</v>
      </c>
      <c r="AU246" s="3" t="s">
        <v>79</v>
      </c>
      <c r="AV246">
        <f t="shared" si="49"/>
        <v>1</v>
      </c>
      <c r="AW246">
        <f t="shared" si="50"/>
        <v>0</v>
      </c>
      <c r="AX246">
        <f t="shared" si="51"/>
        <v>0</v>
      </c>
      <c r="AY246">
        <v>4</v>
      </c>
      <c r="AZ246" t="s">
        <v>60</v>
      </c>
      <c r="BA246" t="s">
        <v>61</v>
      </c>
      <c r="BB246" t="s">
        <v>7</v>
      </c>
    </row>
    <row r="247" ht="68" spans="1:54">
      <c r="A247" t="s">
        <v>849</v>
      </c>
      <c r="B247" t="s">
        <v>55</v>
      </c>
      <c r="C247" t="s">
        <v>56</v>
      </c>
      <c r="D247">
        <v>581</v>
      </c>
      <c r="E247">
        <v>34</v>
      </c>
      <c r="F247">
        <v>122.6</v>
      </c>
      <c r="G247" t="s">
        <v>850</v>
      </c>
      <c r="H247" s="3" t="s">
        <v>851</v>
      </c>
      <c r="I247" s="3" t="s">
        <v>851</v>
      </c>
      <c r="J247">
        <f t="shared" si="39"/>
        <v>0</v>
      </c>
      <c r="K247">
        <f t="shared" si="40"/>
        <v>0</v>
      </c>
      <c r="L247">
        <f t="shared" si="41"/>
        <v>0</v>
      </c>
      <c r="M247">
        <f t="shared" si="42"/>
        <v>0</v>
      </c>
      <c r="N247">
        <f t="shared" si="43"/>
        <v>1</v>
      </c>
      <c r="O247">
        <f t="shared" si="44"/>
        <v>0</v>
      </c>
      <c r="P247">
        <f t="shared" si="45"/>
        <v>0</v>
      </c>
      <c r="Q247">
        <f t="shared" si="46"/>
        <v>1</v>
      </c>
      <c r="R247">
        <v>0</v>
      </c>
      <c r="S247">
        <v>0</v>
      </c>
      <c r="T247">
        <v>0</v>
      </c>
      <c r="U247">
        <v>0</v>
      </c>
      <c r="V247">
        <v>0</v>
      </c>
      <c r="W247">
        <v>0</v>
      </c>
      <c r="X247">
        <v>0</v>
      </c>
      <c r="Y247">
        <v>0</v>
      </c>
      <c r="Z247">
        <v>0</v>
      </c>
      <c r="AA247">
        <v>0</v>
      </c>
      <c r="AB247">
        <v>0</v>
      </c>
      <c r="AC247">
        <v>0</v>
      </c>
      <c r="AD247">
        <v>0</v>
      </c>
      <c r="AE247">
        <v>0</v>
      </c>
      <c r="AF247">
        <v>0</v>
      </c>
      <c r="AG247">
        <v>1</v>
      </c>
      <c r="AH247">
        <v>0</v>
      </c>
      <c r="AI247">
        <v>0</v>
      </c>
      <c r="AJ247">
        <v>0</v>
      </c>
      <c r="AK247">
        <v>0</v>
      </c>
      <c r="AL247">
        <v>0</v>
      </c>
      <c r="AM247">
        <v>0</v>
      </c>
      <c r="AN247">
        <v>0</v>
      </c>
      <c r="AO247">
        <v>0</v>
      </c>
      <c r="AP247">
        <v>0</v>
      </c>
      <c r="AQ247">
        <v>0</v>
      </c>
      <c r="AR247">
        <v>1</v>
      </c>
      <c r="AS247">
        <f t="shared" si="47"/>
        <v>2</v>
      </c>
      <c r="AT247">
        <f t="shared" si="48"/>
        <v>2</v>
      </c>
      <c r="AU247" s="3" t="s">
        <v>852</v>
      </c>
      <c r="AV247">
        <f t="shared" si="49"/>
        <v>1</v>
      </c>
      <c r="AW247">
        <f t="shared" si="50"/>
        <v>0</v>
      </c>
      <c r="AX247">
        <f t="shared" si="51"/>
        <v>0</v>
      </c>
      <c r="AY247">
        <v>12.5</v>
      </c>
      <c r="AZ247" t="s">
        <v>60</v>
      </c>
      <c r="BA247" t="s">
        <v>61</v>
      </c>
      <c r="BB247" t="s">
        <v>7</v>
      </c>
    </row>
    <row r="248" ht="320" spans="1:54">
      <c r="A248" t="s">
        <v>853</v>
      </c>
      <c r="B248" t="s">
        <v>55</v>
      </c>
      <c r="C248" t="s">
        <v>116</v>
      </c>
      <c r="D248">
        <v>34</v>
      </c>
      <c r="E248">
        <v>0</v>
      </c>
      <c r="F248">
        <v>47.8</v>
      </c>
      <c r="G248" t="s">
        <v>854</v>
      </c>
      <c r="H248" s="3" t="s">
        <v>855</v>
      </c>
      <c r="I248" s="3" t="s">
        <v>855</v>
      </c>
      <c r="J248">
        <f t="shared" si="39"/>
        <v>1</v>
      </c>
      <c r="K248">
        <f t="shared" si="40"/>
        <v>1</v>
      </c>
      <c r="L248">
        <f t="shared" si="41"/>
        <v>1</v>
      </c>
      <c r="M248">
        <f t="shared" si="42"/>
        <v>0</v>
      </c>
      <c r="N248">
        <f t="shared" si="43"/>
        <v>1</v>
      </c>
      <c r="O248">
        <f t="shared" si="44"/>
        <v>1</v>
      </c>
      <c r="P248">
        <f t="shared" si="45"/>
        <v>0</v>
      </c>
      <c r="Q248">
        <f t="shared" si="46"/>
        <v>1</v>
      </c>
      <c r="R248">
        <v>1</v>
      </c>
      <c r="S248">
        <v>0</v>
      </c>
      <c r="T248">
        <v>0</v>
      </c>
      <c r="U248">
        <v>1</v>
      </c>
      <c r="V248">
        <v>0</v>
      </c>
      <c r="W248">
        <v>0</v>
      </c>
      <c r="X248">
        <v>0</v>
      </c>
      <c r="Y248">
        <v>0</v>
      </c>
      <c r="Z248">
        <v>1</v>
      </c>
      <c r="AA248">
        <v>1</v>
      </c>
      <c r="AB248">
        <v>1</v>
      </c>
      <c r="AC248">
        <v>0</v>
      </c>
      <c r="AD248">
        <v>0</v>
      </c>
      <c r="AE248">
        <v>0</v>
      </c>
      <c r="AF248">
        <v>0</v>
      </c>
      <c r="AG248">
        <v>0</v>
      </c>
      <c r="AH248">
        <v>1</v>
      </c>
      <c r="AI248">
        <v>1</v>
      </c>
      <c r="AJ248">
        <v>1</v>
      </c>
      <c r="AK248">
        <v>0</v>
      </c>
      <c r="AL248">
        <v>0</v>
      </c>
      <c r="AM248">
        <v>0</v>
      </c>
      <c r="AN248">
        <v>0</v>
      </c>
      <c r="AO248">
        <v>0</v>
      </c>
      <c r="AP248">
        <v>0</v>
      </c>
      <c r="AQ248">
        <v>0</v>
      </c>
      <c r="AR248">
        <v>1</v>
      </c>
      <c r="AS248">
        <f t="shared" si="47"/>
        <v>6</v>
      </c>
      <c r="AT248">
        <f t="shared" si="48"/>
        <v>9</v>
      </c>
      <c r="AU248" s="3" t="s">
        <v>856</v>
      </c>
      <c r="AV248">
        <f t="shared" si="49"/>
        <v>1</v>
      </c>
      <c r="AW248">
        <f t="shared" si="50"/>
        <v>0</v>
      </c>
      <c r="AX248">
        <f t="shared" si="51"/>
        <v>1</v>
      </c>
      <c r="AY248">
        <v>-2.5</v>
      </c>
      <c r="AZ248" t="s">
        <v>133</v>
      </c>
      <c r="BA248" t="s">
        <v>134</v>
      </c>
      <c r="BB248" t="s">
        <v>7</v>
      </c>
    </row>
    <row r="249" ht="219" spans="1:54">
      <c r="A249" t="s">
        <v>857</v>
      </c>
      <c r="B249" t="s">
        <v>55</v>
      </c>
      <c r="C249" t="s">
        <v>56</v>
      </c>
      <c r="D249">
        <v>22</v>
      </c>
      <c r="E249">
        <v>0</v>
      </c>
      <c r="F249">
        <v>39.9</v>
      </c>
      <c r="G249" t="s">
        <v>858</v>
      </c>
      <c r="H249" s="3" t="s">
        <v>859</v>
      </c>
      <c r="I249" s="3" t="s">
        <v>859</v>
      </c>
      <c r="J249">
        <f t="shared" si="39"/>
        <v>0</v>
      </c>
      <c r="K249">
        <f t="shared" si="40"/>
        <v>0</v>
      </c>
      <c r="L249">
        <f t="shared" si="41"/>
        <v>0</v>
      </c>
      <c r="M249">
        <f t="shared" si="42"/>
        <v>0</v>
      </c>
      <c r="N249">
        <f t="shared" si="43"/>
        <v>0</v>
      </c>
      <c r="O249">
        <f t="shared" si="44"/>
        <v>1</v>
      </c>
      <c r="P249">
        <f t="shared" si="45"/>
        <v>0</v>
      </c>
      <c r="Q249">
        <f t="shared" si="46"/>
        <v>0</v>
      </c>
      <c r="R249">
        <v>0</v>
      </c>
      <c r="S249">
        <v>0</v>
      </c>
      <c r="T249">
        <v>0</v>
      </c>
      <c r="U249">
        <v>0</v>
      </c>
      <c r="V249">
        <v>0</v>
      </c>
      <c r="W249">
        <v>0</v>
      </c>
      <c r="X249">
        <v>0</v>
      </c>
      <c r="Y249">
        <v>0</v>
      </c>
      <c r="Z249">
        <v>0</v>
      </c>
      <c r="AA249">
        <v>0</v>
      </c>
      <c r="AB249">
        <v>0</v>
      </c>
      <c r="AC249">
        <v>0</v>
      </c>
      <c r="AD249">
        <v>0</v>
      </c>
      <c r="AE249">
        <v>0</v>
      </c>
      <c r="AF249">
        <v>0</v>
      </c>
      <c r="AG249">
        <v>0</v>
      </c>
      <c r="AH249">
        <v>0</v>
      </c>
      <c r="AI249">
        <v>1</v>
      </c>
      <c r="AJ249">
        <v>0</v>
      </c>
      <c r="AK249">
        <v>0</v>
      </c>
      <c r="AL249">
        <v>1</v>
      </c>
      <c r="AM249">
        <v>0</v>
      </c>
      <c r="AN249">
        <v>0</v>
      </c>
      <c r="AO249">
        <v>0</v>
      </c>
      <c r="AP249">
        <v>0</v>
      </c>
      <c r="AQ249">
        <v>0</v>
      </c>
      <c r="AR249">
        <v>0</v>
      </c>
      <c r="AS249">
        <f t="shared" si="47"/>
        <v>1</v>
      </c>
      <c r="AT249">
        <f t="shared" si="48"/>
        <v>2</v>
      </c>
      <c r="AU249" s="3" t="s">
        <v>860</v>
      </c>
      <c r="AV249">
        <f t="shared" si="49"/>
        <v>1</v>
      </c>
      <c r="AW249">
        <f t="shared" si="50"/>
        <v>0</v>
      </c>
      <c r="AX249">
        <f t="shared" si="51"/>
        <v>0</v>
      </c>
      <c r="AY249">
        <v>0</v>
      </c>
      <c r="AZ249" t="s">
        <v>147</v>
      </c>
      <c r="BA249" t="s">
        <v>148</v>
      </c>
      <c r="BB249" t="s">
        <v>7</v>
      </c>
    </row>
    <row r="250" ht="409.5" spans="1:54">
      <c r="A250" t="s">
        <v>861</v>
      </c>
      <c r="B250" t="s">
        <v>55</v>
      </c>
      <c r="C250" t="s">
        <v>116</v>
      </c>
      <c r="D250">
        <v>89</v>
      </c>
      <c r="E250">
        <v>0</v>
      </c>
      <c r="F250">
        <v>88.1</v>
      </c>
      <c r="G250" t="s">
        <v>862</v>
      </c>
      <c r="H250" s="3" t="s">
        <v>863</v>
      </c>
      <c r="I250" s="3" t="s">
        <v>863</v>
      </c>
      <c r="J250">
        <f t="shared" si="39"/>
        <v>1</v>
      </c>
      <c r="K250">
        <f t="shared" si="40"/>
        <v>1</v>
      </c>
      <c r="L250">
        <f t="shared" si="41"/>
        <v>1</v>
      </c>
      <c r="M250">
        <f t="shared" si="42"/>
        <v>1</v>
      </c>
      <c r="N250">
        <f t="shared" si="43"/>
        <v>1</v>
      </c>
      <c r="O250">
        <f t="shared" si="44"/>
        <v>1</v>
      </c>
      <c r="P250">
        <f t="shared" si="45"/>
        <v>0</v>
      </c>
      <c r="Q250">
        <f t="shared" si="46"/>
        <v>1</v>
      </c>
      <c r="R250">
        <v>1</v>
      </c>
      <c r="S250">
        <v>1</v>
      </c>
      <c r="T250">
        <v>1</v>
      </c>
      <c r="U250">
        <v>1</v>
      </c>
      <c r="V250">
        <v>1</v>
      </c>
      <c r="W250">
        <v>1</v>
      </c>
      <c r="X250">
        <v>1</v>
      </c>
      <c r="Y250">
        <v>0</v>
      </c>
      <c r="Z250">
        <v>1</v>
      </c>
      <c r="AA250">
        <v>1</v>
      </c>
      <c r="AB250">
        <v>1</v>
      </c>
      <c r="AC250">
        <v>1</v>
      </c>
      <c r="AD250">
        <v>1</v>
      </c>
      <c r="AE250">
        <v>0</v>
      </c>
      <c r="AF250">
        <v>1</v>
      </c>
      <c r="AG250">
        <v>1</v>
      </c>
      <c r="AH250">
        <v>1</v>
      </c>
      <c r="AI250">
        <v>1</v>
      </c>
      <c r="AJ250">
        <v>0</v>
      </c>
      <c r="AK250">
        <v>0</v>
      </c>
      <c r="AL250">
        <v>0</v>
      </c>
      <c r="AM250">
        <v>0</v>
      </c>
      <c r="AN250">
        <v>0</v>
      </c>
      <c r="AO250">
        <v>0</v>
      </c>
      <c r="AP250">
        <v>0</v>
      </c>
      <c r="AQ250">
        <v>0</v>
      </c>
      <c r="AR250">
        <v>1</v>
      </c>
      <c r="AS250">
        <f t="shared" si="47"/>
        <v>7</v>
      </c>
      <c r="AT250">
        <f t="shared" si="48"/>
        <v>17</v>
      </c>
      <c r="AU250" s="3" t="s">
        <v>864</v>
      </c>
      <c r="AV250">
        <f t="shared" si="49"/>
        <v>1</v>
      </c>
      <c r="AW250">
        <f t="shared" si="50"/>
        <v>0</v>
      </c>
      <c r="AX250">
        <f t="shared" si="51"/>
        <v>1</v>
      </c>
      <c r="AY250">
        <v>52.5</v>
      </c>
      <c r="AZ250" t="s">
        <v>60</v>
      </c>
      <c r="BA250" t="s">
        <v>61</v>
      </c>
      <c r="BB250" t="s">
        <v>7</v>
      </c>
    </row>
    <row r="251" ht="286" spans="1:54">
      <c r="A251" t="s">
        <v>865</v>
      </c>
      <c r="B251" t="s">
        <v>55</v>
      </c>
      <c r="C251" t="s">
        <v>56</v>
      </c>
      <c r="D251">
        <v>3684</v>
      </c>
      <c r="E251">
        <v>112</v>
      </c>
      <c r="F251">
        <v>60.4</v>
      </c>
      <c r="G251" t="s">
        <v>866</v>
      </c>
      <c r="H251" s="3" t="s">
        <v>867</v>
      </c>
      <c r="I251" s="3" t="s">
        <v>867</v>
      </c>
      <c r="J251">
        <f t="shared" si="39"/>
        <v>1</v>
      </c>
      <c r="K251">
        <f t="shared" si="40"/>
        <v>1</v>
      </c>
      <c r="L251">
        <f t="shared" si="41"/>
        <v>1</v>
      </c>
      <c r="M251">
        <f t="shared" si="42"/>
        <v>1</v>
      </c>
      <c r="N251">
        <f t="shared" si="43"/>
        <v>0</v>
      </c>
      <c r="O251">
        <f t="shared" si="44"/>
        <v>1</v>
      </c>
      <c r="P251">
        <f t="shared" si="45"/>
        <v>0</v>
      </c>
      <c r="Q251">
        <f t="shared" si="46"/>
        <v>0</v>
      </c>
      <c r="R251">
        <v>1</v>
      </c>
      <c r="S251">
        <v>1</v>
      </c>
      <c r="T251">
        <v>0</v>
      </c>
      <c r="U251">
        <v>1</v>
      </c>
      <c r="V251">
        <v>1</v>
      </c>
      <c r="W251">
        <v>0</v>
      </c>
      <c r="X251">
        <v>0</v>
      </c>
      <c r="Y251">
        <v>0</v>
      </c>
      <c r="Z251">
        <v>0</v>
      </c>
      <c r="AA251">
        <v>0</v>
      </c>
      <c r="AB251">
        <v>1</v>
      </c>
      <c r="AC251">
        <v>0</v>
      </c>
      <c r="AD251">
        <v>1</v>
      </c>
      <c r="AE251">
        <v>0</v>
      </c>
      <c r="AF251">
        <v>1</v>
      </c>
      <c r="AG251">
        <v>0</v>
      </c>
      <c r="AH251">
        <v>0</v>
      </c>
      <c r="AI251">
        <v>1</v>
      </c>
      <c r="AJ251">
        <v>1</v>
      </c>
      <c r="AK251">
        <v>0</v>
      </c>
      <c r="AL251">
        <v>0</v>
      </c>
      <c r="AM251">
        <v>0</v>
      </c>
      <c r="AN251">
        <v>0</v>
      </c>
      <c r="AO251">
        <v>0</v>
      </c>
      <c r="AP251">
        <v>0</v>
      </c>
      <c r="AQ251">
        <v>0</v>
      </c>
      <c r="AR251">
        <v>0</v>
      </c>
      <c r="AS251">
        <f t="shared" si="47"/>
        <v>5</v>
      </c>
      <c r="AT251">
        <f t="shared" si="48"/>
        <v>9</v>
      </c>
      <c r="AU251" s="3" t="s">
        <v>868</v>
      </c>
      <c r="AV251">
        <f t="shared" si="49"/>
        <v>1</v>
      </c>
      <c r="AW251">
        <f t="shared" si="50"/>
        <v>0</v>
      </c>
      <c r="AX251">
        <f t="shared" si="51"/>
        <v>1</v>
      </c>
      <c r="AY251">
        <v>-1</v>
      </c>
      <c r="AZ251" t="s">
        <v>133</v>
      </c>
      <c r="BA251" t="s">
        <v>134</v>
      </c>
      <c r="BB251" t="s">
        <v>7</v>
      </c>
    </row>
    <row r="252" ht="409.5" spans="1:54">
      <c r="A252" t="s">
        <v>869</v>
      </c>
      <c r="B252" t="s">
        <v>55</v>
      </c>
      <c r="C252" t="s">
        <v>56</v>
      </c>
      <c r="D252">
        <v>16</v>
      </c>
      <c r="E252">
        <v>0</v>
      </c>
      <c r="F252" t="s">
        <v>870</v>
      </c>
      <c r="G252" t="s">
        <v>562</v>
      </c>
      <c r="H252" s="3" t="s">
        <v>871</v>
      </c>
      <c r="I252" s="3" t="s">
        <v>871</v>
      </c>
      <c r="J252">
        <f t="shared" si="39"/>
        <v>1</v>
      </c>
      <c r="K252">
        <f t="shared" si="40"/>
        <v>1</v>
      </c>
      <c r="L252">
        <f t="shared" si="41"/>
        <v>1</v>
      </c>
      <c r="M252">
        <f t="shared" si="42"/>
        <v>1</v>
      </c>
      <c r="N252">
        <f t="shared" si="43"/>
        <v>1</v>
      </c>
      <c r="O252">
        <f t="shared" si="44"/>
        <v>1</v>
      </c>
      <c r="P252">
        <f t="shared" si="45"/>
        <v>0</v>
      </c>
      <c r="Q252">
        <f t="shared" si="46"/>
        <v>1</v>
      </c>
      <c r="R252">
        <v>1</v>
      </c>
      <c r="S252">
        <v>1</v>
      </c>
      <c r="T252">
        <v>1</v>
      </c>
      <c r="U252">
        <v>1</v>
      </c>
      <c r="V252">
        <v>1</v>
      </c>
      <c r="W252">
        <v>1</v>
      </c>
      <c r="X252">
        <v>1</v>
      </c>
      <c r="Y252">
        <v>0</v>
      </c>
      <c r="Z252">
        <v>1</v>
      </c>
      <c r="AA252">
        <v>1</v>
      </c>
      <c r="AB252">
        <v>0</v>
      </c>
      <c r="AC252">
        <v>1</v>
      </c>
      <c r="AD252">
        <v>1</v>
      </c>
      <c r="AE252">
        <v>0</v>
      </c>
      <c r="AF252">
        <v>0</v>
      </c>
      <c r="AG252">
        <v>1</v>
      </c>
      <c r="AH252">
        <v>1</v>
      </c>
      <c r="AI252">
        <v>1</v>
      </c>
      <c r="AJ252">
        <v>1</v>
      </c>
      <c r="AK252">
        <v>1</v>
      </c>
      <c r="AL252">
        <v>0</v>
      </c>
      <c r="AM252">
        <v>0</v>
      </c>
      <c r="AN252">
        <v>0</v>
      </c>
      <c r="AO252">
        <v>0</v>
      </c>
      <c r="AP252">
        <v>0</v>
      </c>
      <c r="AQ252">
        <v>0</v>
      </c>
      <c r="AR252">
        <v>1</v>
      </c>
      <c r="AS252">
        <f t="shared" si="47"/>
        <v>7</v>
      </c>
      <c r="AT252">
        <f t="shared" si="48"/>
        <v>17</v>
      </c>
      <c r="AU252" s="3" t="s">
        <v>872</v>
      </c>
      <c r="AV252">
        <f t="shared" si="49"/>
        <v>1</v>
      </c>
      <c r="AW252">
        <f t="shared" si="50"/>
        <v>0</v>
      </c>
      <c r="AX252">
        <f t="shared" si="51"/>
        <v>1</v>
      </c>
      <c r="AY252">
        <v>58</v>
      </c>
      <c r="AZ252" t="s">
        <v>60</v>
      </c>
      <c r="BA252" t="s">
        <v>61</v>
      </c>
      <c r="BB252" t="s">
        <v>7</v>
      </c>
    </row>
    <row r="253" ht="17" spans="1:54">
      <c r="A253" t="s">
        <v>873</v>
      </c>
      <c r="B253" t="s">
        <v>55</v>
      </c>
      <c r="C253" t="s">
        <v>56</v>
      </c>
      <c r="D253">
        <v>23</v>
      </c>
      <c r="E253">
        <v>0</v>
      </c>
      <c r="F253">
        <v>112.8</v>
      </c>
      <c r="G253" t="s">
        <v>874</v>
      </c>
      <c r="H253" s="3" t="s">
        <v>875</v>
      </c>
      <c r="I253" s="3" t="s">
        <v>875</v>
      </c>
      <c r="J253">
        <f t="shared" si="39"/>
        <v>0</v>
      </c>
      <c r="K253">
        <f t="shared" si="40"/>
        <v>0</v>
      </c>
      <c r="L253">
        <f t="shared" si="41"/>
        <v>0</v>
      </c>
      <c r="M253">
        <f t="shared" si="42"/>
        <v>0</v>
      </c>
      <c r="N253">
        <f t="shared" si="43"/>
        <v>1</v>
      </c>
      <c r="O253">
        <f t="shared" si="44"/>
        <v>0</v>
      </c>
      <c r="P253">
        <f t="shared" si="45"/>
        <v>0</v>
      </c>
      <c r="Q253">
        <f t="shared" si="46"/>
        <v>0</v>
      </c>
      <c r="R253">
        <v>0</v>
      </c>
      <c r="S253">
        <v>0</v>
      </c>
      <c r="T253">
        <v>0</v>
      </c>
      <c r="U253">
        <v>0</v>
      </c>
      <c r="V253">
        <v>0</v>
      </c>
      <c r="W253">
        <v>0</v>
      </c>
      <c r="X253">
        <v>0</v>
      </c>
      <c r="Y253">
        <v>0</v>
      </c>
      <c r="Z253">
        <v>0</v>
      </c>
      <c r="AA253">
        <v>0</v>
      </c>
      <c r="AB253">
        <v>0</v>
      </c>
      <c r="AC253">
        <v>0</v>
      </c>
      <c r="AD253">
        <v>0</v>
      </c>
      <c r="AE253">
        <v>0</v>
      </c>
      <c r="AF253">
        <v>0</v>
      </c>
      <c r="AG253">
        <v>0</v>
      </c>
      <c r="AH253">
        <v>1</v>
      </c>
      <c r="AI253">
        <v>0</v>
      </c>
      <c r="AJ253">
        <v>0</v>
      </c>
      <c r="AK253">
        <v>0</v>
      </c>
      <c r="AL253">
        <v>0</v>
      </c>
      <c r="AM253">
        <v>0</v>
      </c>
      <c r="AN253">
        <v>0</v>
      </c>
      <c r="AO253">
        <v>0</v>
      </c>
      <c r="AP253">
        <v>0</v>
      </c>
      <c r="AQ253">
        <v>0</v>
      </c>
      <c r="AR253">
        <v>0</v>
      </c>
      <c r="AS253">
        <f t="shared" si="47"/>
        <v>1</v>
      </c>
      <c r="AT253">
        <f t="shared" si="48"/>
        <v>1</v>
      </c>
      <c r="AU253" s="3" t="s">
        <v>129</v>
      </c>
      <c r="AV253">
        <f t="shared" si="49"/>
        <v>1</v>
      </c>
      <c r="AW253">
        <f t="shared" si="50"/>
        <v>0</v>
      </c>
      <c r="AX253">
        <f t="shared" si="51"/>
        <v>0</v>
      </c>
      <c r="AY253">
        <v>3</v>
      </c>
      <c r="AZ253" t="s">
        <v>60</v>
      </c>
      <c r="BA253" t="s">
        <v>61</v>
      </c>
      <c r="BB253" t="s">
        <v>7</v>
      </c>
    </row>
    <row r="254" ht="409.5" spans="1:54">
      <c r="A254" t="s">
        <v>876</v>
      </c>
      <c r="B254" t="s">
        <v>55</v>
      </c>
      <c r="C254" t="s">
        <v>56</v>
      </c>
      <c r="D254">
        <v>15</v>
      </c>
      <c r="E254">
        <v>2</v>
      </c>
      <c r="F254" t="s">
        <v>877</v>
      </c>
      <c r="G254" t="s">
        <v>878</v>
      </c>
      <c r="H254" s="3" t="s">
        <v>879</v>
      </c>
      <c r="I254" s="3" t="s">
        <v>879</v>
      </c>
      <c r="J254">
        <f t="shared" si="39"/>
        <v>1</v>
      </c>
      <c r="K254">
        <f t="shared" si="40"/>
        <v>1</v>
      </c>
      <c r="L254">
        <f t="shared" si="41"/>
        <v>1</v>
      </c>
      <c r="M254">
        <f t="shared" si="42"/>
        <v>1</v>
      </c>
      <c r="N254">
        <f t="shared" si="43"/>
        <v>1</v>
      </c>
      <c r="O254">
        <f t="shared" si="44"/>
        <v>1</v>
      </c>
      <c r="P254">
        <f t="shared" si="45"/>
        <v>1</v>
      </c>
      <c r="Q254">
        <f t="shared" si="46"/>
        <v>0</v>
      </c>
      <c r="R254">
        <v>1</v>
      </c>
      <c r="S254">
        <v>0</v>
      </c>
      <c r="T254">
        <v>1</v>
      </c>
      <c r="U254">
        <v>1</v>
      </c>
      <c r="V254">
        <v>1</v>
      </c>
      <c r="W254">
        <v>1</v>
      </c>
      <c r="X254">
        <v>1</v>
      </c>
      <c r="Y254">
        <v>1</v>
      </c>
      <c r="Z254">
        <v>1</v>
      </c>
      <c r="AA254">
        <v>1</v>
      </c>
      <c r="AB254">
        <v>1</v>
      </c>
      <c r="AC254">
        <v>1</v>
      </c>
      <c r="AD254">
        <v>1</v>
      </c>
      <c r="AE254">
        <v>0</v>
      </c>
      <c r="AF254">
        <v>0</v>
      </c>
      <c r="AG254">
        <v>1</v>
      </c>
      <c r="AH254">
        <v>1</v>
      </c>
      <c r="AI254">
        <v>1</v>
      </c>
      <c r="AJ254">
        <v>0</v>
      </c>
      <c r="AK254">
        <v>1</v>
      </c>
      <c r="AL254">
        <v>1</v>
      </c>
      <c r="AM254">
        <v>0</v>
      </c>
      <c r="AN254">
        <v>0</v>
      </c>
      <c r="AO254">
        <v>0</v>
      </c>
      <c r="AP254">
        <v>1</v>
      </c>
      <c r="AQ254">
        <v>0</v>
      </c>
      <c r="AR254">
        <v>0</v>
      </c>
      <c r="AS254">
        <f t="shared" si="47"/>
        <v>7</v>
      </c>
      <c r="AT254">
        <f t="shared" si="48"/>
        <v>18</v>
      </c>
      <c r="AU254" s="3" t="s">
        <v>880</v>
      </c>
      <c r="AV254">
        <f t="shared" si="49"/>
        <v>1</v>
      </c>
      <c r="AW254">
        <f t="shared" si="50"/>
        <v>0</v>
      </c>
      <c r="AX254">
        <f t="shared" si="51"/>
        <v>1</v>
      </c>
      <c r="AY254">
        <v>68</v>
      </c>
      <c r="AZ254" t="s">
        <v>60</v>
      </c>
      <c r="BA254" t="s">
        <v>61</v>
      </c>
      <c r="BB254" t="s">
        <v>7</v>
      </c>
    </row>
    <row r="255" ht="185" spans="1:54">
      <c r="A255" t="s">
        <v>881</v>
      </c>
      <c r="B255" t="s">
        <v>55</v>
      </c>
      <c r="C255" t="s">
        <v>56</v>
      </c>
      <c r="D255">
        <v>8</v>
      </c>
      <c r="E255">
        <v>0</v>
      </c>
      <c r="F255" t="s">
        <v>882</v>
      </c>
      <c r="G255" t="s">
        <v>443</v>
      </c>
      <c r="H255" s="3" t="s">
        <v>883</v>
      </c>
      <c r="I255" s="3" t="s">
        <v>883</v>
      </c>
      <c r="J255">
        <f t="shared" si="39"/>
        <v>1</v>
      </c>
      <c r="K255">
        <f t="shared" si="40"/>
        <v>1</v>
      </c>
      <c r="L255">
        <f t="shared" si="41"/>
        <v>1</v>
      </c>
      <c r="M255">
        <f t="shared" si="42"/>
        <v>0</v>
      </c>
      <c r="N255">
        <f t="shared" si="43"/>
        <v>1</v>
      </c>
      <c r="O255">
        <f t="shared" si="44"/>
        <v>0</v>
      </c>
      <c r="P255">
        <f t="shared" si="45"/>
        <v>0</v>
      </c>
      <c r="Q255">
        <f t="shared" si="46"/>
        <v>0</v>
      </c>
      <c r="R255">
        <v>1</v>
      </c>
      <c r="S255">
        <v>0</v>
      </c>
      <c r="T255">
        <v>0</v>
      </c>
      <c r="U255">
        <v>0</v>
      </c>
      <c r="V255">
        <v>1</v>
      </c>
      <c r="W255">
        <v>1</v>
      </c>
      <c r="X255">
        <v>0</v>
      </c>
      <c r="Y255">
        <v>0</v>
      </c>
      <c r="Z255">
        <v>1</v>
      </c>
      <c r="AA255">
        <v>0</v>
      </c>
      <c r="AB255">
        <v>1</v>
      </c>
      <c r="AC255">
        <v>0</v>
      </c>
      <c r="AD255">
        <v>0</v>
      </c>
      <c r="AE255">
        <v>0</v>
      </c>
      <c r="AF255">
        <v>0</v>
      </c>
      <c r="AG255">
        <v>0</v>
      </c>
      <c r="AH255">
        <v>1</v>
      </c>
      <c r="AI255">
        <v>0</v>
      </c>
      <c r="AJ255">
        <v>0</v>
      </c>
      <c r="AK255">
        <v>0</v>
      </c>
      <c r="AL255">
        <v>0</v>
      </c>
      <c r="AM255">
        <v>0</v>
      </c>
      <c r="AN255">
        <v>0</v>
      </c>
      <c r="AO255">
        <v>0</v>
      </c>
      <c r="AP255">
        <v>0</v>
      </c>
      <c r="AQ255">
        <v>0</v>
      </c>
      <c r="AR255">
        <v>0</v>
      </c>
      <c r="AS255">
        <f t="shared" si="47"/>
        <v>4</v>
      </c>
      <c r="AT255">
        <f t="shared" si="48"/>
        <v>6</v>
      </c>
      <c r="AU255" s="3" t="s">
        <v>884</v>
      </c>
      <c r="AV255">
        <f t="shared" si="49"/>
        <v>1</v>
      </c>
      <c r="AW255">
        <f t="shared" si="50"/>
        <v>0</v>
      </c>
      <c r="AX255">
        <f t="shared" si="51"/>
        <v>0</v>
      </c>
      <c r="AY255">
        <v>7</v>
      </c>
      <c r="AZ255" t="s">
        <v>60</v>
      </c>
      <c r="BA255" t="s">
        <v>61</v>
      </c>
      <c r="BB255" t="s">
        <v>7</v>
      </c>
    </row>
    <row r="256" ht="409.5" spans="1:54">
      <c r="A256" t="s">
        <v>885</v>
      </c>
      <c r="B256" t="s">
        <v>55</v>
      </c>
      <c r="C256" t="s">
        <v>56</v>
      </c>
      <c r="D256">
        <v>7</v>
      </c>
      <c r="E256">
        <v>2</v>
      </c>
      <c r="F256" t="s">
        <v>886</v>
      </c>
      <c r="G256" t="s">
        <v>464</v>
      </c>
      <c r="H256" s="3" t="s">
        <v>887</v>
      </c>
      <c r="I256" s="3" t="s">
        <v>887</v>
      </c>
      <c r="J256">
        <f t="shared" si="39"/>
        <v>1</v>
      </c>
      <c r="K256">
        <f t="shared" si="40"/>
        <v>1</v>
      </c>
      <c r="L256">
        <f t="shared" si="41"/>
        <v>1</v>
      </c>
      <c r="M256">
        <f t="shared" si="42"/>
        <v>1</v>
      </c>
      <c r="N256">
        <f t="shared" si="43"/>
        <v>1</v>
      </c>
      <c r="O256">
        <f t="shared" si="44"/>
        <v>1</v>
      </c>
      <c r="P256">
        <f t="shared" si="45"/>
        <v>1</v>
      </c>
      <c r="Q256">
        <f t="shared" si="46"/>
        <v>1</v>
      </c>
      <c r="R256">
        <v>1</v>
      </c>
      <c r="S256">
        <v>1</v>
      </c>
      <c r="T256">
        <v>1</v>
      </c>
      <c r="U256">
        <v>1</v>
      </c>
      <c r="V256">
        <v>1</v>
      </c>
      <c r="W256">
        <v>1</v>
      </c>
      <c r="X256">
        <v>1</v>
      </c>
      <c r="Y256">
        <v>1</v>
      </c>
      <c r="Z256">
        <v>1</v>
      </c>
      <c r="AA256">
        <v>1</v>
      </c>
      <c r="AB256">
        <v>1</v>
      </c>
      <c r="AC256">
        <v>1</v>
      </c>
      <c r="AD256">
        <v>1</v>
      </c>
      <c r="AE256">
        <v>0</v>
      </c>
      <c r="AF256">
        <v>0</v>
      </c>
      <c r="AG256">
        <v>0</v>
      </c>
      <c r="AH256">
        <v>1</v>
      </c>
      <c r="AI256">
        <v>1</v>
      </c>
      <c r="AJ256">
        <v>0</v>
      </c>
      <c r="AK256">
        <v>1</v>
      </c>
      <c r="AL256">
        <v>1</v>
      </c>
      <c r="AM256">
        <v>0</v>
      </c>
      <c r="AN256">
        <v>0</v>
      </c>
      <c r="AO256">
        <v>0</v>
      </c>
      <c r="AP256">
        <v>0</v>
      </c>
      <c r="AQ256">
        <v>1</v>
      </c>
      <c r="AR256">
        <v>1</v>
      </c>
      <c r="AS256">
        <f t="shared" si="47"/>
        <v>8</v>
      </c>
      <c r="AT256">
        <f t="shared" si="48"/>
        <v>19</v>
      </c>
      <c r="AU256" s="3" t="s">
        <v>888</v>
      </c>
      <c r="AV256">
        <f t="shared" si="49"/>
        <v>1</v>
      </c>
      <c r="AW256">
        <f t="shared" si="50"/>
        <v>0</v>
      </c>
      <c r="AX256">
        <f t="shared" si="51"/>
        <v>1</v>
      </c>
      <c r="AY256">
        <v>-1.5</v>
      </c>
      <c r="AZ256" t="s">
        <v>133</v>
      </c>
      <c r="BA256" t="s">
        <v>134</v>
      </c>
      <c r="BB256" t="s">
        <v>7</v>
      </c>
    </row>
    <row r="257" ht="409.5" spans="1:54">
      <c r="A257" t="s">
        <v>889</v>
      </c>
      <c r="B257" t="s">
        <v>55</v>
      </c>
      <c r="C257" t="s">
        <v>56</v>
      </c>
      <c r="D257">
        <v>19</v>
      </c>
      <c r="E257">
        <v>0</v>
      </c>
      <c r="F257" t="s">
        <v>890</v>
      </c>
      <c r="G257" t="s">
        <v>402</v>
      </c>
      <c r="H257" s="3" t="s">
        <v>891</v>
      </c>
      <c r="I257" s="3" t="s">
        <v>891</v>
      </c>
      <c r="J257">
        <f t="shared" si="39"/>
        <v>1</v>
      </c>
      <c r="K257">
        <f t="shared" si="40"/>
        <v>1</v>
      </c>
      <c r="L257">
        <f t="shared" si="41"/>
        <v>1</v>
      </c>
      <c r="M257">
        <f t="shared" si="42"/>
        <v>0</v>
      </c>
      <c r="N257">
        <f t="shared" si="43"/>
        <v>1</v>
      </c>
      <c r="O257">
        <f t="shared" si="44"/>
        <v>1</v>
      </c>
      <c r="P257">
        <f t="shared" si="45"/>
        <v>1</v>
      </c>
      <c r="Q257">
        <f t="shared" si="46"/>
        <v>0</v>
      </c>
      <c r="R257">
        <v>1</v>
      </c>
      <c r="S257">
        <v>1</v>
      </c>
      <c r="T257">
        <v>1</v>
      </c>
      <c r="U257">
        <v>1</v>
      </c>
      <c r="V257">
        <v>1</v>
      </c>
      <c r="W257">
        <v>1</v>
      </c>
      <c r="X257">
        <v>0</v>
      </c>
      <c r="Y257">
        <v>1</v>
      </c>
      <c r="Z257">
        <v>1</v>
      </c>
      <c r="AA257">
        <v>1</v>
      </c>
      <c r="AB257">
        <v>0</v>
      </c>
      <c r="AC257">
        <v>1</v>
      </c>
      <c r="AD257">
        <v>0</v>
      </c>
      <c r="AE257">
        <v>0</v>
      </c>
      <c r="AF257">
        <v>0</v>
      </c>
      <c r="AG257">
        <v>1</v>
      </c>
      <c r="AH257">
        <v>1</v>
      </c>
      <c r="AI257">
        <v>1</v>
      </c>
      <c r="AJ257">
        <v>1</v>
      </c>
      <c r="AK257">
        <v>1</v>
      </c>
      <c r="AL257">
        <v>1</v>
      </c>
      <c r="AM257">
        <v>0</v>
      </c>
      <c r="AN257">
        <v>1</v>
      </c>
      <c r="AO257">
        <v>0</v>
      </c>
      <c r="AP257">
        <v>0</v>
      </c>
      <c r="AQ257">
        <v>1</v>
      </c>
      <c r="AR257">
        <v>0</v>
      </c>
      <c r="AS257">
        <f t="shared" si="47"/>
        <v>6</v>
      </c>
      <c r="AT257">
        <f t="shared" si="48"/>
        <v>18</v>
      </c>
      <c r="AU257" s="3" t="s">
        <v>892</v>
      </c>
      <c r="AV257">
        <f t="shared" si="49"/>
        <v>1</v>
      </c>
      <c r="AW257">
        <f t="shared" si="50"/>
        <v>0</v>
      </c>
      <c r="AX257">
        <f t="shared" si="51"/>
        <v>1</v>
      </c>
      <c r="AY257">
        <v>51</v>
      </c>
      <c r="AZ257" t="s">
        <v>60</v>
      </c>
      <c r="BA257" t="s">
        <v>61</v>
      </c>
      <c r="BB257" t="s">
        <v>7</v>
      </c>
    </row>
    <row r="258" ht="409.5" spans="1:54">
      <c r="A258" t="s">
        <v>893</v>
      </c>
      <c r="B258" t="s">
        <v>55</v>
      </c>
      <c r="C258" t="s">
        <v>56</v>
      </c>
      <c r="D258">
        <v>11</v>
      </c>
      <c r="E258">
        <v>0</v>
      </c>
      <c r="F258" t="s">
        <v>894</v>
      </c>
      <c r="G258" t="s">
        <v>487</v>
      </c>
      <c r="H258" s="3" t="s">
        <v>895</v>
      </c>
      <c r="I258" s="3" t="s">
        <v>895</v>
      </c>
      <c r="J258">
        <f t="shared" ref="J258:J321" si="52">IF(SUM(R258:T258)&gt;0,1,0)</f>
        <v>1</v>
      </c>
      <c r="K258">
        <f t="shared" ref="K258:K321" si="53">IF(SUM(U258:Y258)&gt;0,1,0)</f>
        <v>1</v>
      </c>
      <c r="L258">
        <f t="shared" ref="L258:L321" si="54">IF(SUM(Z258:AC258)&gt;0,1,0)</f>
        <v>1</v>
      </c>
      <c r="M258">
        <f t="shared" ref="M258:M321" si="55">IF(SUM(AD258:AF258)&gt;0,1,0)</f>
        <v>1</v>
      </c>
      <c r="N258">
        <f t="shared" ref="N258:N321" si="56">IF(SUM(AG258:AH258)&gt;0,1,0)</f>
        <v>1</v>
      </c>
      <c r="O258">
        <f t="shared" ref="O258:O321" si="57">IF(SUM(AI258:AL258)&gt;0,1,0)</f>
        <v>0</v>
      </c>
      <c r="P258">
        <f t="shared" ref="P258:P321" si="58">IF(SUM(AM258:AQ258)&gt;0,1,0)</f>
        <v>0</v>
      </c>
      <c r="Q258">
        <f t="shared" ref="Q258:Q321" si="59">IF(AR258&gt;0,1,0)</f>
        <v>1</v>
      </c>
      <c r="R258">
        <v>1</v>
      </c>
      <c r="S258">
        <v>0</v>
      </c>
      <c r="T258">
        <v>1</v>
      </c>
      <c r="U258">
        <v>1</v>
      </c>
      <c r="V258">
        <v>1</v>
      </c>
      <c r="W258">
        <v>1</v>
      </c>
      <c r="X258">
        <v>1</v>
      </c>
      <c r="Y258">
        <v>0</v>
      </c>
      <c r="Z258">
        <v>1</v>
      </c>
      <c r="AA258">
        <v>1</v>
      </c>
      <c r="AB258">
        <v>1</v>
      </c>
      <c r="AC258">
        <v>1</v>
      </c>
      <c r="AD258">
        <v>1</v>
      </c>
      <c r="AE258">
        <v>0</v>
      </c>
      <c r="AF258">
        <v>0</v>
      </c>
      <c r="AG258">
        <v>1</v>
      </c>
      <c r="AH258">
        <v>1</v>
      </c>
      <c r="AI258">
        <v>0</v>
      </c>
      <c r="AJ258">
        <v>0</v>
      </c>
      <c r="AK258">
        <v>0</v>
      </c>
      <c r="AL258">
        <v>0</v>
      </c>
      <c r="AM258">
        <v>0</v>
      </c>
      <c r="AN258">
        <v>0</v>
      </c>
      <c r="AO258">
        <v>0</v>
      </c>
      <c r="AP258">
        <v>0</v>
      </c>
      <c r="AQ258">
        <v>0</v>
      </c>
      <c r="AR258">
        <v>1</v>
      </c>
      <c r="AS258">
        <f t="shared" ref="AS258:AS321" si="60">SUM(J258:Q258)</f>
        <v>6</v>
      </c>
      <c r="AT258">
        <f t="shared" ref="AT258:AT321" si="61">SUM(R258:AR258)</f>
        <v>14</v>
      </c>
      <c r="AU258" s="3" t="s">
        <v>896</v>
      </c>
      <c r="AV258">
        <f t="shared" ref="AV258:AV321" si="62">IF(AT258&gt;0,1,0)</f>
        <v>1</v>
      </c>
      <c r="AW258">
        <f t="shared" ref="AW258:AW321" si="63">IF(AT258=0,1,0)</f>
        <v>0</v>
      </c>
      <c r="AX258">
        <f t="shared" ref="AX258:AX321" si="64">IF(AT258&gt;=8,1,0)</f>
        <v>1</v>
      </c>
      <c r="AY258">
        <v>35</v>
      </c>
      <c r="AZ258" t="s">
        <v>60</v>
      </c>
      <c r="BA258" t="s">
        <v>61</v>
      </c>
      <c r="BB258" t="s">
        <v>7</v>
      </c>
    </row>
    <row r="259" ht="409.5" spans="1:54">
      <c r="A259" t="s">
        <v>897</v>
      </c>
      <c r="B259" t="s">
        <v>55</v>
      </c>
      <c r="C259" t="s">
        <v>56</v>
      </c>
      <c r="D259">
        <v>355</v>
      </c>
      <c r="E259">
        <v>10</v>
      </c>
      <c r="F259">
        <v>21.7</v>
      </c>
      <c r="G259" t="s">
        <v>898</v>
      </c>
      <c r="H259" s="3" t="s">
        <v>899</v>
      </c>
      <c r="I259" s="3" t="s">
        <v>899</v>
      </c>
      <c r="J259">
        <f t="shared" si="52"/>
        <v>1</v>
      </c>
      <c r="K259">
        <f t="shared" si="53"/>
        <v>1</v>
      </c>
      <c r="L259">
        <f t="shared" si="54"/>
        <v>1</v>
      </c>
      <c r="M259">
        <f t="shared" si="55"/>
        <v>1</v>
      </c>
      <c r="N259">
        <f t="shared" si="56"/>
        <v>1</v>
      </c>
      <c r="O259">
        <f t="shared" si="57"/>
        <v>1</v>
      </c>
      <c r="P259">
        <f t="shared" si="58"/>
        <v>1</v>
      </c>
      <c r="Q259">
        <f t="shared" si="59"/>
        <v>1</v>
      </c>
      <c r="R259">
        <v>1</v>
      </c>
      <c r="S259">
        <v>1</v>
      </c>
      <c r="T259">
        <v>1</v>
      </c>
      <c r="U259">
        <v>1</v>
      </c>
      <c r="V259">
        <v>1</v>
      </c>
      <c r="W259">
        <v>1</v>
      </c>
      <c r="X259">
        <v>0</v>
      </c>
      <c r="Y259">
        <v>0</v>
      </c>
      <c r="Z259">
        <v>1</v>
      </c>
      <c r="AA259">
        <v>0</v>
      </c>
      <c r="AB259">
        <v>1</v>
      </c>
      <c r="AC259">
        <v>1</v>
      </c>
      <c r="AD259">
        <v>0</v>
      </c>
      <c r="AE259">
        <v>0</v>
      </c>
      <c r="AF259">
        <v>1</v>
      </c>
      <c r="AG259">
        <v>0</v>
      </c>
      <c r="AH259">
        <v>1</v>
      </c>
      <c r="AI259">
        <v>1</v>
      </c>
      <c r="AJ259">
        <v>1</v>
      </c>
      <c r="AK259">
        <v>1</v>
      </c>
      <c r="AL259">
        <v>1</v>
      </c>
      <c r="AM259">
        <v>0</v>
      </c>
      <c r="AN259">
        <v>1</v>
      </c>
      <c r="AO259">
        <v>0</v>
      </c>
      <c r="AP259">
        <v>1</v>
      </c>
      <c r="AQ259">
        <v>1</v>
      </c>
      <c r="AR259">
        <v>1</v>
      </c>
      <c r="AS259">
        <f t="shared" si="60"/>
        <v>8</v>
      </c>
      <c r="AT259">
        <f t="shared" si="61"/>
        <v>19</v>
      </c>
      <c r="AU259" s="3" t="s">
        <v>900</v>
      </c>
      <c r="AV259">
        <f t="shared" si="62"/>
        <v>1</v>
      </c>
      <c r="AW259">
        <f t="shared" si="63"/>
        <v>0</v>
      </c>
      <c r="AX259">
        <f t="shared" si="64"/>
        <v>1</v>
      </c>
      <c r="AY259">
        <v>215</v>
      </c>
      <c r="AZ259" t="s">
        <v>60</v>
      </c>
      <c r="BA259" t="s">
        <v>61</v>
      </c>
      <c r="BB259" t="s">
        <v>7</v>
      </c>
    </row>
    <row r="260" ht="409.5" spans="1:54">
      <c r="A260" t="s">
        <v>901</v>
      </c>
      <c r="B260" t="s">
        <v>55</v>
      </c>
      <c r="C260" t="s">
        <v>56</v>
      </c>
      <c r="D260">
        <v>100</v>
      </c>
      <c r="E260">
        <v>3</v>
      </c>
      <c r="F260">
        <v>16.9</v>
      </c>
      <c r="G260" t="s">
        <v>902</v>
      </c>
      <c r="H260" s="3" t="s">
        <v>903</v>
      </c>
      <c r="I260" s="3" t="s">
        <v>903</v>
      </c>
      <c r="J260">
        <f t="shared" si="52"/>
        <v>1</v>
      </c>
      <c r="K260">
        <f t="shared" si="53"/>
        <v>1</v>
      </c>
      <c r="L260">
        <f t="shared" si="54"/>
        <v>0</v>
      </c>
      <c r="M260">
        <f t="shared" si="55"/>
        <v>1</v>
      </c>
      <c r="N260">
        <f t="shared" si="56"/>
        <v>0</v>
      </c>
      <c r="O260">
        <f t="shared" si="57"/>
        <v>1</v>
      </c>
      <c r="P260">
        <f t="shared" si="58"/>
        <v>1</v>
      </c>
      <c r="Q260">
        <f t="shared" si="59"/>
        <v>1</v>
      </c>
      <c r="R260">
        <v>0</v>
      </c>
      <c r="S260">
        <v>0</v>
      </c>
      <c r="T260">
        <v>1</v>
      </c>
      <c r="U260">
        <v>1</v>
      </c>
      <c r="V260">
        <v>1</v>
      </c>
      <c r="W260">
        <v>1</v>
      </c>
      <c r="X260">
        <v>0</v>
      </c>
      <c r="Y260">
        <v>0</v>
      </c>
      <c r="Z260">
        <v>0</v>
      </c>
      <c r="AA260">
        <v>0</v>
      </c>
      <c r="AB260">
        <v>0</v>
      </c>
      <c r="AC260">
        <v>0</v>
      </c>
      <c r="AD260">
        <v>1</v>
      </c>
      <c r="AE260">
        <v>0</v>
      </c>
      <c r="AF260">
        <v>0</v>
      </c>
      <c r="AG260">
        <v>0</v>
      </c>
      <c r="AH260">
        <v>0</v>
      </c>
      <c r="AI260">
        <v>1</v>
      </c>
      <c r="AJ260">
        <v>1</v>
      </c>
      <c r="AK260">
        <v>1</v>
      </c>
      <c r="AL260">
        <v>1</v>
      </c>
      <c r="AM260">
        <v>0</v>
      </c>
      <c r="AN260">
        <v>1</v>
      </c>
      <c r="AO260">
        <v>0</v>
      </c>
      <c r="AP260">
        <v>0</v>
      </c>
      <c r="AQ260">
        <v>1</v>
      </c>
      <c r="AR260">
        <v>1</v>
      </c>
      <c r="AS260">
        <f t="shared" si="60"/>
        <v>6</v>
      </c>
      <c r="AT260">
        <f t="shared" si="61"/>
        <v>12</v>
      </c>
      <c r="AU260" s="3" t="s">
        <v>904</v>
      </c>
      <c r="AV260">
        <f t="shared" si="62"/>
        <v>1</v>
      </c>
      <c r="AW260">
        <f t="shared" si="63"/>
        <v>0</v>
      </c>
      <c r="AX260">
        <f t="shared" si="64"/>
        <v>1</v>
      </c>
      <c r="AY260">
        <v>64.5</v>
      </c>
      <c r="AZ260" t="s">
        <v>60</v>
      </c>
      <c r="BA260" t="s">
        <v>61</v>
      </c>
      <c r="BB260" t="s">
        <v>7</v>
      </c>
    </row>
    <row r="261" ht="409.5" spans="1:54">
      <c r="A261" t="s">
        <v>905</v>
      </c>
      <c r="B261" t="s">
        <v>55</v>
      </c>
      <c r="C261" t="s">
        <v>56</v>
      </c>
      <c r="D261">
        <v>181</v>
      </c>
      <c r="E261">
        <v>12</v>
      </c>
      <c r="F261">
        <v>270</v>
      </c>
      <c r="G261" t="s">
        <v>906</v>
      </c>
      <c r="H261" s="3" t="s">
        <v>907</v>
      </c>
      <c r="I261" s="3" t="s">
        <v>907</v>
      </c>
      <c r="J261">
        <f t="shared" si="52"/>
        <v>1</v>
      </c>
      <c r="K261">
        <f t="shared" si="53"/>
        <v>1</v>
      </c>
      <c r="L261">
        <f t="shared" si="54"/>
        <v>1</v>
      </c>
      <c r="M261">
        <f t="shared" si="55"/>
        <v>1</v>
      </c>
      <c r="N261">
        <f t="shared" si="56"/>
        <v>1</v>
      </c>
      <c r="O261">
        <f t="shared" si="57"/>
        <v>1</v>
      </c>
      <c r="P261">
        <f t="shared" si="58"/>
        <v>0</v>
      </c>
      <c r="Q261">
        <f t="shared" si="59"/>
        <v>1</v>
      </c>
      <c r="R261">
        <v>1</v>
      </c>
      <c r="S261">
        <v>1</v>
      </c>
      <c r="T261">
        <v>1</v>
      </c>
      <c r="U261">
        <v>1</v>
      </c>
      <c r="V261">
        <v>1</v>
      </c>
      <c r="W261">
        <v>0</v>
      </c>
      <c r="X261">
        <v>0</v>
      </c>
      <c r="Y261">
        <v>0</v>
      </c>
      <c r="Z261">
        <v>1</v>
      </c>
      <c r="AA261">
        <v>0</v>
      </c>
      <c r="AB261">
        <v>1</v>
      </c>
      <c r="AC261">
        <v>1</v>
      </c>
      <c r="AD261">
        <v>1</v>
      </c>
      <c r="AE261">
        <v>0</v>
      </c>
      <c r="AF261">
        <v>1</v>
      </c>
      <c r="AG261">
        <v>1</v>
      </c>
      <c r="AH261">
        <v>1</v>
      </c>
      <c r="AI261">
        <v>1</v>
      </c>
      <c r="AJ261">
        <v>0</v>
      </c>
      <c r="AK261">
        <v>1</v>
      </c>
      <c r="AL261">
        <v>1</v>
      </c>
      <c r="AM261">
        <v>0</v>
      </c>
      <c r="AN261">
        <v>0</v>
      </c>
      <c r="AO261">
        <v>0</v>
      </c>
      <c r="AP261">
        <v>0</v>
      </c>
      <c r="AQ261">
        <v>0</v>
      </c>
      <c r="AR261">
        <v>1</v>
      </c>
      <c r="AS261">
        <f t="shared" si="60"/>
        <v>7</v>
      </c>
      <c r="AT261">
        <f t="shared" si="61"/>
        <v>16</v>
      </c>
      <c r="AU261" s="3" t="s">
        <v>908</v>
      </c>
      <c r="AV261">
        <f t="shared" si="62"/>
        <v>1</v>
      </c>
      <c r="AW261">
        <f t="shared" si="63"/>
        <v>0</v>
      </c>
      <c r="AX261">
        <f t="shared" si="64"/>
        <v>1</v>
      </c>
      <c r="AY261">
        <v>31</v>
      </c>
      <c r="AZ261" t="s">
        <v>60</v>
      </c>
      <c r="BA261" t="s">
        <v>61</v>
      </c>
      <c r="BB261" t="s">
        <v>7</v>
      </c>
    </row>
    <row r="262" ht="409.5" spans="1:54">
      <c r="A262" t="s">
        <v>909</v>
      </c>
      <c r="B262" t="s">
        <v>55</v>
      </c>
      <c r="C262" t="s">
        <v>56</v>
      </c>
      <c r="D262">
        <v>3416</v>
      </c>
      <c r="E262">
        <v>103</v>
      </c>
      <c r="F262">
        <v>56.5</v>
      </c>
      <c r="G262" t="s">
        <v>910</v>
      </c>
      <c r="H262" s="3" t="s">
        <v>911</v>
      </c>
      <c r="I262" s="3" t="s">
        <v>911</v>
      </c>
      <c r="J262">
        <f t="shared" si="52"/>
        <v>1</v>
      </c>
      <c r="K262">
        <f t="shared" si="53"/>
        <v>1</v>
      </c>
      <c r="L262">
        <f t="shared" si="54"/>
        <v>1</v>
      </c>
      <c r="M262">
        <f t="shared" si="55"/>
        <v>1</v>
      </c>
      <c r="N262">
        <f t="shared" si="56"/>
        <v>1</v>
      </c>
      <c r="O262">
        <f t="shared" si="57"/>
        <v>1</v>
      </c>
      <c r="P262">
        <f t="shared" si="58"/>
        <v>1</v>
      </c>
      <c r="Q262">
        <f t="shared" si="59"/>
        <v>1</v>
      </c>
      <c r="R262">
        <v>1</v>
      </c>
      <c r="S262">
        <v>1</v>
      </c>
      <c r="T262">
        <v>1</v>
      </c>
      <c r="U262">
        <v>1</v>
      </c>
      <c r="V262">
        <v>1</v>
      </c>
      <c r="W262">
        <v>1</v>
      </c>
      <c r="X262">
        <v>0</v>
      </c>
      <c r="Y262">
        <v>0</v>
      </c>
      <c r="Z262">
        <v>1</v>
      </c>
      <c r="AA262">
        <v>1</v>
      </c>
      <c r="AB262">
        <v>1</v>
      </c>
      <c r="AC262">
        <v>1</v>
      </c>
      <c r="AD262">
        <v>1</v>
      </c>
      <c r="AE262">
        <v>1</v>
      </c>
      <c r="AF262">
        <v>1</v>
      </c>
      <c r="AG262">
        <v>1</v>
      </c>
      <c r="AH262">
        <v>1</v>
      </c>
      <c r="AI262">
        <v>1</v>
      </c>
      <c r="AJ262">
        <v>1</v>
      </c>
      <c r="AK262">
        <v>1</v>
      </c>
      <c r="AL262">
        <v>1</v>
      </c>
      <c r="AM262">
        <v>0</v>
      </c>
      <c r="AN262">
        <v>0</v>
      </c>
      <c r="AO262">
        <v>0</v>
      </c>
      <c r="AP262">
        <v>0</v>
      </c>
      <c r="AQ262">
        <v>1</v>
      </c>
      <c r="AR262">
        <v>1</v>
      </c>
      <c r="AS262">
        <f t="shared" si="60"/>
        <v>8</v>
      </c>
      <c r="AT262">
        <f t="shared" si="61"/>
        <v>21</v>
      </c>
      <c r="AU262" s="3" t="s">
        <v>912</v>
      </c>
      <c r="AV262">
        <f t="shared" si="62"/>
        <v>1</v>
      </c>
      <c r="AW262">
        <f t="shared" si="63"/>
        <v>0</v>
      </c>
      <c r="AX262">
        <f t="shared" si="64"/>
        <v>1</v>
      </c>
      <c r="AY262">
        <v>35.5</v>
      </c>
      <c r="AZ262" t="s">
        <v>60</v>
      </c>
      <c r="BA262" t="s">
        <v>61</v>
      </c>
      <c r="BB262" t="s">
        <v>7</v>
      </c>
    </row>
    <row r="263" ht="409.5" spans="1:54">
      <c r="A263" t="s">
        <v>913</v>
      </c>
      <c r="B263" t="s">
        <v>55</v>
      </c>
      <c r="C263" t="s">
        <v>116</v>
      </c>
      <c r="D263">
        <v>1696</v>
      </c>
      <c r="E263">
        <v>86</v>
      </c>
      <c r="F263">
        <v>75.4</v>
      </c>
      <c r="G263" t="s">
        <v>914</v>
      </c>
      <c r="H263" s="3" t="s">
        <v>915</v>
      </c>
      <c r="I263" s="3" t="s">
        <v>915</v>
      </c>
      <c r="J263">
        <f t="shared" si="52"/>
        <v>1</v>
      </c>
      <c r="K263">
        <f t="shared" si="53"/>
        <v>1</v>
      </c>
      <c r="L263">
        <f t="shared" si="54"/>
        <v>1</v>
      </c>
      <c r="M263">
        <f t="shared" si="55"/>
        <v>1</v>
      </c>
      <c r="N263">
        <f t="shared" si="56"/>
        <v>1</v>
      </c>
      <c r="O263">
        <f t="shared" si="57"/>
        <v>1</v>
      </c>
      <c r="P263">
        <f t="shared" si="58"/>
        <v>0</v>
      </c>
      <c r="Q263">
        <f t="shared" si="59"/>
        <v>1</v>
      </c>
      <c r="R263">
        <v>1</v>
      </c>
      <c r="S263">
        <v>1</v>
      </c>
      <c r="T263">
        <v>1</v>
      </c>
      <c r="U263">
        <v>1</v>
      </c>
      <c r="V263">
        <v>1</v>
      </c>
      <c r="W263">
        <v>1</v>
      </c>
      <c r="X263">
        <v>1</v>
      </c>
      <c r="Y263">
        <v>1</v>
      </c>
      <c r="Z263">
        <v>1</v>
      </c>
      <c r="AA263">
        <v>1</v>
      </c>
      <c r="AB263">
        <v>1</v>
      </c>
      <c r="AC263">
        <v>0</v>
      </c>
      <c r="AD263">
        <v>1</v>
      </c>
      <c r="AE263">
        <v>1</v>
      </c>
      <c r="AF263">
        <v>0</v>
      </c>
      <c r="AG263">
        <v>1</v>
      </c>
      <c r="AH263">
        <v>1</v>
      </c>
      <c r="AI263">
        <v>1</v>
      </c>
      <c r="AJ263">
        <v>0</v>
      </c>
      <c r="AK263">
        <v>0</v>
      </c>
      <c r="AL263">
        <v>1</v>
      </c>
      <c r="AM263">
        <v>0</v>
      </c>
      <c r="AN263">
        <v>0</v>
      </c>
      <c r="AO263">
        <v>0</v>
      </c>
      <c r="AP263">
        <v>0</v>
      </c>
      <c r="AQ263">
        <v>0</v>
      </c>
      <c r="AR263">
        <v>1</v>
      </c>
      <c r="AS263">
        <f t="shared" si="60"/>
        <v>7</v>
      </c>
      <c r="AT263">
        <f t="shared" si="61"/>
        <v>18</v>
      </c>
      <c r="AU263" s="3" t="s">
        <v>916</v>
      </c>
      <c r="AV263">
        <f t="shared" si="62"/>
        <v>1</v>
      </c>
      <c r="AW263">
        <f t="shared" si="63"/>
        <v>0</v>
      </c>
      <c r="AX263">
        <f t="shared" si="64"/>
        <v>1</v>
      </c>
      <c r="AY263">
        <v>62.5</v>
      </c>
      <c r="AZ263" t="s">
        <v>60</v>
      </c>
      <c r="BA263" t="s">
        <v>61</v>
      </c>
      <c r="BB263" t="s">
        <v>7</v>
      </c>
    </row>
    <row r="264" ht="84" spans="1:54">
      <c r="A264" t="s">
        <v>917</v>
      </c>
      <c r="B264" t="s">
        <v>55</v>
      </c>
      <c r="C264" t="s">
        <v>56</v>
      </c>
      <c r="D264">
        <v>284</v>
      </c>
      <c r="E264">
        <v>8</v>
      </c>
      <c r="F264">
        <v>60.5</v>
      </c>
      <c r="G264" t="s">
        <v>918</v>
      </c>
      <c r="H264" s="3" t="s">
        <v>919</v>
      </c>
      <c r="I264" s="3" t="s">
        <v>919</v>
      </c>
      <c r="J264">
        <f t="shared" si="52"/>
        <v>1</v>
      </c>
      <c r="K264">
        <f t="shared" si="53"/>
        <v>0</v>
      </c>
      <c r="L264">
        <f t="shared" si="54"/>
        <v>0</v>
      </c>
      <c r="M264">
        <f t="shared" si="55"/>
        <v>0</v>
      </c>
      <c r="N264">
        <f t="shared" si="56"/>
        <v>1</v>
      </c>
      <c r="O264">
        <f t="shared" si="57"/>
        <v>1</v>
      </c>
      <c r="P264">
        <f t="shared" si="58"/>
        <v>0</v>
      </c>
      <c r="Q264">
        <f t="shared" si="59"/>
        <v>0</v>
      </c>
      <c r="R264">
        <v>1</v>
      </c>
      <c r="S264">
        <v>1</v>
      </c>
      <c r="T264">
        <v>1</v>
      </c>
      <c r="U264">
        <v>0</v>
      </c>
      <c r="V264">
        <v>0</v>
      </c>
      <c r="W264">
        <v>0</v>
      </c>
      <c r="X264">
        <v>0</v>
      </c>
      <c r="Y264">
        <v>0</v>
      </c>
      <c r="Z264">
        <v>0</v>
      </c>
      <c r="AA264">
        <v>0</v>
      </c>
      <c r="AB264">
        <v>0</v>
      </c>
      <c r="AC264">
        <v>0</v>
      </c>
      <c r="AD264">
        <v>0</v>
      </c>
      <c r="AE264">
        <v>0</v>
      </c>
      <c r="AF264">
        <v>0</v>
      </c>
      <c r="AG264">
        <v>1</v>
      </c>
      <c r="AH264">
        <v>0</v>
      </c>
      <c r="AI264">
        <v>1</v>
      </c>
      <c r="AJ264">
        <v>0</v>
      </c>
      <c r="AK264">
        <v>1</v>
      </c>
      <c r="AL264">
        <v>0</v>
      </c>
      <c r="AM264">
        <v>0</v>
      </c>
      <c r="AN264">
        <v>0</v>
      </c>
      <c r="AO264">
        <v>0</v>
      </c>
      <c r="AP264">
        <v>0</v>
      </c>
      <c r="AQ264">
        <v>0</v>
      </c>
      <c r="AR264">
        <v>0</v>
      </c>
      <c r="AS264">
        <f t="shared" si="60"/>
        <v>3</v>
      </c>
      <c r="AT264">
        <f t="shared" si="61"/>
        <v>6</v>
      </c>
      <c r="AU264" s="3" t="s">
        <v>920</v>
      </c>
      <c r="AV264">
        <f t="shared" si="62"/>
        <v>1</v>
      </c>
      <c r="AW264">
        <f t="shared" si="63"/>
        <v>0</v>
      </c>
      <c r="AX264">
        <f t="shared" si="64"/>
        <v>0</v>
      </c>
      <c r="AY264">
        <v>18.5</v>
      </c>
      <c r="AZ264" t="s">
        <v>60</v>
      </c>
      <c r="BA264" t="s">
        <v>61</v>
      </c>
      <c r="BB264" t="s">
        <v>7</v>
      </c>
    </row>
    <row r="265" ht="236" spans="1:54">
      <c r="A265" t="s">
        <v>921</v>
      </c>
      <c r="B265" t="s">
        <v>55</v>
      </c>
      <c r="C265" t="s">
        <v>56</v>
      </c>
      <c r="D265">
        <v>65</v>
      </c>
      <c r="E265">
        <v>0</v>
      </c>
      <c r="F265">
        <v>80.1</v>
      </c>
      <c r="G265" t="s">
        <v>922</v>
      </c>
      <c r="H265" s="3" t="s">
        <v>923</v>
      </c>
      <c r="I265" s="3" t="s">
        <v>923</v>
      </c>
      <c r="J265">
        <f t="shared" si="52"/>
        <v>1</v>
      </c>
      <c r="K265">
        <f t="shared" si="53"/>
        <v>1</v>
      </c>
      <c r="L265">
        <f t="shared" si="54"/>
        <v>1</v>
      </c>
      <c r="M265">
        <f t="shared" si="55"/>
        <v>0</v>
      </c>
      <c r="N265">
        <f t="shared" si="56"/>
        <v>1</v>
      </c>
      <c r="O265">
        <f t="shared" si="57"/>
        <v>1</v>
      </c>
      <c r="P265">
        <f t="shared" si="58"/>
        <v>0</v>
      </c>
      <c r="Q265">
        <f t="shared" si="59"/>
        <v>1</v>
      </c>
      <c r="R265">
        <v>1</v>
      </c>
      <c r="S265">
        <v>1</v>
      </c>
      <c r="T265">
        <v>0</v>
      </c>
      <c r="U265">
        <v>1</v>
      </c>
      <c r="V265">
        <v>0</v>
      </c>
      <c r="W265">
        <v>1</v>
      </c>
      <c r="X265">
        <v>0</v>
      </c>
      <c r="Y265">
        <v>0</v>
      </c>
      <c r="Z265">
        <v>1</v>
      </c>
      <c r="AA265">
        <v>1</v>
      </c>
      <c r="AB265">
        <v>0</v>
      </c>
      <c r="AC265">
        <v>0</v>
      </c>
      <c r="AD265">
        <v>0</v>
      </c>
      <c r="AE265">
        <v>0</v>
      </c>
      <c r="AF265">
        <v>0</v>
      </c>
      <c r="AG265">
        <v>1</v>
      </c>
      <c r="AH265">
        <v>0</v>
      </c>
      <c r="AI265">
        <v>1</v>
      </c>
      <c r="AJ265">
        <v>0</v>
      </c>
      <c r="AK265">
        <v>0</v>
      </c>
      <c r="AL265">
        <v>0</v>
      </c>
      <c r="AM265">
        <v>0</v>
      </c>
      <c r="AN265">
        <v>0</v>
      </c>
      <c r="AO265">
        <v>0</v>
      </c>
      <c r="AP265">
        <v>0</v>
      </c>
      <c r="AQ265">
        <v>0</v>
      </c>
      <c r="AR265">
        <v>1</v>
      </c>
      <c r="AS265">
        <f t="shared" si="60"/>
        <v>6</v>
      </c>
      <c r="AT265">
        <f t="shared" si="61"/>
        <v>9</v>
      </c>
      <c r="AU265" s="3" t="s">
        <v>924</v>
      </c>
      <c r="AV265">
        <f t="shared" si="62"/>
        <v>1</v>
      </c>
      <c r="AW265">
        <f t="shared" si="63"/>
        <v>0</v>
      </c>
      <c r="AX265">
        <f t="shared" si="64"/>
        <v>1</v>
      </c>
      <c r="AY265">
        <v>20</v>
      </c>
      <c r="AZ265" t="s">
        <v>60</v>
      </c>
      <c r="BA265" t="s">
        <v>61</v>
      </c>
      <c r="BB265" t="s">
        <v>7</v>
      </c>
    </row>
    <row r="266" ht="409.5" spans="1:54">
      <c r="A266" t="s">
        <v>925</v>
      </c>
      <c r="B266" t="s">
        <v>55</v>
      </c>
      <c r="C266" t="s">
        <v>56</v>
      </c>
      <c r="D266">
        <v>17</v>
      </c>
      <c r="E266">
        <v>0</v>
      </c>
      <c r="F266" t="s">
        <v>218</v>
      </c>
      <c r="G266" t="s">
        <v>515</v>
      </c>
      <c r="H266" s="3" t="s">
        <v>926</v>
      </c>
      <c r="I266" s="3" t="s">
        <v>926</v>
      </c>
      <c r="J266">
        <f t="shared" si="52"/>
        <v>1</v>
      </c>
      <c r="K266">
        <f t="shared" si="53"/>
        <v>1</v>
      </c>
      <c r="L266">
        <f t="shared" si="54"/>
        <v>1</v>
      </c>
      <c r="M266">
        <f t="shared" si="55"/>
        <v>1</v>
      </c>
      <c r="N266">
        <f t="shared" si="56"/>
        <v>1</v>
      </c>
      <c r="O266">
        <f t="shared" si="57"/>
        <v>1</v>
      </c>
      <c r="P266">
        <f t="shared" si="58"/>
        <v>0</v>
      </c>
      <c r="Q266">
        <f t="shared" si="59"/>
        <v>1</v>
      </c>
      <c r="R266">
        <v>1</v>
      </c>
      <c r="S266">
        <v>1</v>
      </c>
      <c r="T266">
        <v>1</v>
      </c>
      <c r="U266">
        <v>1</v>
      </c>
      <c r="V266">
        <v>1</v>
      </c>
      <c r="W266">
        <v>1</v>
      </c>
      <c r="X266">
        <v>0</v>
      </c>
      <c r="Y266">
        <v>0</v>
      </c>
      <c r="Z266">
        <v>1</v>
      </c>
      <c r="AA266">
        <v>0</v>
      </c>
      <c r="AB266">
        <v>0</v>
      </c>
      <c r="AC266">
        <v>1</v>
      </c>
      <c r="AD266">
        <v>0</v>
      </c>
      <c r="AE266">
        <v>0</v>
      </c>
      <c r="AF266">
        <v>1</v>
      </c>
      <c r="AG266">
        <v>1</v>
      </c>
      <c r="AH266">
        <v>1</v>
      </c>
      <c r="AI266">
        <v>1</v>
      </c>
      <c r="AJ266">
        <v>1</v>
      </c>
      <c r="AK266">
        <v>0</v>
      </c>
      <c r="AL266">
        <v>1</v>
      </c>
      <c r="AM266">
        <v>0</v>
      </c>
      <c r="AN266">
        <v>0</v>
      </c>
      <c r="AO266">
        <v>0</v>
      </c>
      <c r="AP266">
        <v>0</v>
      </c>
      <c r="AQ266">
        <v>0</v>
      </c>
      <c r="AR266">
        <v>1</v>
      </c>
      <c r="AS266">
        <f t="shared" si="60"/>
        <v>7</v>
      </c>
      <c r="AT266">
        <f t="shared" si="61"/>
        <v>15</v>
      </c>
      <c r="AU266" s="3" t="s">
        <v>927</v>
      </c>
      <c r="AV266">
        <f t="shared" si="62"/>
        <v>1</v>
      </c>
      <c r="AW266">
        <f t="shared" si="63"/>
        <v>0</v>
      </c>
      <c r="AX266">
        <f t="shared" si="64"/>
        <v>1</v>
      </c>
      <c r="AY266">
        <v>46</v>
      </c>
      <c r="AZ266" t="s">
        <v>60</v>
      </c>
      <c r="BA266" t="s">
        <v>61</v>
      </c>
      <c r="BB266" t="s">
        <v>7</v>
      </c>
    </row>
    <row r="267" ht="409.5" spans="1:54">
      <c r="A267" t="s">
        <v>928</v>
      </c>
      <c r="B267" t="s">
        <v>55</v>
      </c>
      <c r="C267" t="s">
        <v>56</v>
      </c>
      <c r="D267">
        <v>1270</v>
      </c>
      <c r="E267">
        <v>54</v>
      </c>
      <c r="F267">
        <v>57.4</v>
      </c>
      <c r="G267" t="s">
        <v>669</v>
      </c>
      <c r="H267" s="3" t="s">
        <v>929</v>
      </c>
      <c r="I267" s="3" t="s">
        <v>929</v>
      </c>
      <c r="J267">
        <f t="shared" si="52"/>
        <v>1</v>
      </c>
      <c r="K267">
        <f t="shared" si="53"/>
        <v>1</v>
      </c>
      <c r="L267">
        <f t="shared" si="54"/>
        <v>0</v>
      </c>
      <c r="M267">
        <f t="shared" si="55"/>
        <v>1</v>
      </c>
      <c r="N267">
        <f t="shared" si="56"/>
        <v>1</v>
      </c>
      <c r="O267">
        <f t="shared" si="57"/>
        <v>1</v>
      </c>
      <c r="P267">
        <f t="shared" si="58"/>
        <v>1</v>
      </c>
      <c r="Q267">
        <f t="shared" si="59"/>
        <v>0</v>
      </c>
      <c r="R267">
        <v>1</v>
      </c>
      <c r="S267">
        <v>0</v>
      </c>
      <c r="T267">
        <v>0</v>
      </c>
      <c r="U267">
        <v>1</v>
      </c>
      <c r="V267">
        <v>1</v>
      </c>
      <c r="W267">
        <v>0</v>
      </c>
      <c r="X267">
        <v>0</v>
      </c>
      <c r="Y267">
        <v>0</v>
      </c>
      <c r="Z267">
        <v>0</v>
      </c>
      <c r="AA267">
        <v>0</v>
      </c>
      <c r="AB267">
        <v>0</v>
      </c>
      <c r="AC267">
        <v>0</v>
      </c>
      <c r="AD267">
        <v>1</v>
      </c>
      <c r="AE267">
        <v>0</v>
      </c>
      <c r="AF267">
        <v>0</v>
      </c>
      <c r="AG267">
        <v>0</v>
      </c>
      <c r="AH267">
        <v>1</v>
      </c>
      <c r="AI267">
        <v>1</v>
      </c>
      <c r="AJ267">
        <v>0</v>
      </c>
      <c r="AK267">
        <v>0</v>
      </c>
      <c r="AL267">
        <v>1</v>
      </c>
      <c r="AM267">
        <v>0</v>
      </c>
      <c r="AN267">
        <v>0</v>
      </c>
      <c r="AO267">
        <v>0</v>
      </c>
      <c r="AP267">
        <v>0</v>
      </c>
      <c r="AQ267">
        <v>1</v>
      </c>
      <c r="AR267">
        <v>0</v>
      </c>
      <c r="AS267">
        <f t="shared" si="60"/>
        <v>6</v>
      </c>
      <c r="AT267">
        <f t="shared" si="61"/>
        <v>8</v>
      </c>
      <c r="AU267" s="3" t="s">
        <v>930</v>
      </c>
      <c r="AV267">
        <f t="shared" si="62"/>
        <v>1</v>
      </c>
      <c r="AW267">
        <f t="shared" si="63"/>
        <v>0</v>
      </c>
      <c r="AX267">
        <f t="shared" si="64"/>
        <v>1</v>
      </c>
      <c r="AY267">
        <v>14.5</v>
      </c>
      <c r="AZ267" t="s">
        <v>60</v>
      </c>
      <c r="BA267" t="s">
        <v>61</v>
      </c>
      <c r="BB267" t="s">
        <v>7</v>
      </c>
    </row>
    <row r="268" ht="34" spans="1:54">
      <c r="A268" t="s">
        <v>931</v>
      </c>
      <c r="B268" t="s">
        <v>55</v>
      </c>
      <c r="C268" t="s">
        <v>56</v>
      </c>
      <c r="D268">
        <v>1337</v>
      </c>
      <c r="E268">
        <v>124</v>
      </c>
      <c r="F268">
        <v>49.2</v>
      </c>
      <c r="G268" t="s">
        <v>932</v>
      </c>
      <c r="H268" s="3" t="s">
        <v>933</v>
      </c>
      <c r="I268" s="3" t="s">
        <v>933</v>
      </c>
      <c r="J268">
        <f t="shared" si="52"/>
        <v>0</v>
      </c>
      <c r="K268">
        <f t="shared" si="53"/>
        <v>0</v>
      </c>
      <c r="L268">
        <f t="shared" si="54"/>
        <v>0</v>
      </c>
      <c r="M268">
        <f t="shared" si="55"/>
        <v>0</v>
      </c>
      <c r="N268">
        <f t="shared" si="56"/>
        <v>0</v>
      </c>
      <c r="O268">
        <f t="shared" si="57"/>
        <v>0</v>
      </c>
      <c r="P268">
        <f t="shared" si="58"/>
        <v>0</v>
      </c>
      <c r="Q268">
        <f t="shared" si="59"/>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f t="shared" si="60"/>
        <v>0</v>
      </c>
      <c r="AT268">
        <f t="shared" si="61"/>
        <v>0</v>
      </c>
      <c r="AU268" s="3" t="s">
        <v>118</v>
      </c>
      <c r="AV268">
        <f t="shared" si="62"/>
        <v>0</v>
      </c>
      <c r="AW268">
        <f t="shared" si="63"/>
        <v>1</v>
      </c>
      <c r="AX268">
        <f t="shared" si="64"/>
        <v>0</v>
      </c>
      <c r="AY268">
        <v>0</v>
      </c>
      <c r="AZ268" t="s">
        <v>147</v>
      </c>
      <c r="BA268" t="s">
        <v>148</v>
      </c>
      <c r="BB268" t="s">
        <v>7</v>
      </c>
    </row>
    <row r="269" ht="34" spans="1:54">
      <c r="A269" t="s">
        <v>934</v>
      </c>
      <c r="B269" t="s">
        <v>55</v>
      </c>
      <c r="C269" t="s">
        <v>56</v>
      </c>
      <c r="D269">
        <v>497</v>
      </c>
      <c r="E269">
        <v>46</v>
      </c>
      <c r="F269">
        <v>108</v>
      </c>
      <c r="G269" t="s">
        <v>935</v>
      </c>
      <c r="H269" s="3" t="s">
        <v>936</v>
      </c>
      <c r="I269" s="3" t="s">
        <v>936</v>
      </c>
      <c r="J269">
        <f t="shared" si="52"/>
        <v>0</v>
      </c>
      <c r="K269">
        <f t="shared" si="53"/>
        <v>0</v>
      </c>
      <c r="L269">
        <f t="shared" si="54"/>
        <v>0</v>
      </c>
      <c r="M269">
        <f t="shared" si="55"/>
        <v>0</v>
      </c>
      <c r="N269">
        <f t="shared" si="56"/>
        <v>1</v>
      </c>
      <c r="O269">
        <f t="shared" si="57"/>
        <v>1</v>
      </c>
      <c r="P269">
        <f t="shared" si="58"/>
        <v>0</v>
      </c>
      <c r="Q269">
        <f t="shared" si="59"/>
        <v>0</v>
      </c>
      <c r="R269">
        <v>0</v>
      </c>
      <c r="S269">
        <v>0</v>
      </c>
      <c r="T269">
        <v>0</v>
      </c>
      <c r="U269">
        <v>0</v>
      </c>
      <c r="V269">
        <v>0</v>
      </c>
      <c r="W269">
        <v>0</v>
      </c>
      <c r="X269">
        <v>0</v>
      </c>
      <c r="Y269">
        <v>0</v>
      </c>
      <c r="Z269">
        <v>0</v>
      </c>
      <c r="AA269">
        <v>0</v>
      </c>
      <c r="AB269">
        <v>0</v>
      </c>
      <c r="AC269">
        <v>0</v>
      </c>
      <c r="AD269">
        <v>0</v>
      </c>
      <c r="AE269">
        <v>0</v>
      </c>
      <c r="AF269">
        <v>0</v>
      </c>
      <c r="AG269">
        <v>0</v>
      </c>
      <c r="AH269">
        <v>1</v>
      </c>
      <c r="AI269">
        <v>1</v>
      </c>
      <c r="AJ269">
        <v>0</v>
      </c>
      <c r="AK269">
        <v>0</v>
      </c>
      <c r="AL269">
        <v>0</v>
      </c>
      <c r="AM269">
        <v>0</v>
      </c>
      <c r="AN269">
        <v>0</v>
      </c>
      <c r="AO269">
        <v>0</v>
      </c>
      <c r="AP269">
        <v>0</v>
      </c>
      <c r="AQ269">
        <v>0</v>
      </c>
      <c r="AR269">
        <v>0</v>
      </c>
      <c r="AS269">
        <f t="shared" si="60"/>
        <v>2</v>
      </c>
      <c r="AT269">
        <f t="shared" si="61"/>
        <v>2</v>
      </c>
      <c r="AU269" s="3" t="s">
        <v>103</v>
      </c>
      <c r="AV269">
        <f t="shared" si="62"/>
        <v>1</v>
      </c>
      <c r="AW269">
        <f t="shared" si="63"/>
        <v>0</v>
      </c>
      <c r="AX269">
        <f t="shared" si="64"/>
        <v>0</v>
      </c>
      <c r="AY269">
        <v>4</v>
      </c>
      <c r="AZ269" t="s">
        <v>60</v>
      </c>
      <c r="BA269" t="s">
        <v>61</v>
      </c>
      <c r="BB269" t="s">
        <v>7</v>
      </c>
    </row>
    <row r="270" ht="101" spans="1:54">
      <c r="A270" t="s">
        <v>937</v>
      </c>
      <c r="B270" t="s">
        <v>55</v>
      </c>
      <c r="C270" t="s">
        <v>56</v>
      </c>
      <c r="D270">
        <v>243</v>
      </c>
      <c r="E270">
        <v>50</v>
      </c>
      <c r="F270">
        <v>49.3</v>
      </c>
      <c r="G270" t="s">
        <v>938</v>
      </c>
      <c r="H270" s="3" t="s">
        <v>939</v>
      </c>
      <c r="I270" s="3" t="s">
        <v>939</v>
      </c>
      <c r="J270">
        <f t="shared" si="52"/>
        <v>1</v>
      </c>
      <c r="K270">
        <f t="shared" si="53"/>
        <v>0</v>
      </c>
      <c r="L270">
        <f t="shared" si="54"/>
        <v>0</v>
      </c>
      <c r="M270">
        <f t="shared" si="55"/>
        <v>0</v>
      </c>
      <c r="N270">
        <f t="shared" si="56"/>
        <v>0</v>
      </c>
      <c r="O270">
        <f t="shared" si="57"/>
        <v>0</v>
      </c>
      <c r="P270">
        <f t="shared" si="58"/>
        <v>0</v>
      </c>
      <c r="Q270">
        <f t="shared" si="59"/>
        <v>1</v>
      </c>
      <c r="R270">
        <v>1</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1</v>
      </c>
      <c r="AS270">
        <f t="shared" si="60"/>
        <v>2</v>
      </c>
      <c r="AT270">
        <f t="shared" si="61"/>
        <v>2</v>
      </c>
      <c r="AU270" s="3" t="s">
        <v>591</v>
      </c>
      <c r="AV270">
        <f t="shared" si="62"/>
        <v>1</v>
      </c>
      <c r="AW270">
        <f t="shared" si="63"/>
        <v>0</v>
      </c>
      <c r="AX270">
        <f t="shared" si="64"/>
        <v>0</v>
      </c>
      <c r="AY270">
        <v>11</v>
      </c>
      <c r="AZ270" t="s">
        <v>60</v>
      </c>
      <c r="BA270" t="s">
        <v>61</v>
      </c>
      <c r="BB270" t="s">
        <v>7</v>
      </c>
    </row>
    <row r="271" ht="409.5" spans="1:54">
      <c r="A271" t="s">
        <v>940</v>
      </c>
      <c r="B271" t="s">
        <v>55</v>
      </c>
      <c r="C271" t="s">
        <v>56</v>
      </c>
      <c r="D271">
        <v>104</v>
      </c>
      <c r="E271">
        <v>2</v>
      </c>
      <c r="F271">
        <v>114.8</v>
      </c>
      <c r="G271" t="s">
        <v>938</v>
      </c>
      <c r="H271" s="3" t="s">
        <v>941</v>
      </c>
      <c r="I271" s="3" t="s">
        <v>941</v>
      </c>
      <c r="J271">
        <f t="shared" si="52"/>
        <v>1</v>
      </c>
      <c r="K271">
        <f t="shared" si="53"/>
        <v>1</v>
      </c>
      <c r="L271">
        <f t="shared" si="54"/>
        <v>1</v>
      </c>
      <c r="M271">
        <f t="shared" si="55"/>
        <v>1</v>
      </c>
      <c r="N271">
        <f t="shared" si="56"/>
        <v>1</v>
      </c>
      <c r="O271">
        <f t="shared" si="57"/>
        <v>1</v>
      </c>
      <c r="P271">
        <f t="shared" si="58"/>
        <v>1</v>
      </c>
      <c r="Q271">
        <f t="shared" si="59"/>
        <v>1</v>
      </c>
      <c r="R271">
        <v>1</v>
      </c>
      <c r="S271">
        <v>1</v>
      </c>
      <c r="T271">
        <v>1</v>
      </c>
      <c r="U271">
        <v>1</v>
      </c>
      <c r="V271">
        <v>1</v>
      </c>
      <c r="W271">
        <v>1</v>
      </c>
      <c r="X271">
        <v>0</v>
      </c>
      <c r="Y271">
        <v>1</v>
      </c>
      <c r="Z271">
        <v>1</v>
      </c>
      <c r="AA271">
        <v>1</v>
      </c>
      <c r="AB271">
        <v>1</v>
      </c>
      <c r="AC271">
        <v>1</v>
      </c>
      <c r="AD271">
        <v>1</v>
      </c>
      <c r="AE271">
        <v>0</v>
      </c>
      <c r="AF271">
        <v>0</v>
      </c>
      <c r="AG271">
        <v>1</v>
      </c>
      <c r="AH271">
        <v>1</v>
      </c>
      <c r="AI271">
        <v>1</v>
      </c>
      <c r="AJ271">
        <v>0</v>
      </c>
      <c r="AK271">
        <v>0</v>
      </c>
      <c r="AL271">
        <v>1</v>
      </c>
      <c r="AM271">
        <v>0</v>
      </c>
      <c r="AN271">
        <v>0</v>
      </c>
      <c r="AO271">
        <v>0</v>
      </c>
      <c r="AP271">
        <v>1</v>
      </c>
      <c r="AQ271">
        <v>1</v>
      </c>
      <c r="AR271">
        <v>1</v>
      </c>
      <c r="AS271">
        <f t="shared" si="60"/>
        <v>8</v>
      </c>
      <c r="AT271">
        <f t="shared" si="61"/>
        <v>19</v>
      </c>
      <c r="AU271" s="3" t="s">
        <v>942</v>
      </c>
      <c r="AV271">
        <f t="shared" si="62"/>
        <v>1</v>
      </c>
      <c r="AW271">
        <f t="shared" si="63"/>
        <v>0</v>
      </c>
      <c r="AX271">
        <f t="shared" si="64"/>
        <v>1</v>
      </c>
      <c r="AY271">
        <v>187</v>
      </c>
      <c r="AZ271" t="s">
        <v>60</v>
      </c>
      <c r="BA271" t="s">
        <v>61</v>
      </c>
      <c r="BB271" t="s">
        <v>7</v>
      </c>
    </row>
    <row r="272" ht="68" spans="1:54">
      <c r="A272" t="s">
        <v>943</v>
      </c>
      <c r="B272" t="s">
        <v>55</v>
      </c>
      <c r="C272" t="s">
        <v>56</v>
      </c>
      <c r="D272">
        <v>60</v>
      </c>
      <c r="E272">
        <v>3</v>
      </c>
      <c r="F272">
        <v>4.5</v>
      </c>
      <c r="G272" t="s">
        <v>944</v>
      </c>
      <c r="H272" s="3" t="s">
        <v>945</v>
      </c>
      <c r="I272" s="3" t="s">
        <v>945</v>
      </c>
      <c r="J272">
        <f t="shared" si="52"/>
        <v>0</v>
      </c>
      <c r="K272">
        <f t="shared" si="53"/>
        <v>0</v>
      </c>
      <c r="L272">
        <f t="shared" si="54"/>
        <v>0</v>
      </c>
      <c r="M272">
        <f t="shared" si="55"/>
        <v>0</v>
      </c>
      <c r="N272">
        <f t="shared" si="56"/>
        <v>1</v>
      </c>
      <c r="O272">
        <f t="shared" si="57"/>
        <v>0</v>
      </c>
      <c r="P272">
        <f t="shared" si="58"/>
        <v>0</v>
      </c>
      <c r="Q272">
        <f t="shared" si="59"/>
        <v>0</v>
      </c>
      <c r="R272">
        <v>0</v>
      </c>
      <c r="S272">
        <v>0</v>
      </c>
      <c r="T272">
        <v>0</v>
      </c>
      <c r="U272">
        <v>0</v>
      </c>
      <c r="V272">
        <v>0</v>
      </c>
      <c r="W272">
        <v>0</v>
      </c>
      <c r="X272">
        <v>0</v>
      </c>
      <c r="Y272">
        <v>0</v>
      </c>
      <c r="Z272">
        <v>0</v>
      </c>
      <c r="AA272">
        <v>0</v>
      </c>
      <c r="AB272">
        <v>0</v>
      </c>
      <c r="AC272">
        <v>0</v>
      </c>
      <c r="AD272">
        <v>0</v>
      </c>
      <c r="AE272">
        <v>0</v>
      </c>
      <c r="AF272">
        <v>0</v>
      </c>
      <c r="AG272">
        <v>0</v>
      </c>
      <c r="AH272">
        <v>1</v>
      </c>
      <c r="AI272">
        <v>0</v>
      </c>
      <c r="AJ272">
        <v>0</v>
      </c>
      <c r="AK272">
        <v>0</v>
      </c>
      <c r="AL272">
        <v>0</v>
      </c>
      <c r="AM272">
        <v>0</v>
      </c>
      <c r="AN272">
        <v>0</v>
      </c>
      <c r="AO272">
        <v>0</v>
      </c>
      <c r="AP272">
        <v>0</v>
      </c>
      <c r="AQ272">
        <v>0</v>
      </c>
      <c r="AR272">
        <v>0</v>
      </c>
      <c r="AS272">
        <f t="shared" si="60"/>
        <v>1</v>
      </c>
      <c r="AT272">
        <f t="shared" si="61"/>
        <v>1</v>
      </c>
      <c r="AU272" s="3" t="s">
        <v>129</v>
      </c>
      <c r="AV272">
        <f t="shared" si="62"/>
        <v>1</v>
      </c>
      <c r="AW272">
        <f t="shared" si="63"/>
        <v>0</v>
      </c>
      <c r="AX272">
        <f t="shared" si="64"/>
        <v>0</v>
      </c>
      <c r="AY272">
        <v>6</v>
      </c>
      <c r="AZ272" t="s">
        <v>60</v>
      </c>
      <c r="BA272" t="s">
        <v>61</v>
      </c>
      <c r="BB272" t="s">
        <v>7</v>
      </c>
    </row>
    <row r="273" ht="286" spans="1:54">
      <c r="A273" t="s">
        <v>946</v>
      </c>
      <c r="B273" t="s">
        <v>55</v>
      </c>
      <c r="C273" t="s">
        <v>56</v>
      </c>
      <c r="D273">
        <v>103</v>
      </c>
      <c r="E273">
        <v>3</v>
      </c>
      <c r="F273">
        <v>688.1</v>
      </c>
      <c r="G273" t="s">
        <v>947</v>
      </c>
      <c r="H273" s="3" t="s">
        <v>948</v>
      </c>
      <c r="I273" s="3" t="s">
        <v>948</v>
      </c>
      <c r="J273">
        <f t="shared" si="52"/>
        <v>1</v>
      </c>
      <c r="K273">
        <f t="shared" si="53"/>
        <v>1</v>
      </c>
      <c r="L273">
        <f t="shared" si="54"/>
        <v>1</v>
      </c>
      <c r="M273">
        <f t="shared" si="55"/>
        <v>0</v>
      </c>
      <c r="N273">
        <f t="shared" si="56"/>
        <v>0</v>
      </c>
      <c r="O273">
        <f t="shared" si="57"/>
        <v>1</v>
      </c>
      <c r="P273">
        <f t="shared" si="58"/>
        <v>1</v>
      </c>
      <c r="Q273">
        <f t="shared" si="59"/>
        <v>1</v>
      </c>
      <c r="R273">
        <v>1</v>
      </c>
      <c r="S273">
        <v>1</v>
      </c>
      <c r="T273">
        <v>0</v>
      </c>
      <c r="U273">
        <v>1</v>
      </c>
      <c r="V273">
        <v>0</v>
      </c>
      <c r="W273">
        <v>1</v>
      </c>
      <c r="X273">
        <v>0</v>
      </c>
      <c r="Y273">
        <v>1</v>
      </c>
      <c r="Z273">
        <v>1</v>
      </c>
      <c r="AA273">
        <v>0</v>
      </c>
      <c r="AB273">
        <v>1</v>
      </c>
      <c r="AC273">
        <v>1</v>
      </c>
      <c r="AD273">
        <v>0</v>
      </c>
      <c r="AE273">
        <v>0</v>
      </c>
      <c r="AF273">
        <v>0</v>
      </c>
      <c r="AG273">
        <v>0</v>
      </c>
      <c r="AH273">
        <v>0</v>
      </c>
      <c r="AI273">
        <v>1</v>
      </c>
      <c r="AJ273">
        <v>0</v>
      </c>
      <c r="AK273">
        <v>0</v>
      </c>
      <c r="AL273">
        <v>0</v>
      </c>
      <c r="AM273">
        <v>0</v>
      </c>
      <c r="AN273">
        <v>1</v>
      </c>
      <c r="AO273">
        <v>0</v>
      </c>
      <c r="AP273">
        <v>0</v>
      </c>
      <c r="AQ273">
        <v>0</v>
      </c>
      <c r="AR273">
        <v>1</v>
      </c>
      <c r="AS273">
        <f t="shared" si="60"/>
        <v>6</v>
      </c>
      <c r="AT273">
        <f t="shared" si="61"/>
        <v>11</v>
      </c>
      <c r="AU273" s="3" t="s">
        <v>949</v>
      </c>
      <c r="AV273">
        <f t="shared" si="62"/>
        <v>1</v>
      </c>
      <c r="AW273">
        <f t="shared" si="63"/>
        <v>0</v>
      </c>
      <c r="AX273">
        <f t="shared" si="64"/>
        <v>1</v>
      </c>
      <c r="AY273">
        <v>33</v>
      </c>
      <c r="AZ273" t="s">
        <v>60</v>
      </c>
      <c r="BA273" t="s">
        <v>61</v>
      </c>
      <c r="BB273" t="s">
        <v>7</v>
      </c>
    </row>
    <row r="274" ht="336" spans="1:54">
      <c r="A274" t="s">
        <v>950</v>
      </c>
      <c r="B274" t="s">
        <v>55</v>
      </c>
      <c r="C274" t="s">
        <v>56</v>
      </c>
      <c r="D274">
        <v>998</v>
      </c>
      <c r="E274">
        <v>66</v>
      </c>
      <c r="F274">
        <v>60.1</v>
      </c>
      <c r="G274" t="s">
        <v>602</v>
      </c>
      <c r="H274" s="3" t="s">
        <v>951</v>
      </c>
      <c r="I274" s="3" t="s">
        <v>951</v>
      </c>
      <c r="J274">
        <f t="shared" si="52"/>
        <v>1</v>
      </c>
      <c r="K274">
        <f t="shared" si="53"/>
        <v>1</v>
      </c>
      <c r="L274">
        <f t="shared" si="54"/>
        <v>1</v>
      </c>
      <c r="M274">
        <f t="shared" si="55"/>
        <v>0</v>
      </c>
      <c r="N274">
        <f t="shared" si="56"/>
        <v>1</v>
      </c>
      <c r="O274">
        <f t="shared" si="57"/>
        <v>1</v>
      </c>
      <c r="P274">
        <f t="shared" si="58"/>
        <v>1</v>
      </c>
      <c r="Q274">
        <f t="shared" si="59"/>
        <v>0</v>
      </c>
      <c r="R274">
        <v>1</v>
      </c>
      <c r="S274">
        <v>0</v>
      </c>
      <c r="T274">
        <v>0</v>
      </c>
      <c r="U274">
        <v>1</v>
      </c>
      <c r="V274">
        <v>1</v>
      </c>
      <c r="W274">
        <v>0</v>
      </c>
      <c r="X274">
        <v>0</v>
      </c>
      <c r="Y274">
        <v>1</v>
      </c>
      <c r="Z274">
        <v>1</v>
      </c>
      <c r="AA274">
        <v>1</v>
      </c>
      <c r="AB274">
        <v>1</v>
      </c>
      <c r="AC274">
        <v>1</v>
      </c>
      <c r="AD274">
        <v>0</v>
      </c>
      <c r="AE274">
        <v>0</v>
      </c>
      <c r="AF274">
        <v>0</v>
      </c>
      <c r="AG274">
        <v>1</v>
      </c>
      <c r="AH274">
        <v>0</v>
      </c>
      <c r="AI274">
        <v>1</v>
      </c>
      <c r="AJ274">
        <v>0</v>
      </c>
      <c r="AK274">
        <v>0</v>
      </c>
      <c r="AL274">
        <v>1</v>
      </c>
      <c r="AM274">
        <v>0</v>
      </c>
      <c r="AN274">
        <v>0</v>
      </c>
      <c r="AO274">
        <v>0</v>
      </c>
      <c r="AP274">
        <v>1</v>
      </c>
      <c r="AQ274">
        <v>0</v>
      </c>
      <c r="AR274">
        <v>0</v>
      </c>
      <c r="AS274">
        <f t="shared" si="60"/>
        <v>6</v>
      </c>
      <c r="AT274">
        <f t="shared" si="61"/>
        <v>12</v>
      </c>
      <c r="AU274" s="3" t="s">
        <v>952</v>
      </c>
      <c r="AV274">
        <f t="shared" si="62"/>
        <v>1</v>
      </c>
      <c r="AW274">
        <f t="shared" si="63"/>
        <v>0</v>
      </c>
      <c r="AX274">
        <f t="shared" si="64"/>
        <v>1</v>
      </c>
      <c r="AY274">
        <v>8.5</v>
      </c>
      <c r="AZ274" t="s">
        <v>60</v>
      </c>
      <c r="BA274" t="s">
        <v>61</v>
      </c>
      <c r="BB274" t="s">
        <v>7</v>
      </c>
    </row>
    <row r="275" ht="409.5" spans="1:54">
      <c r="A275" t="s">
        <v>953</v>
      </c>
      <c r="B275" t="s">
        <v>55</v>
      </c>
      <c r="C275" t="s">
        <v>56</v>
      </c>
      <c r="D275">
        <v>498</v>
      </c>
      <c r="E275">
        <v>13</v>
      </c>
      <c r="F275">
        <v>58.6</v>
      </c>
      <c r="G275" t="s">
        <v>602</v>
      </c>
      <c r="H275" s="3" t="s">
        <v>954</v>
      </c>
      <c r="I275" s="3" t="s">
        <v>954</v>
      </c>
      <c r="J275">
        <f t="shared" si="52"/>
        <v>1</v>
      </c>
      <c r="K275">
        <f t="shared" si="53"/>
        <v>1</v>
      </c>
      <c r="L275">
        <f t="shared" si="54"/>
        <v>1</v>
      </c>
      <c r="M275">
        <f t="shared" si="55"/>
        <v>0</v>
      </c>
      <c r="N275">
        <f t="shared" si="56"/>
        <v>1</v>
      </c>
      <c r="O275">
        <f t="shared" si="57"/>
        <v>1</v>
      </c>
      <c r="P275">
        <f t="shared" si="58"/>
        <v>1</v>
      </c>
      <c r="Q275">
        <f t="shared" si="59"/>
        <v>1</v>
      </c>
      <c r="R275">
        <v>1</v>
      </c>
      <c r="S275">
        <v>1</v>
      </c>
      <c r="T275">
        <v>1</v>
      </c>
      <c r="U275">
        <v>1</v>
      </c>
      <c r="V275">
        <v>1</v>
      </c>
      <c r="W275">
        <v>0</v>
      </c>
      <c r="X275">
        <v>1</v>
      </c>
      <c r="Y275">
        <v>1</v>
      </c>
      <c r="Z275">
        <v>1</v>
      </c>
      <c r="AA275">
        <v>0</v>
      </c>
      <c r="AB275">
        <v>0</v>
      </c>
      <c r="AC275">
        <v>1</v>
      </c>
      <c r="AD275">
        <v>0</v>
      </c>
      <c r="AE275">
        <v>0</v>
      </c>
      <c r="AF275">
        <v>0</v>
      </c>
      <c r="AG275">
        <v>1</v>
      </c>
      <c r="AH275">
        <v>1</v>
      </c>
      <c r="AI275">
        <v>1</v>
      </c>
      <c r="AJ275">
        <v>0</v>
      </c>
      <c r="AK275">
        <v>1</v>
      </c>
      <c r="AL275">
        <v>1</v>
      </c>
      <c r="AM275">
        <v>0</v>
      </c>
      <c r="AN275">
        <v>0</v>
      </c>
      <c r="AO275">
        <v>0</v>
      </c>
      <c r="AP275">
        <v>0</v>
      </c>
      <c r="AQ275">
        <v>1</v>
      </c>
      <c r="AR275">
        <v>1</v>
      </c>
      <c r="AS275">
        <f t="shared" si="60"/>
        <v>7</v>
      </c>
      <c r="AT275">
        <f t="shared" si="61"/>
        <v>16</v>
      </c>
      <c r="AU275" s="3" t="s">
        <v>955</v>
      </c>
      <c r="AV275">
        <f t="shared" si="62"/>
        <v>1</v>
      </c>
      <c r="AW275">
        <f t="shared" si="63"/>
        <v>0</v>
      </c>
      <c r="AX275">
        <f t="shared" si="64"/>
        <v>1</v>
      </c>
      <c r="AY275">
        <v>37.5</v>
      </c>
      <c r="AZ275" t="s">
        <v>60</v>
      </c>
      <c r="BA275" t="s">
        <v>61</v>
      </c>
      <c r="BB275" t="s">
        <v>7</v>
      </c>
    </row>
    <row r="276" ht="219" spans="1:54">
      <c r="A276" t="s">
        <v>956</v>
      </c>
      <c r="B276" t="s">
        <v>55</v>
      </c>
      <c r="C276" t="s">
        <v>56</v>
      </c>
      <c r="D276">
        <v>158</v>
      </c>
      <c r="E276">
        <v>22</v>
      </c>
      <c r="F276">
        <v>42.6</v>
      </c>
      <c r="G276" t="s">
        <v>602</v>
      </c>
      <c r="H276" s="3" t="s">
        <v>957</v>
      </c>
      <c r="I276" s="3" t="s">
        <v>957</v>
      </c>
      <c r="J276">
        <f t="shared" si="52"/>
        <v>1</v>
      </c>
      <c r="K276">
        <f t="shared" si="53"/>
        <v>1</v>
      </c>
      <c r="L276">
        <f t="shared" si="54"/>
        <v>1</v>
      </c>
      <c r="M276">
        <f t="shared" si="55"/>
        <v>0</v>
      </c>
      <c r="N276">
        <f t="shared" si="56"/>
        <v>1</v>
      </c>
      <c r="O276">
        <f t="shared" si="57"/>
        <v>1</v>
      </c>
      <c r="P276">
        <f t="shared" si="58"/>
        <v>0</v>
      </c>
      <c r="Q276">
        <f t="shared" si="59"/>
        <v>1</v>
      </c>
      <c r="R276">
        <v>1</v>
      </c>
      <c r="S276">
        <v>0</v>
      </c>
      <c r="T276">
        <v>1</v>
      </c>
      <c r="U276">
        <v>0</v>
      </c>
      <c r="V276">
        <v>1</v>
      </c>
      <c r="W276">
        <v>1</v>
      </c>
      <c r="X276">
        <v>0</v>
      </c>
      <c r="Y276">
        <v>0</v>
      </c>
      <c r="Z276">
        <v>1</v>
      </c>
      <c r="AA276">
        <v>0</v>
      </c>
      <c r="AB276">
        <v>0</v>
      </c>
      <c r="AC276">
        <v>0</v>
      </c>
      <c r="AD276">
        <v>0</v>
      </c>
      <c r="AE276">
        <v>0</v>
      </c>
      <c r="AF276">
        <v>0</v>
      </c>
      <c r="AG276">
        <v>0</v>
      </c>
      <c r="AH276">
        <v>1</v>
      </c>
      <c r="AI276">
        <v>0</v>
      </c>
      <c r="AJ276">
        <v>1</v>
      </c>
      <c r="AK276">
        <v>1</v>
      </c>
      <c r="AL276">
        <v>0</v>
      </c>
      <c r="AM276">
        <v>0</v>
      </c>
      <c r="AN276">
        <v>0</v>
      </c>
      <c r="AO276">
        <v>0</v>
      </c>
      <c r="AP276">
        <v>0</v>
      </c>
      <c r="AQ276">
        <v>0</v>
      </c>
      <c r="AR276">
        <v>1</v>
      </c>
      <c r="AS276">
        <f t="shared" si="60"/>
        <v>6</v>
      </c>
      <c r="AT276">
        <f t="shared" si="61"/>
        <v>9</v>
      </c>
      <c r="AU276" s="3" t="s">
        <v>958</v>
      </c>
      <c r="AV276">
        <f t="shared" si="62"/>
        <v>1</v>
      </c>
      <c r="AW276">
        <f t="shared" si="63"/>
        <v>0</v>
      </c>
      <c r="AX276">
        <f t="shared" si="64"/>
        <v>1</v>
      </c>
      <c r="AY276">
        <v>16</v>
      </c>
      <c r="AZ276" t="s">
        <v>60</v>
      </c>
      <c r="BA276" t="s">
        <v>61</v>
      </c>
      <c r="BB276" t="s">
        <v>7</v>
      </c>
    </row>
    <row r="277" ht="409.5" spans="1:54">
      <c r="A277" t="s">
        <v>959</v>
      </c>
      <c r="B277" t="s">
        <v>55</v>
      </c>
      <c r="C277" t="s">
        <v>56</v>
      </c>
      <c r="D277">
        <v>70</v>
      </c>
      <c r="E277">
        <v>4</v>
      </c>
      <c r="F277">
        <v>4</v>
      </c>
      <c r="G277" t="s">
        <v>602</v>
      </c>
      <c r="H277" s="3" t="s">
        <v>960</v>
      </c>
      <c r="I277" s="3" t="s">
        <v>960</v>
      </c>
      <c r="J277">
        <f t="shared" si="52"/>
        <v>1</v>
      </c>
      <c r="K277">
        <f t="shared" si="53"/>
        <v>1</v>
      </c>
      <c r="L277">
        <f t="shared" si="54"/>
        <v>1</v>
      </c>
      <c r="M277">
        <f t="shared" si="55"/>
        <v>1</v>
      </c>
      <c r="N277">
        <f t="shared" si="56"/>
        <v>1</v>
      </c>
      <c r="O277">
        <f t="shared" si="57"/>
        <v>1</v>
      </c>
      <c r="P277">
        <f t="shared" si="58"/>
        <v>1</v>
      </c>
      <c r="Q277">
        <f t="shared" si="59"/>
        <v>1</v>
      </c>
      <c r="R277">
        <v>1</v>
      </c>
      <c r="S277">
        <v>0</v>
      </c>
      <c r="T277">
        <v>0</v>
      </c>
      <c r="U277">
        <v>1</v>
      </c>
      <c r="V277">
        <v>1</v>
      </c>
      <c r="W277">
        <v>1</v>
      </c>
      <c r="X277">
        <v>1</v>
      </c>
      <c r="Y277">
        <v>0</v>
      </c>
      <c r="Z277">
        <v>0</v>
      </c>
      <c r="AA277">
        <v>1</v>
      </c>
      <c r="AB277">
        <v>0</v>
      </c>
      <c r="AC277">
        <v>0</v>
      </c>
      <c r="AD277">
        <v>1</v>
      </c>
      <c r="AE277">
        <v>0</v>
      </c>
      <c r="AF277">
        <v>0</v>
      </c>
      <c r="AG277">
        <v>1</v>
      </c>
      <c r="AH277">
        <v>1</v>
      </c>
      <c r="AI277">
        <v>1</v>
      </c>
      <c r="AJ277">
        <v>1</v>
      </c>
      <c r="AK277">
        <v>0</v>
      </c>
      <c r="AL277">
        <v>1</v>
      </c>
      <c r="AM277">
        <v>0</v>
      </c>
      <c r="AN277">
        <v>0</v>
      </c>
      <c r="AO277">
        <v>0</v>
      </c>
      <c r="AP277">
        <v>0</v>
      </c>
      <c r="AQ277">
        <v>1</v>
      </c>
      <c r="AR277">
        <v>1</v>
      </c>
      <c r="AS277">
        <f t="shared" si="60"/>
        <v>8</v>
      </c>
      <c r="AT277">
        <f t="shared" si="61"/>
        <v>14</v>
      </c>
      <c r="AU277" s="3" t="s">
        <v>961</v>
      </c>
      <c r="AV277">
        <f t="shared" si="62"/>
        <v>1</v>
      </c>
      <c r="AW277">
        <f t="shared" si="63"/>
        <v>0</v>
      </c>
      <c r="AX277">
        <f t="shared" si="64"/>
        <v>1</v>
      </c>
      <c r="AY277">
        <v>57.5</v>
      </c>
      <c r="AZ277" t="s">
        <v>60</v>
      </c>
      <c r="BA277" t="s">
        <v>61</v>
      </c>
      <c r="BB277" t="s">
        <v>7</v>
      </c>
    </row>
    <row r="278" ht="409.5" spans="1:54">
      <c r="A278" t="s">
        <v>962</v>
      </c>
      <c r="B278" t="s">
        <v>55</v>
      </c>
      <c r="C278" t="s">
        <v>56</v>
      </c>
      <c r="D278">
        <v>169</v>
      </c>
      <c r="E278">
        <v>6</v>
      </c>
      <c r="F278">
        <v>112.4</v>
      </c>
      <c r="G278" t="s">
        <v>963</v>
      </c>
      <c r="H278" s="3" t="s">
        <v>964</v>
      </c>
      <c r="I278" s="3" t="s">
        <v>964</v>
      </c>
      <c r="J278">
        <f t="shared" si="52"/>
        <v>1</v>
      </c>
      <c r="K278">
        <f t="shared" si="53"/>
        <v>1</v>
      </c>
      <c r="L278">
        <f t="shared" si="54"/>
        <v>1</v>
      </c>
      <c r="M278">
        <f t="shared" si="55"/>
        <v>1</v>
      </c>
      <c r="N278">
        <f t="shared" si="56"/>
        <v>1</v>
      </c>
      <c r="O278">
        <f t="shared" si="57"/>
        <v>1</v>
      </c>
      <c r="P278">
        <f t="shared" si="58"/>
        <v>0</v>
      </c>
      <c r="Q278">
        <f t="shared" si="59"/>
        <v>1</v>
      </c>
      <c r="R278">
        <v>1</v>
      </c>
      <c r="S278">
        <v>1</v>
      </c>
      <c r="T278">
        <v>0</v>
      </c>
      <c r="U278">
        <v>1</v>
      </c>
      <c r="V278">
        <v>1</v>
      </c>
      <c r="W278">
        <v>1</v>
      </c>
      <c r="X278">
        <v>0</v>
      </c>
      <c r="Y278">
        <v>0</v>
      </c>
      <c r="Z278">
        <v>1</v>
      </c>
      <c r="AA278">
        <v>1</v>
      </c>
      <c r="AB278">
        <v>1</v>
      </c>
      <c r="AC278">
        <v>1</v>
      </c>
      <c r="AD278">
        <v>1</v>
      </c>
      <c r="AE278">
        <v>1</v>
      </c>
      <c r="AF278">
        <v>0</v>
      </c>
      <c r="AG278">
        <v>0</v>
      </c>
      <c r="AH278">
        <v>1</v>
      </c>
      <c r="AI278">
        <v>1</v>
      </c>
      <c r="AJ278">
        <v>1</v>
      </c>
      <c r="AK278">
        <v>0</v>
      </c>
      <c r="AL278">
        <v>1</v>
      </c>
      <c r="AM278">
        <v>0</v>
      </c>
      <c r="AN278">
        <v>0</v>
      </c>
      <c r="AO278">
        <v>0</v>
      </c>
      <c r="AP278">
        <v>0</v>
      </c>
      <c r="AQ278">
        <v>0</v>
      </c>
      <c r="AR278">
        <v>1</v>
      </c>
      <c r="AS278">
        <f t="shared" si="60"/>
        <v>7</v>
      </c>
      <c r="AT278">
        <f t="shared" si="61"/>
        <v>16</v>
      </c>
      <c r="AU278" s="3" t="s">
        <v>965</v>
      </c>
      <c r="AV278">
        <f t="shared" si="62"/>
        <v>1</v>
      </c>
      <c r="AW278">
        <f t="shared" si="63"/>
        <v>0</v>
      </c>
      <c r="AX278">
        <f t="shared" si="64"/>
        <v>1</v>
      </c>
      <c r="AY278">
        <v>57</v>
      </c>
      <c r="AZ278" t="s">
        <v>60</v>
      </c>
      <c r="BA278" t="s">
        <v>61</v>
      </c>
      <c r="BB278" t="s">
        <v>7</v>
      </c>
    </row>
    <row r="279" ht="320" spans="1:54">
      <c r="A279" t="s">
        <v>966</v>
      </c>
      <c r="B279" t="s">
        <v>55</v>
      </c>
      <c r="C279" t="s">
        <v>56</v>
      </c>
      <c r="D279">
        <v>88</v>
      </c>
      <c r="E279">
        <v>4</v>
      </c>
      <c r="F279">
        <v>32.7</v>
      </c>
      <c r="G279" t="s">
        <v>294</v>
      </c>
      <c r="H279" s="3" t="s">
        <v>967</v>
      </c>
      <c r="I279" s="3" t="s">
        <v>967</v>
      </c>
      <c r="J279">
        <f t="shared" si="52"/>
        <v>1</v>
      </c>
      <c r="K279">
        <f t="shared" si="53"/>
        <v>1</v>
      </c>
      <c r="L279">
        <f t="shared" si="54"/>
        <v>1</v>
      </c>
      <c r="M279">
        <f t="shared" si="55"/>
        <v>1</v>
      </c>
      <c r="N279">
        <f t="shared" si="56"/>
        <v>0</v>
      </c>
      <c r="O279">
        <f t="shared" si="57"/>
        <v>1</v>
      </c>
      <c r="P279">
        <f t="shared" si="58"/>
        <v>1</v>
      </c>
      <c r="Q279">
        <f t="shared" si="59"/>
        <v>1</v>
      </c>
      <c r="R279">
        <v>1</v>
      </c>
      <c r="S279">
        <v>0</v>
      </c>
      <c r="T279">
        <v>0</v>
      </c>
      <c r="U279">
        <v>0</v>
      </c>
      <c r="V279">
        <v>1</v>
      </c>
      <c r="W279">
        <v>1</v>
      </c>
      <c r="X279">
        <v>0</v>
      </c>
      <c r="Y279">
        <v>0</v>
      </c>
      <c r="Z279">
        <v>1</v>
      </c>
      <c r="AA279">
        <v>1</v>
      </c>
      <c r="AB279">
        <v>0</v>
      </c>
      <c r="AC279">
        <v>1</v>
      </c>
      <c r="AD279">
        <v>1</v>
      </c>
      <c r="AE279">
        <v>0</v>
      </c>
      <c r="AF279">
        <v>1</v>
      </c>
      <c r="AG279">
        <v>0</v>
      </c>
      <c r="AH279">
        <v>0</v>
      </c>
      <c r="AI279">
        <v>1</v>
      </c>
      <c r="AJ279">
        <v>0</v>
      </c>
      <c r="AK279">
        <v>0</v>
      </c>
      <c r="AL279">
        <v>0</v>
      </c>
      <c r="AM279">
        <v>0</v>
      </c>
      <c r="AN279">
        <v>1</v>
      </c>
      <c r="AO279">
        <v>0</v>
      </c>
      <c r="AP279">
        <v>1</v>
      </c>
      <c r="AQ279">
        <v>1</v>
      </c>
      <c r="AR279">
        <v>1</v>
      </c>
      <c r="AS279">
        <f t="shared" si="60"/>
        <v>7</v>
      </c>
      <c r="AT279">
        <f t="shared" si="61"/>
        <v>13</v>
      </c>
      <c r="AU279" s="3" t="s">
        <v>968</v>
      </c>
      <c r="AV279">
        <f t="shared" si="62"/>
        <v>1</v>
      </c>
      <c r="AW279">
        <f t="shared" si="63"/>
        <v>0</v>
      </c>
      <c r="AX279">
        <f t="shared" si="64"/>
        <v>1</v>
      </c>
      <c r="AY279">
        <v>27</v>
      </c>
      <c r="AZ279" t="s">
        <v>60</v>
      </c>
      <c r="BA279" t="s">
        <v>61</v>
      </c>
      <c r="BB279" t="s">
        <v>7</v>
      </c>
    </row>
    <row r="280" ht="84" spans="1:54">
      <c r="A280" t="s">
        <v>969</v>
      </c>
      <c r="B280" t="s">
        <v>55</v>
      </c>
      <c r="C280" t="s">
        <v>56</v>
      </c>
      <c r="D280">
        <v>59</v>
      </c>
      <c r="E280">
        <v>1</v>
      </c>
      <c r="F280">
        <v>126.2</v>
      </c>
      <c r="G280" t="s">
        <v>294</v>
      </c>
      <c r="H280" s="3" t="s">
        <v>970</v>
      </c>
      <c r="I280" s="3" t="s">
        <v>970</v>
      </c>
      <c r="J280">
        <f t="shared" si="52"/>
        <v>0</v>
      </c>
      <c r="K280">
        <f t="shared" si="53"/>
        <v>0</v>
      </c>
      <c r="L280">
        <f t="shared" si="54"/>
        <v>0</v>
      </c>
      <c r="M280">
        <f t="shared" si="55"/>
        <v>0</v>
      </c>
      <c r="N280">
        <f t="shared" si="56"/>
        <v>0</v>
      </c>
      <c r="O280">
        <f t="shared" si="57"/>
        <v>1</v>
      </c>
      <c r="P280">
        <f t="shared" si="58"/>
        <v>0</v>
      </c>
      <c r="Q280">
        <f t="shared" si="59"/>
        <v>0</v>
      </c>
      <c r="R280">
        <v>0</v>
      </c>
      <c r="S280">
        <v>0</v>
      </c>
      <c r="T280">
        <v>0</v>
      </c>
      <c r="U280">
        <v>0</v>
      </c>
      <c r="V280">
        <v>0</v>
      </c>
      <c r="W280">
        <v>0</v>
      </c>
      <c r="X280">
        <v>0</v>
      </c>
      <c r="Y280">
        <v>0</v>
      </c>
      <c r="Z280">
        <v>0</v>
      </c>
      <c r="AA280">
        <v>0</v>
      </c>
      <c r="AB280">
        <v>0</v>
      </c>
      <c r="AC280">
        <v>0</v>
      </c>
      <c r="AD280">
        <v>0</v>
      </c>
      <c r="AE280">
        <v>0</v>
      </c>
      <c r="AF280">
        <v>0</v>
      </c>
      <c r="AG280">
        <v>0</v>
      </c>
      <c r="AH280">
        <v>0</v>
      </c>
      <c r="AI280">
        <v>1</v>
      </c>
      <c r="AJ280">
        <v>0</v>
      </c>
      <c r="AK280">
        <v>0</v>
      </c>
      <c r="AL280">
        <v>0</v>
      </c>
      <c r="AM280">
        <v>0</v>
      </c>
      <c r="AN280">
        <v>0</v>
      </c>
      <c r="AO280">
        <v>0</v>
      </c>
      <c r="AP280">
        <v>0</v>
      </c>
      <c r="AQ280">
        <v>0</v>
      </c>
      <c r="AR280">
        <v>0</v>
      </c>
      <c r="AS280">
        <f t="shared" si="60"/>
        <v>1</v>
      </c>
      <c r="AT280">
        <f t="shared" si="61"/>
        <v>1</v>
      </c>
      <c r="AU280" s="3" t="s">
        <v>79</v>
      </c>
      <c r="AV280">
        <f t="shared" si="62"/>
        <v>1</v>
      </c>
      <c r="AW280">
        <f t="shared" si="63"/>
        <v>0</v>
      </c>
      <c r="AX280">
        <f t="shared" si="64"/>
        <v>0</v>
      </c>
      <c r="AY280">
        <v>15.5</v>
      </c>
      <c r="AZ280" t="s">
        <v>60</v>
      </c>
      <c r="BA280" t="s">
        <v>61</v>
      </c>
      <c r="BB280" t="s">
        <v>7</v>
      </c>
    </row>
    <row r="281" ht="168" spans="1:54">
      <c r="A281" t="s">
        <v>971</v>
      </c>
      <c r="B281" t="s">
        <v>55</v>
      </c>
      <c r="C281" t="s">
        <v>56</v>
      </c>
      <c r="D281">
        <v>28</v>
      </c>
      <c r="E281">
        <v>2</v>
      </c>
      <c r="F281">
        <v>124</v>
      </c>
      <c r="G281" t="s">
        <v>294</v>
      </c>
      <c r="H281" s="3" t="s">
        <v>972</v>
      </c>
      <c r="I281" s="3" t="s">
        <v>972</v>
      </c>
      <c r="J281">
        <f t="shared" si="52"/>
        <v>1</v>
      </c>
      <c r="K281">
        <f t="shared" si="53"/>
        <v>1</v>
      </c>
      <c r="L281">
        <f t="shared" si="54"/>
        <v>1</v>
      </c>
      <c r="M281">
        <f t="shared" si="55"/>
        <v>1</v>
      </c>
      <c r="N281">
        <f t="shared" si="56"/>
        <v>1</v>
      </c>
      <c r="O281">
        <f t="shared" si="57"/>
        <v>1</v>
      </c>
      <c r="P281">
        <f t="shared" si="58"/>
        <v>0</v>
      </c>
      <c r="Q281">
        <f t="shared" si="59"/>
        <v>0</v>
      </c>
      <c r="R281">
        <v>1</v>
      </c>
      <c r="S281">
        <v>0</v>
      </c>
      <c r="T281">
        <v>1</v>
      </c>
      <c r="U281">
        <v>1</v>
      </c>
      <c r="V281">
        <v>1</v>
      </c>
      <c r="W281">
        <v>0</v>
      </c>
      <c r="X281">
        <v>0</v>
      </c>
      <c r="Y281">
        <v>0</v>
      </c>
      <c r="Z281">
        <v>1</v>
      </c>
      <c r="AA281">
        <v>0</v>
      </c>
      <c r="AB281">
        <v>0</v>
      </c>
      <c r="AC281">
        <v>1</v>
      </c>
      <c r="AD281">
        <v>1</v>
      </c>
      <c r="AE281">
        <v>0</v>
      </c>
      <c r="AF281">
        <v>0</v>
      </c>
      <c r="AG281">
        <v>1</v>
      </c>
      <c r="AH281">
        <v>1</v>
      </c>
      <c r="AI281">
        <v>0</v>
      </c>
      <c r="AJ281">
        <v>0</v>
      </c>
      <c r="AK281">
        <v>1</v>
      </c>
      <c r="AL281">
        <v>0</v>
      </c>
      <c r="AM281">
        <v>0</v>
      </c>
      <c r="AN281">
        <v>0</v>
      </c>
      <c r="AO281">
        <v>0</v>
      </c>
      <c r="AP281">
        <v>0</v>
      </c>
      <c r="AQ281">
        <v>0</v>
      </c>
      <c r="AR281">
        <v>0</v>
      </c>
      <c r="AS281">
        <f t="shared" si="60"/>
        <v>6</v>
      </c>
      <c r="AT281">
        <f t="shared" si="61"/>
        <v>10</v>
      </c>
      <c r="AU281" s="3" t="s">
        <v>973</v>
      </c>
      <c r="AV281">
        <f t="shared" si="62"/>
        <v>1</v>
      </c>
      <c r="AW281">
        <f t="shared" si="63"/>
        <v>0</v>
      </c>
      <c r="AX281">
        <f t="shared" si="64"/>
        <v>1</v>
      </c>
      <c r="AY281">
        <v>6.5</v>
      </c>
      <c r="AZ281" t="s">
        <v>60</v>
      </c>
      <c r="BA281" t="s">
        <v>61</v>
      </c>
      <c r="BB281" t="s">
        <v>7</v>
      </c>
    </row>
    <row r="282" ht="269" spans="1:54">
      <c r="A282" t="s">
        <v>974</v>
      </c>
      <c r="B282" t="s">
        <v>55</v>
      </c>
      <c r="C282" t="s">
        <v>56</v>
      </c>
      <c r="D282">
        <v>21</v>
      </c>
      <c r="E282">
        <v>1</v>
      </c>
      <c r="F282">
        <v>57.4</v>
      </c>
      <c r="G282" t="s">
        <v>294</v>
      </c>
      <c r="H282" s="3" t="s">
        <v>975</v>
      </c>
      <c r="I282" s="3" t="s">
        <v>975</v>
      </c>
      <c r="J282">
        <f t="shared" si="52"/>
        <v>1</v>
      </c>
      <c r="K282">
        <f t="shared" si="53"/>
        <v>0</v>
      </c>
      <c r="L282">
        <f t="shared" si="54"/>
        <v>0</v>
      </c>
      <c r="M282">
        <f t="shared" si="55"/>
        <v>0</v>
      </c>
      <c r="N282">
        <f t="shared" si="56"/>
        <v>1</v>
      </c>
      <c r="O282">
        <f t="shared" si="57"/>
        <v>1</v>
      </c>
      <c r="P282">
        <f t="shared" si="58"/>
        <v>0</v>
      </c>
      <c r="Q282">
        <f t="shared" si="59"/>
        <v>1</v>
      </c>
      <c r="R282">
        <v>0</v>
      </c>
      <c r="S282">
        <v>1</v>
      </c>
      <c r="T282">
        <v>1</v>
      </c>
      <c r="U282">
        <v>0</v>
      </c>
      <c r="V282">
        <v>0</v>
      </c>
      <c r="W282">
        <v>0</v>
      </c>
      <c r="X282">
        <v>0</v>
      </c>
      <c r="Y282">
        <v>0</v>
      </c>
      <c r="Z282">
        <v>0</v>
      </c>
      <c r="AA282">
        <v>0</v>
      </c>
      <c r="AB282">
        <v>0</v>
      </c>
      <c r="AC282">
        <v>0</v>
      </c>
      <c r="AD282">
        <v>0</v>
      </c>
      <c r="AE282">
        <v>0</v>
      </c>
      <c r="AF282">
        <v>0</v>
      </c>
      <c r="AG282">
        <v>1</v>
      </c>
      <c r="AH282">
        <v>1</v>
      </c>
      <c r="AI282">
        <v>1</v>
      </c>
      <c r="AJ282">
        <v>0</v>
      </c>
      <c r="AK282">
        <v>1</v>
      </c>
      <c r="AL282">
        <v>1</v>
      </c>
      <c r="AM282">
        <v>0</v>
      </c>
      <c r="AN282">
        <v>0</v>
      </c>
      <c r="AO282">
        <v>0</v>
      </c>
      <c r="AP282">
        <v>0</v>
      </c>
      <c r="AQ282">
        <v>0</v>
      </c>
      <c r="AR282">
        <v>1</v>
      </c>
      <c r="AS282">
        <f t="shared" si="60"/>
        <v>4</v>
      </c>
      <c r="AT282">
        <f t="shared" si="61"/>
        <v>8</v>
      </c>
      <c r="AU282" s="3" t="s">
        <v>976</v>
      </c>
      <c r="AV282">
        <f t="shared" si="62"/>
        <v>1</v>
      </c>
      <c r="AW282">
        <f t="shared" si="63"/>
        <v>0</v>
      </c>
      <c r="AX282">
        <f t="shared" si="64"/>
        <v>1</v>
      </c>
      <c r="AY282">
        <v>7.5</v>
      </c>
      <c r="AZ282" t="s">
        <v>60</v>
      </c>
      <c r="BA282" t="s">
        <v>61</v>
      </c>
      <c r="BB282" t="s">
        <v>7</v>
      </c>
    </row>
    <row r="283" ht="219" spans="1:54">
      <c r="A283" t="s">
        <v>977</v>
      </c>
      <c r="B283" t="s">
        <v>55</v>
      </c>
      <c r="C283" t="s">
        <v>56</v>
      </c>
      <c r="D283">
        <v>113</v>
      </c>
      <c r="E283">
        <v>2</v>
      </c>
      <c r="F283">
        <v>81</v>
      </c>
      <c r="G283" t="s">
        <v>978</v>
      </c>
      <c r="H283" s="3" t="s">
        <v>979</v>
      </c>
      <c r="I283" s="3" t="s">
        <v>979</v>
      </c>
      <c r="J283">
        <f t="shared" si="52"/>
        <v>0</v>
      </c>
      <c r="K283">
        <f t="shared" si="53"/>
        <v>1</v>
      </c>
      <c r="L283">
        <f t="shared" si="54"/>
        <v>1</v>
      </c>
      <c r="M283">
        <f t="shared" si="55"/>
        <v>0</v>
      </c>
      <c r="N283">
        <f t="shared" si="56"/>
        <v>1</v>
      </c>
      <c r="O283">
        <f t="shared" si="57"/>
        <v>0</v>
      </c>
      <c r="P283">
        <f t="shared" si="58"/>
        <v>1</v>
      </c>
      <c r="Q283">
        <f t="shared" si="59"/>
        <v>1</v>
      </c>
      <c r="R283">
        <v>0</v>
      </c>
      <c r="S283">
        <v>0</v>
      </c>
      <c r="T283">
        <v>0</v>
      </c>
      <c r="U283">
        <v>1</v>
      </c>
      <c r="V283">
        <v>1</v>
      </c>
      <c r="W283">
        <v>1</v>
      </c>
      <c r="X283">
        <v>0</v>
      </c>
      <c r="Y283">
        <v>0</v>
      </c>
      <c r="Z283">
        <v>0</v>
      </c>
      <c r="AA283">
        <v>0</v>
      </c>
      <c r="AB283">
        <v>1</v>
      </c>
      <c r="AC283">
        <v>0</v>
      </c>
      <c r="AD283">
        <v>0</v>
      </c>
      <c r="AE283">
        <v>0</v>
      </c>
      <c r="AF283">
        <v>0</v>
      </c>
      <c r="AG283">
        <v>1</v>
      </c>
      <c r="AH283">
        <v>1</v>
      </c>
      <c r="AI283">
        <v>0</v>
      </c>
      <c r="AJ283">
        <v>0</v>
      </c>
      <c r="AK283">
        <v>0</v>
      </c>
      <c r="AL283">
        <v>0</v>
      </c>
      <c r="AM283">
        <v>0</v>
      </c>
      <c r="AN283">
        <v>0</v>
      </c>
      <c r="AO283">
        <v>0</v>
      </c>
      <c r="AP283">
        <v>1</v>
      </c>
      <c r="AQ283">
        <v>0</v>
      </c>
      <c r="AR283">
        <v>1</v>
      </c>
      <c r="AS283">
        <f t="shared" si="60"/>
        <v>5</v>
      </c>
      <c r="AT283">
        <f t="shared" si="61"/>
        <v>8</v>
      </c>
      <c r="AU283" s="3" t="s">
        <v>980</v>
      </c>
      <c r="AV283">
        <f t="shared" si="62"/>
        <v>1</v>
      </c>
      <c r="AW283">
        <f t="shared" si="63"/>
        <v>0</v>
      </c>
      <c r="AX283">
        <f t="shared" si="64"/>
        <v>1</v>
      </c>
      <c r="AY283">
        <v>6</v>
      </c>
      <c r="AZ283" t="s">
        <v>60</v>
      </c>
      <c r="BA283" t="s">
        <v>61</v>
      </c>
      <c r="BB283" t="s">
        <v>7</v>
      </c>
    </row>
    <row r="284" ht="409.5" spans="1:54">
      <c r="A284" t="s">
        <v>981</v>
      </c>
      <c r="B284" t="s">
        <v>55</v>
      </c>
      <c r="C284" t="s">
        <v>56</v>
      </c>
      <c r="D284">
        <v>1577</v>
      </c>
      <c r="E284">
        <v>53</v>
      </c>
      <c r="F284">
        <v>242.5</v>
      </c>
      <c r="G284" t="s">
        <v>982</v>
      </c>
      <c r="H284" s="3" t="s">
        <v>983</v>
      </c>
      <c r="I284" s="3" t="s">
        <v>983</v>
      </c>
      <c r="J284">
        <f t="shared" si="52"/>
        <v>1</v>
      </c>
      <c r="K284">
        <f t="shared" si="53"/>
        <v>1</v>
      </c>
      <c r="L284">
        <f t="shared" si="54"/>
        <v>1</v>
      </c>
      <c r="M284">
        <f t="shared" si="55"/>
        <v>1</v>
      </c>
      <c r="N284">
        <f t="shared" si="56"/>
        <v>1</v>
      </c>
      <c r="O284">
        <f t="shared" si="57"/>
        <v>1</v>
      </c>
      <c r="P284">
        <f t="shared" si="58"/>
        <v>1</v>
      </c>
      <c r="Q284">
        <f t="shared" si="59"/>
        <v>1</v>
      </c>
      <c r="R284">
        <v>1</v>
      </c>
      <c r="S284">
        <v>1</v>
      </c>
      <c r="T284">
        <v>1</v>
      </c>
      <c r="U284">
        <v>1</v>
      </c>
      <c r="V284">
        <v>1</v>
      </c>
      <c r="W284">
        <v>1</v>
      </c>
      <c r="X284">
        <v>1</v>
      </c>
      <c r="Y284">
        <v>0</v>
      </c>
      <c r="Z284">
        <v>0</v>
      </c>
      <c r="AA284">
        <v>1</v>
      </c>
      <c r="AB284">
        <v>0</v>
      </c>
      <c r="AC284">
        <v>0</v>
      </c>
      <c r="AD284">
        <v>0</v>
      </c>
      <c r="AE284">
        <v>0</v>
      </c>
      <c r="AF284">
        <v>1</v>
      </c>
      <c r="AG284">
        <v>1</v>
      </c>
      <c r="AH284">
        <v>1</v>
      </c>
      <c r="AI284">
        <v>1</v>
      </c>
      <c r="AJ284">
        <v>1</v>
      </c>
      <c r="AK284">
        <v>1</v>
      </c>
      <c r="AL284">
        <v>1</v>
      </c>
      <c r="AM284">
        <v>0</v>
      </c>
      <c r="AN284">
        <v>1</v>
      </c>
      <c r="AO284">
        <v>0</v>
      </c>
      <c r="AP284">
        <v>0</v>
      </c>
      <c r="AQ284">
        <v>1</v>
      </c>
      <c r="AR284">
        <v>1</v>
      </c>
      <c r="AS284">
        <f t="shared" si="60"/>
        <v>8</v>
      </c>
      <c r="AT284">
        <f t="shared" si="61"/>
        <v>18</v>
      </c>
      <c r="AU284" s="3" t="s">
        <v>984</v>
      </c>
      <c r="AV284">
        <f t="shared" si="62"/>
        <v>1</v>
      </c>
      <c r="AW284">
        <f t="shared" si="63"/>
        <v>0</v>
      </c>
      <c r="AX284">
        <f t="shared" si="64"/>
        <v>1</v>
      </c>
      <c r="AY284">
        <v>116</v>
      </c>
      <c r="AZ284" t="s">
        <v>60</v>
      </c>
      <c r="BA284" t="s">
        <v>61</v>
      </c>
      <c r="BB284" t="s">
        <v>7</v>
      </c>
    </row>
    <row r="285" ht="68" spans="1:54">
      <c r="A285" t="s">
        <v>985</v>
      </c>
      <c r="B285" t="s">
        <v>55</v>
      </c>
      <c r="C285" t="s">
        <v>56</v>
      </c>
      <c r="D285">
        <v>1391</v>
      </c>
      <c r="E285">
        <v>758</v>
      </c>
      <c r="F285">
        <v>72.8</v>
      </c>
      <c r="G285" t="s">
        <v>982</v>
      </c>
      <c r="H285" s="3" t="s">
        <v>986</v>
      </c>
      <c r="I285" s="3" t="s">
        <v>986</v>
      </c>
      <c r="J285">
        <f t="shared" si="52"/>
        <v>0</v>
      </c>
      <c r="K285">
        <f t="shared" si="53"/>
        <v>0</v>
      </c>
      <c r="L285">
        <f t="shared" si="54"/>
        <v>0</v>
      </c>
      <c r="M285">
        <f t="shared" si="55"/>
        <v>0</v>
      </c>
      <c r="N285">
        <f t="shared" si="56"/>
        <v>0</v>
      </c>
      <c r="O285">
        <f t="shared" si="57"/>
        <v>0</v>
      </c>
      <c r="P285">
        <f t="shared" si="58"/>
        <v>0</v>
      </c>
      <c r="Q285">
        <f t="shared" si="59"/>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f t="shared" si="60"/>
        <v>0</v>
      </c>
      <c r="AT285">
        <f t="shared" si="61"/>
        <v>0</v>
      </c>
      <c r="AU285" s="3" t="s">
        <v>118</v>
      </c>
      <c r="AV285">
        <f t="shared" si="62"/>
        <v>0</v>
      </c>
      <c r="AW285">
        <f t="shared" si="63"/>
        <v>1</v>
      </c>
      <c r="AX285">
        <f t="shared" si="64"/>
        <v>0</v>
      </c>
      <c r="AY285">
        <v>6</v>
      </c>
      <c r="AZ285" t="s">
        <v>60</v>
      </c>
      <c r="BA285" t="s">
        <v>61</v>
      </c>
      <c r="BB285" t="s">
        <v>7</v>
      </c>
    </row>
    <row r="286" ht="303" spans="1:54">
      <c r="A286" t="s">
        <v>987</v>
      </c>
      <c r="B286" t="s">
        <v>55</v>
      </c>
      <c r="C286" t="s">
        <v>116</v>
      </c>
      <c r="D286">
        <v>898</v>
      </c>
      <c r="E286">
        <v>62</v>
      </c>
      <c r="F286">
        <v>42.2</v>
      </c>
      <c r="G286" t="s">
        <v>982</v>
      </c>
      <c r="H286" s="3" t="s">
        <v>988</v>
      </c>
      <c r="I286" s="3" t="s">
        <v>988</v>
      </c>
      <c r="J286">
        <f t="shared" si="52"/>
        <v>1</v>
      </c>
      <c r="K286">
        <f t="shared" si="53"/>
        <v>1</v>
      </c>
      <c r="L286">
        <f t="shared" si="54"/>
        <v>1</v>
      </c>
      <c r="M286">
        <f t="shared" si="55"/>
        <v>0</v>
      </c>
      <c r="N286">
        <f t="shared" si="56"/>
        <v>1</v>
      </c>
      <c r="O286">
        <f t="shared" si="57"/>
        <v>1</v>
      </c>
      <c r="P286">
        <f t="shared" si="58"/>
        <v>0</v>
      </c>
      <c r="Q286">
        <f t="shared" si="59"/>
        <v>1</v>
      </c>
      <c r="R286">
        <v>0</v>
      </c>
      <c r="S286">
        <v>0</v>
      </c>
      <c r="T286">
        <v>1</v>
      </c>
      <c r="U286">
        <v>0</v>
      </c>
      <c r="V286">
        <v>1</v>
      </c>
      <c r="W286">
        <v>0</v>
      </c>
      <c r="X286">
        <v>0</v>
      </c>
      <c r="Y286">
        <v>0</v>
      </c>
      <c r="Z286">
        <v>1</v>
      </c>
      <c r="AA286">
        <v>0</v>
      </c>
      <c r="AB286">
        <v>1</v>
      </c>
      <c r="AC286">
        <v>1</v>
      </c>
      <c r="AD286">
        <v>0</v>
      </c>
      <c r="AE286">
        <v>0</v>
      </c>
      <c r="AF286">
        <v>0</v>
      </c>
      <c r="AG286">
        <v>0</v>
      </c>
      <c r="AH286">
        <v>1</v>
      </c>
      <c r="AI286">
        <v>1</v>
      </c>
      <c r="AJ286">
        <v>0</v>
      </c>
      <c r="AK286">
        <v>1</v>
      </c>
      <c r="AL286">
        <v>1</v>
      </c>
      <c r="AM286">
        <v>0</v>
      </c>
      <c r="AN286">
        <v>0</v>
      </c>
      <c r="AO286">
        <v>0</v>
      </c>
      <c r="AP286">
        <v>0</v>
      </c>
      <c r="AQ286">
        <v>0</v>
      </c>
      <c r="AR286">
        <v>1</v>
      </c>
      <c r="AS286">
        <f t="shared" si="60"/>
        <v>6</v>
      </c>
      <c r="AT286">
        <f t="shared" si="61"/>
        <v>10</v>
      </c>
      <c r="AU286" s="3" t="s">
        <v>989</v>
      </c>
      <c r="AV286">
        <f t="shared" si="62"/>
        <v>1</v>
      </c>
      <c r="AW286">
        <f t="shared" si="63"/>
        <v>0</v>
      </c>
      <c r="AX286">
        <f t="shared" si="64"/>
        <v>1</v>
      </c>
      <c r="AY286">
        <v>3</v>
      </c>
      <c r="AZ286" t="s">
        <v>60</v>
      </c>
      <c r="BA286" t="s">
        <v>61</v>
      </c>
      <c r="BB286" t="s">
        <v>7</v>
      </c>
    </row>
    <row r="287" ht="409.5" spans="1:54">
      <c r="A287" t="s">
        <v>990</v>
      </c>
      <c r="B287" t="s">
        <v>55</v>
      </c>
      <c r="C287" t="s">
        <v>56</v>
      </c>
      <c r="D287">
        <v>776</v>
      </c>
      <c r="E287">
        <v>22</v>
      </c>
      <c r="F287">
        <v>71</v>
      </c>
      <c r="G287" t="s">
        <v>982</v>
      </c>
      <c r="H287" s="3" t="s">
        <v>991</v>
      </c>
      <c r="I287" s="3" t="s">
        <v>991</v>
      </c>
      <c r="J287">
        <f t="shared" si="52"/>
        <v>1</v>
      </c>
      <c r="K287">
        <f t="shared" si="53"/>
        <v>1</v>
      </c>
      <c r="L287">
        <f t="shared" si="54"/>
        <v>1</v>
      </c>
      <c r="M287">
        <f t="shared" si="55"/>
        <v>1</v>
      </c>
      <c r="N287">
        <f t="shared" si="56"/>
        <v>1</v>
      </c>
      <c r="O287">
        <f t="shared" si="57"/>
        <v>1</v>
      </c>
      <c r="P287">
        <f t="shared" si="58"/>
        <v>0</v>
      </c>
      <c r="Q287">
        <f t="shared" si="59"/>
        <v>0</v>
      </c>
      <c r="R287">
        <v>1</v>
      </c>
      <c r="S287">
        <v>0</v>
      </c>
      <c r="T287">
        <v>1</v>
      </c>
      <c r="U287">
        <v>1</v>
      </c>
      <c r="V287">
        <v>1</v>
      </c>
      <c r="W287">
        <v>1</v>
      </c>
      <c r="X287">
        <v>1</v>
      </c>
      <c r="Y287">
        <v>0</v>
      </c>
      <c r="Z287">
        <v>1</v>
      </c>
      <c r="AA287">
        <v>0</v>
      </c>
      <c r="AB287">
        <v>1</v>
      </c>
      <c r="AC287">
        <v>1</v>
      </c>
      <c r="AD287">
        <v>1</v>
      </c>
      <c r="AE287">
        <v>0</v>
      </c>
      <c r="AF287">
        <v>0</v>
      </c>
      <c r="AG287">
        <v>1</v>
      </c>
      <c r="AH287">
        <v>1</v>
      </c>
      <c r="AI287">
        <v>0</v>
      </c>
      <c r="AJ287">
        <v>1</v>
      </c>
      <c r="AK287">
        <v>1</v>
      </c>
      <c r="AL287">
        <v>1</v>
      </c>
      <c r="AM287">
        <v>0</v>
      </c>
      <c r="AN287">
        <v>0</v>
      </c>
      <c r="AO287">
        <v>0</v>
      </c>
      <c r="AP287">
        <v>0</v>
      </c>
      <c r="AQ287">
        <v>0</v>
      </c>
      <c r="AR287">
        <v>0</v>
      </c>
      <c r="AS287">
        <f t="shared" si="60"/>
        <v>6</v>
      </c>
      <c r="AT287">
        <f t="shared" si="61"/>
        <v>15</v>
      </c>
      <c r="AU287" s="3" t="s">
        <v>992</v>
      </c>
      <c r="AV287">
        <f t="shared" si="62"/>
        <v>1</v>
      </c>
      <c r="AW287">
        <f t="shared" si="63"/>
        <v>0</v>
      </c>
      <c r="AX287">
        <f t="shared" si="64"/>
        <v>1</v>
      </c>
      <c r="AY287">
        <v>48</v>
      </c>
      <c r="AZ287" t="s">
        <v>60</v>
      </c>
      <c r="BA287" t="s">
        <v>61</v>
      </c>
      <c r="BB287" t="s">
        <v>7</v>
      </c>
    </row>
    <row r="288" ht="118" spans="1:54">
      <c r="A288" t="s">
        <v>993</v>
      </c>
      <c r="B288" t="s">
        <v>55</v>
      </c>
      <c r="C288" t="s">
        <v>56</v>
      </c>
      <c r="D288">
        <v>172</v>
      </c>
      <c r="E288">
        <v>3</v>
      </c>
      <c r="F288">
        <v>46</v>
      </c>
      <c r="G288" t="s">
        <v>982</v>
      </c>
      <c r="H288" s="3" t="s">
        <v>994</v>
      </c>
      <c r="I288" s="3" t="s">
        <v>994</v>
      </c>
      <c r="J288">
        <f t="shared" si="52"/>
        <v>1</v>
      </c>
      <c r="K288">
        <f t="shared" si="53"/>
        <v>1</v>
      </c>
      <c r="L288">
        <f t="shared" si="54"/>
        <v>1</v>
      </c>
      <c r="M288">
        <f t="shared" si="55"/>
        <v>0</v>
      </c>
      <c r="N288">
        <f t="shared" si="56"/>
        <v>1</v>
      </c>
      <c r="O288">
        <f t="shared" si="57"/>
        <v>0</v>
      </c>
      <c r="P288">
        <f t="shared" si="58"/>
        <v>0</v>
      </c>
      <c r="Q288">
        <f t="shared" si="59"/>
        <v>0</v>
      </c>
      <c r="R288">
        <v>1</v>
      </c>
      <c r="S288">
        <v>0</v>
      </c>
      <c r="T288">
        <v>0</v>
      </c>
      <c r="U288">
        <v>0</v>
      </c>
      <c r="V288">
        <v>0</v>
      </c>
      <c r="W288">
        <v>1</v>
      </c>
      <c r="X288">
        <v>0</v>
      </c>
      <c r="Y288">
        <v>0</v>
      </c>
      <c r="Z288">
        <v>1</v>
      </c>
      <c r="AA288">
        <v>0</v>
      </c>
      <c r="AB288">
        <v>0</v>
      </c>
      <c r="AC288">
        <v>1</v>
      </c>
      <c r="AD288">
        <v>0</v>
      </c>
      <c r="AE288">
        <v>0</v>
      </c>
      <c r="AF288">
        <v>0</v>
      </c>
      <c r="AG288">
        <v>1</v>
      </c>
      <c r="AH288">
        <v>1</v>
      </c>
      <c r="AI288">
        <v>0</v>
      </c>
      <c r="AJ288">
        <v>0</v>
      </c>
      <c r="AK288">
        <v>0</v>
      </c>
      <c r="AL288">
        <v>0</v>
      </c>
      <c r="AM288">
        <v>0</v>
      </c>
      <c r="AN288">
        <v>0</v>
      </c>
      <c r="AO288">
        <v>0</v>
      </c>
      <c r="AP288">
        <v>0</v>
      </c>
      <c r="AQ288">
        <v>0</v>
      </c>
      <c r="AR288">
        <v>0</v>
      </c>
      <c r="AS288">
        <f t="shared" si="60"/>
        <v>4</v>
      </c>
      <c r="AT288">
        <f t="shared" si="61"/>
        <v>6</v>
      </c>
      <c r="AU288" s="3" t="s">
        <v>995</v>
      </c>
      <c r="AV288">
        <f t="shared" si="62"/>
        <v>1</v>
      </c>
      <c r="AW288">
        <f t="shared" si="63"/>
        <v>0</v>
      </c>
      <c r="AX288">
        <f t="shared" si="64"/>
        <v>0</v>
      </c>
      <c r="AY288">
        <v>17.5</v>
      </c>
      <c r="AZ288" t="s">
        <v>60</v>
      </c>
      <c r="BA288" t="s">
        <v>61</v>
      </c>
      <c r="BB288" t="s">
        <v>7</v>
      </c>
    </row>
    <row r="289" ht="409.5" spans="1:54">
      <c r="A289" t="s">
        <v>996</v>
      </c>
      <c r="B289" t="s">
        <v>55</v>
      </c>
      <c r="C289" t="s">
        <v>56</v>
      </c>
      <c r="D289">
        <v>26</v>
      </c>
      <c r="E289">
        <v>1</v>
      </c>
      <c r="F289">
        <v>4.5</v>
      </c>
      <c r="G289" t="s">
        <v>982</v>
      </c>
      <c r="H289" s="3" t="s">
        <v>997</v>
      </c>
      <c r="I289" s="3" t="s">
        <v>997</v>
      </c>
      <c r="J289">
        <f t="shared" si="52"/>
        <v>1</v>
      </c>
      <c r="K289">
        <f t="shared" si="53"/>
        <v>1</v>
      </c>
      <c r="L289">
        <f t="shared" si="54"/>
        <v>0</v>
      </c>
      <c r="M289">
        <f t="shared" si="55"/>
        <v>1</v>
      </c>
      <c r="N289">
        <f t="shared" si="56"/>
        <v>1</v>
      </c>
      <c r="O289">
        <f t="shared" si="57"/>
        <v>1</v>
      </c>
      <c r="P289">
        <f t="shared" si="58"/>
        <v>1</v>
      </c>
      <c r="Q289">
        <f t="shared" si="59"/>
        <v>0</v>
      </c>
      <c r="R289">
        <v>1</v>
      </c>
      <c r="S289">
        <v>1</v>
      </c>
      <c r="T289">
        <v>1</v>
      </c>
      <c r="U289">
        <v>1</v>
      </c>
      <c r="V289">
        <v>0</v>
      </c>
      <c r="W289">
        <v>0</v>
      </c>
      <c r="X289">
        <v>0</v>
      </c>
      <c r="Y289">
        <v>0</v>
      </c>
      <c r="Z289">
        <v>0</v>
      </c>
      <c r="AA289">
        <v>0</v>
      </c>
      <c r="AB289">
        <v>0</v>
      </c>
      <c r="AC289">
        <v>0</v>
      </c>
      <c r="AD289">
        <v>1</v>
      </c>
      <c r="AE289">
        <v>0</v>
      </c>
      <c r="AF289">
        <v>1</v>
      </c>
      <c r="AG289">
        <v>1</v>
      </c>
      <c r="AH289">
        <v>0</v>
      </c>
      <c r="AI289">
        <v>1</v>
      </c>
      <c r="AJ289">
        <v>1</v>
      </c>
      <c r="AK289">
        <v>0</v>
      </c>
      <c r="AL289">
        <v>1</v>
      </c>
      <c r="AM289">
        <v>0</v>
      </c>
      <c r="AN289">
        <v>0</v>
      </c>
      <c r="AO289">
        <v>0</v>
      </c>
      <c r="AP289">
        <v>0</v>
      </c>
      <c r="AQ289">
        <v>1</v>
      </c>
      <c r="AR289">
        <v>0</v>
      </c>
      <c r="AS289">
        <f t="shared" si="60"/>
        <v>6</v>
      </c>
      <c r="AT289">
        <f t="shared" si="61"/>
        <v>11</v>
      </c>
      <c r="AU289" s="3" t="s">
        <v>998</v>
      </c>
      <c r="AV289">
        <f t="shared" si="62"/>
        <v>1</v>
      </c>
      <c r="AW289">
        <f t="shared" si="63"/>
        <v>0</v>
      </c>
      <c r="AX289">
        <f t="shared" si="64"/>
        <v>1</v>
      </c>
      <c r="AY289">
        <v>29</v>
      </c>
      <c r="AZ289" t="s">
        <v>60</v>
      </c>
      <c r="BA289" t="s">
        <v>61</v>
      </c>
      <c r="BB289" t="s">
        <v>7</v>
      </c>
    </row>
    <row r="290" ht="409.5" spans="1:54">
      <c r="A290" t="s">
        <v>999</v>
      </c>
      <c r="B290" t="s">
        <v>55</v>
      </c>
      <c r="C290" t="s">
        <v>56</v>
      </c>
      <c r="D290">
        <v>91</v>
      </c>
      <c r="E290">
        <v>0</v>
      </c>
      <c r="F290">
        <v>54.6</v>
      </c>
      <c r="G290" t="s">
        <v>1000</v>
      </c>
      <c r="H290" s="3" t="s">
        <v>1001</v>
      </c>
      <c r="I290" s="3" t="s">
        <v>1001</v>
      </c>
      <c r="J290">
        <f t="shared" si="52"/>
        <v>1</v>
      </c>
      <c r="K290">
        <f t="shared" si="53"/>
        <v>1</v>
      </c>
      <c r="L290">
        <f t="shared" si="54"/>
        <v>1</v>
      </c>
      <c r="M290">
        <f t="shared" si="55"/>
        <v>1</v>
      </c>
      <c r="N290">
        <f t="shared" si="56"/>
        <v>0</v>
      </c>
      <c r="O290">
        <f t="shared" si="57"/>
        <v>1</v>
      </c>
      <c r="P290">
        <f t="shared" si="58"/>
        <v>1</v>
      </c>
      <c r="Q290">
        <f t="shared" si="59"/>
        <v>1</v>
      </c>
      <c r="R290">
        <v>1</v>
      </c>
      <c r="S290">
        <v>1</v>
      </c>
      <c r="T290">
        <v>1</v>
      </c>
      <c r="U290">
        <v>1</v>
      </c>
      <c r="V290">
        <v>1</v>
      </c>
      <c r="W290">
        <v>1</v>
      </c>
      <c r="X290">
        <v>1</v>
      </c>
      <c r="Y290">
        <v>1</v>
      </c>
      <c r="Z290">
        <v>1</v>
      </c>
      <c r="AA290">
        <v>1</v>
      </c>
      <c r="AB290">
        <v>1</v>
      </c>
      <c r="AC290">
        <v>1</v>
      </c>
      <c r="AD290">
        <v>1</v>
      </c>
      <c r="AE290">
        <v>0</v>
      </c>
      <c r="AF290">
        <v>0</v>
      </c>
      <c r="AG290">
        <v>0</v>
      </c>
      <c r="AH290">
        <v>0</v>
      </c>
      <c r="AI290">
        <v>1</v>
      </c>
      <c r="AJ290">
        <v>0</v>
      </c>
      <c r="AK290">
        <v>1</v>
      </c>
      <c r="AL290">
        <v>1</v>
      </c>
      <c r="AM290">
        <v>0</v>
      </c>
      <c r="AN290">
        <v>1</v>
      </c>
      <c r="AO290">
        <v>0</v>
      </c>
      <c r="AP290">
        <v>1</v>
      </c>
      <c r="AQ290">
        <v>1</v>
      </c>
      <c r="AR290">
        <v>1</v>
      </c>
      <c r="AS290">
        <f t="shared" si="60"/>
        <v>7</v>
      </c>
      <c r="AT290">
        <f t="shared" si="61"/>
        <v>20</v>
      </c>
      <c r="AU290" s="3" t="s">
        <v>1002</v>
      </c>
      <c r="AV290">
        <f t="shared" si="62"/>
        <v>1</v>
      </c>
      <c r="AW290">
        <f t="shared" si="63"/>
        <v>0</v>
      </c>
      <c r="AX290">
        <f t="shared" si="64"/>
        <v>1</v>
      </c>
      <c r="AY290">
        <v>212.5</v>
      </c>
      <c r="AZ290" t="s">
        <v>60</v>
      </c>
      <c r="BA290" t="s">
        <v>61</v>
      </c>
      <c r="BB290" t="s">
        <v>7</v>
      </c>
    </row>
    <row r="291" ht="152" spans="1:54">
      <c r="A291" t="s">
        <v>1003</v>
      </c>
      <c r="B291" t="s">
        <v>55</v>
      </c>
      <c r="C291" t="s">
        <v>116</v>
      </c>
      <c r="D291">
        <v>76</v>
      </c>
      <c r="E291">
        <v>4</v>
      </c>
      <c r="F291">
        <v>26.8</v>
      </c>
      <c r="G291" t="s">
        <v>1000</v>
      </c>
      <c r="H291" s="3" t="s">
        <v>1004</v>
      </c>
      <c r="I291" s="3" t="s">
        <v>1004</v>
      </c>
      <c r="J291">
        <f t="shared" si="52"/>
        <v>1</v>
      </c>
      <c r="K291">
        <f t="shared" si="53"/>
        <v>1</v>
      </c>
      <c r="L291">
        <f t="shared" si="54"/>
        <v>1</v>
      </c>
      <c r="M291">
        <f t="shared" si="55"/>
        <v>0</v>
      </c>
      <c r="N291">
        <f t="shared" si="56"/>
        <v>1</v>
      </c>
      <c r="O291">
        <f t="shared" si="57"/>
        <v>0</v>
      </c>
      <c r="P291">
        <f t="shared" si="58"/>
        <v>0</v>
      </c>
      <c r="Q291">
        <f t="shared" si="59"/>
        <v>1</v>
      </c>
      <c r="R291">
        <v>1</v>
      </c>
      <c r="S291">
        <v>0</v>
      </c>
      <c r="T291">
        <v>0</v>
      </c>
      <c r="U291">
        <v>1</v>
      </c>
      <c r="V291">
        <v>0</v>
      </c>
      <c r="W291">
        <v>1</v>
      </c>
      <c r="X291">
        <v>0</v>
      </c>
      <c r="Y291">
        <v>0</v>
      </c>
      <c r="Z291">
        <v>1</v>
      </c>
      <c r="AA291">
        <v>0</v>
      </c>
      <c r="AB291">
        <v>1</v>
      </c>
      <c r="AC291">
        <v>1</v>
      </c>
      <c r="AD291">
        <v>0</v>
      </c>
      <c r="AE291">
        <v>0</v>
      </c>
      <c r="AF291">
        <v>0</v>
      </c>
      <c r="AG291">
        <v>0</v>
      </c>
      <c r="AH291">
        <v>1</v>
      </c>
      <c r="AI291">
        <v>0</v>
      </c>
      <c r="AJ291">
        <v>0</v>
      </c>
      <c r="AK291">
        <v>0</v>
      </c>
      <c r="AL291">
        <v>0</v>
      </c>
      <c r="AM291">
        <v>0</v>
      </c>
      <c r="AN291">
        <v>0</v>
      </c>
      <c r="AO291">
        <v>0</v>
      </c>
      <c r="AP291">
        <v>0</v>
      </c>
      <c r="AQ291">
        <v>0</v>
      </c>
      <c r="AR291">
        <v>1</v>
      </c>
      <c r="AS291">
        <f t="shared" si="60"/>
        <v>5</v>
      </c>
      <c r="AT291">
        <f t="shared" si="61"/>
        <v>8</v>
      </c>
      <c r="AU291" s="3" t="s">
        <v>1005</v>
      </c>
      <c r="AV291">
        <f t="shared" si="62"/>
        <v>1</v>
      </c>
      <c r="AW291">
        <f t="shared" si="63"/>
        <v>0</v>
      </c>
      <c r="AX291">
        <f t="shared" si="64"/>
        <v>1</v>
      </c>
      <c r="AY291">
        <v>5</v>
      </c>
      <c r="AZ291" t="s">
        <v>60</v>
      </c>
      <c r="BA291" t="s">
        <v>61</v>
      </c>
      <c r="BB291" t="s">
        <v>7</v>
      </c>
    </row>
    <row r="292" ht="168" spans="1:54">
      <c r="A292" t="s">
        <v>1006</v>
      </c>
      <c r="B292" t="s">
        <v>55</v>
      </c>
      <c r="C292" t="s">
        <v>116</v>
      </c>
      <c r="D292">
        <v>88</v>
      </c>
      <c r="E292">
        <v>8</v>
      </c>
      <c r="F292">
        <v>53.2</v>
      </c>
      <c r="G292" t="s">
        <v>1007</v>
      </c>
      <c r="H292" s="3" t="s">
        <v>1008</v>
      </c>
      <c r="I292" s="3" t="s">
        <v>1008</v>
      </c>
      <c r="J292">
        <f t="shared" si="52"/>
        <v>1</v>
      </c>
      <c r="K292">
        <f t="shared" si="53"/>
        <v>0</v>
      </c>
      <c r="L292">
        <f t="shared" si="54"/>
        <v>0</v>
      </c>
      <c r="M292">
        <f t="shared" si="55"/>
        <v>0</v>
      </c>
      <c r="N292">
        <f t="shared" si="56"/>
        <v>1</v>
      </c>
      <c r="O292">
        <f t="shared" si="57"/>
        <v>0</v>
      </c>
      <c r="P292">
        <f t="shared" si="58"/>
        <v>0</v>
      </c>
      <c r="Q292">
        <f t="shared" si="59"/>
        <v>1</v>
      </c>
      <c r="R292">
        <v>0</v>
      </c>
      <c r="S292">
        <v>1</v>
      </c>
      <c r="T292">
        <v>1</v>
      </c>
      <c r="U292">
        <v>0</v>
      </c>
      <c r="V292">
        <v>0</v>
      </c>
      <c r="W292">
        <v>0</v>
      </c>
      <c r="X292">
        <v>0</v>
      </c>
      <c r="Y292">
        <v>0</v>
      </c>
      <c r="Z292">
        <v>0</v>
      </c>
      <c r="AA292">
        <v>0</v>
      </c>
      <c r="AB292">
        <v>0</v>
      </c>
      <c r="AC292">
        <v>0</v>
      </c>
      <c r="AD292">
        <v>0</v>
      </c>
      <c r="AE292">
        <v>0</v>
      </c>
      <c r="AF292">
        <v>0</v>
      </c>
      <c r="AG292">
        <v>1</v>
      </c>
      <c r="AH292">
        <v>1</v>
      </c>
      <c r="AI292">
        <v>0</v>
      </c>
      <c r="AJ292">
        <v>0</v>
      </c>
      <c r="AK292">
        <v>0</v>
      </c>
      <c r="AL292">
        <v>0</v>
      </c>
      <c r="AM292">
        <v>0</v>
      </c>
      <c r="AN292">
        <v>0</v>
      </c>
      <c r="AO292">
        <v>0</v>
      </c>
      <c r="AP292">
        <v>0</v>
      </c>
      <c r="AQ292">
        <v>0</v>
      </c>
      <c r="AR292">
        <v>1</v>
      </c>
      <c r="AS292">
        <f t="shared" si="60"/>
        <v>3</v>
      </c>
      <c r="AT292">
        <f t="shared" si="61"/>
        <v>5</v>
      </c>
      <c r="AU292" s="3" t="s">
        <v>1009</v>
      </c>
      <c r="AV292">
        <f t="shared" si="62"/>
        <v>1</v>
      </c>
      <c r="AW292">
        <f t="shared" si="63"/>
        <v>0</v>
      </c>
      <c r="AX292">
        <f t="shared" si="64"/>
        <v>0</v>
      </c>
      <c r="AY292">
        <v>-2</v>
      </c>
      <c r="AZ292" t="s">
        <v>133</v>
      </c>
      <c r="BA292" t="s">
        <v>134</v>
      </c>
      <c r="BB292" t="s">
        <v>7</v>
      </c>
    </row>
    <row r="293" ht="336" spans="1:54">
      <c r="A293" t="s">
        <v>1010</v>
      </c>
      <c r="B293" t="s">
        <v>55</v>
      </c>
      <c r="C293" t="s">
        <v>116</v>
      </c>
      <c r="D293">
        <v>49</v>
      </c>
      <c r="E293">
        <v>4</v>
      </c>
      <c r="F293">
        <v>99.5</v>
      </c>
      <c r="G293" t="s">
        <v>1011</v>
      </c>
      <c r="H293" s="3" t="s">
        <v>1012</v>
      </c>
      <c r="I293" s="3" t="s">
        <v>1012</v>
      </c>
      <c r="J293">
        <f t="shared" si="52"/>
        <v>1</v>
      </c>
      <c r="K293">
        <f t="shared" si="53"/>
        <v>1</v>
      </c>
      <c r="L293">
        <f t="shared" si="54"/>
        <v>1</v>
      </c>
      <c r="M293">
        <f t="shared" si="55"/>
        <v>1</v>
      </c>
      <c r="N293">
        <f t="shared" si="56"/>
        <v>1</v>
      </c>
      <c r="O293">
        <f t="shared" si="57"/>
        <v>1</v>
      </c>
      <c r="P293">
        <f t="shared" si="58"/>
        <v>0</v>
      </c>
      <c r="Q293">
        <f t="shared" si="59"/>
        <v>1</v>
      </c>
      <c r="R293">
        <v>1</v>
      </c>
      <c r="S293">
        <v>0</v>
      </c>
      <c r="T293">
        <v>1</v>
      </c>
      <c r="U293">
        <v>1</v>
      </c>
      <c r="V293">
        <v>1</v>
      </c>
      <c r="W293">
        <v>1</v>
      </c>
      <c r="X293">
        <v>0</v>
      </c>
      <c r="Y293">
        <v>0</v>
      </c>
      <c r="Z293">
        <v>1</v>
      </c>
      <c r="AA293">
        <v>0</v>
      </c>
      <c r="AB293">
        <v>1</v>
      </c>
      <c r="AC293">
        <v>0</v>
      </c>
      <c r="AD293">
        <v>1</v>
      </c>
      <c r="AE293">
        <v>1</v>
      </c>
      <c r="AF293">
        <v>0</v>
      </c>
      <c r="AG293">
        <v>0</v>
      </c>
      <c r="AH293">
        <v>1</v>
      </c>
      <c r="AI293">
        <v>1</v>
      </c>
      <c r="AJ293">
        <v>0</v>
      </c>
      <c r="AK293">
        <v>0</v>
      </c>
      <c r="AL293">
        <v>0</v>
      </c>
      <c r="AM293">
        <v>0</v>
      </c>
      <c r="AN293">
        <v>0</v>
      </c>
      <c r="AO293">
        <v>0</v>
      </c>
      <c r="AP293">
        <v>0</v>
      </c>
      <c r="AQ293">
        <v>0</v>
      </c>
      <c r="AR293">
        <v>1</v>
      </c>
      <c r="AS293">
        <f t="shared" si="60"/>
        <v>7</v>
      </c>
      <c r="AT293">
        <f t="shared" si="61"/>
        <v>12</v>
      </c>
      <c r="AU293" s="3" t="s">
        <v>1013</v>
      </c>
      <c r="AV293">
        <f t="shared" si="62"/>
        <v>1</v>
      </c>
      <c r="AW293">
        <f t="shared" si="63"/>
        <v>0</v>
      </c>
      <c r="AX293">
        <f t="shared" si="64"/>
        <v>1</v>
      </c>
      <c r="AY293">
        <v>-12.5</v>
      </c>
      <c r="AZ293" t="s">
        <v>133</v>
      </c>
      <c r="BA293" t="s">
        <v>134</v>
      </c>
      <c r="BB293" t="s">
        <v>7</v>
      </c>
    </row>
    <row r="294" ht="409.5" spans="1:54">
      <c r="A294" t="s">
        <v>1014</v>
      </c>
      <c r="B294" t="s">
        <v>55</v>
      </c>
      <c r="C294" t="s">
        <v>56</v>
      </c>
      <c r="D294">
        <v>576</v>
      </c>
      <c r="E294">
        <v>14</v>
      </c>
      <c r="F294">
        <v>78.3</v>
      </c>
      <c r="G294" t="s">
        <v>1015</v>
      </c>
      <c r="H294" s="3" t="s">
        <v>1016</v>
      </c>
      <c r="I294" s="3" t="s">
        <v>1016</v>
      </c>
      <c r="J294">
        <f t="shared" si="52"/>
        <v>1</v>
      </c>
      <c r="K294">
        <f t="shared" si="53"/>
        <v>1</v>
      </c>
      <c r="L294">
        <f t="shared" si="54"/>
        <v>1</v>
      </c>
      <c r="M294">
        <f t="shared" si="55"/>
        <v>1</v>
      </c>
      <c r="N294">
        <f t="shared" si="56"/>
        <v>1</v>
      </c>
      <c r="O294">
        <f t="shared" si="57"/>
        <v>1</v>
      </c>
      <c r="P294">
        <f t="shared" si="58"/>
        <v>1</v>
      </c>
      <c r="Q294">
        <f t="shared" si="59"/>
        <v>1</v>
      </c>
      <c r="R294">
        <v>1</v>
      </c>
      <c r="S294">
        <v>1</v>
      </c>
      <c r="T294">
        <v>1</v>
      </c>
      <c r="U294">
        <v>1</v>
      </c>
      <c r="V294">
        <v>1</v>
      </c>
      <c r="W294">
        <v>1</v>
      </c>
      <c r="X294">
        <v>1</v>
      </c>
      <c r="Y294">
        <v>0</v>
      </c>
      <c r="Z294">
        <v>1</v>
      </c>
      <c r="AA294">
        <v>1</v>
      </c>
      <c r="AB294">
        <v>1</v>
      </c>
      <c r="AC294">
        <v>1</v>
      </c>
      <c r="AD294">
        <v>1</v>
      </c>
      <c r="AE294">
        <v>0</v>
      </c>
      <c r="AF294">
        <v>0</v>
      </c>
      <c r="AG294">
        <v>1</v>
      </c>
      <c r="AH294">
        <v>1</v>
      </c>
      <c r="AI294">
        <v>1</v>
      </c>
      <c r="AJ294">
        <v>1</v>
      </c>
      <c r="AK294">
        <v>0</v>
      </c>
      <c r="AL294">
        <v>1</v>
      </c>
      <c r="AM294">
        <v>0</v>
      </c>
      <c r="AN294">
        <v>0</v>
      </c>
      <c r="AO294">
        <v>0</v>
      </c>
      <c r="AP294">
        <v>1</v>
      </c>
      <c r="AQ294">
        <v>1</v>
      </c>
      <c r="AR294">
        <v>1</v>
      </c>
      <c r="AS294">
        <f t="shared" si="60"/>
        <v>8</v>
      </c>
      <c r="AT294">
        <f t="shared" si="61"/>
        <v>20</v>
      </c>
      <c r="AU294" s="3" t="s">
        <v>1017</v>
      </c>
      <c r="AV294">
        <f t="shared" si="62"/>
        <v>1</v>
      </c>
      <c r="AW294">
        <f t="shared" si="63"/>
        <v>0</v>
      </c>
      <c r="AX294">
        <f t="shared" si="64"/>
        <v>1</v>
      </c>
      <c r="AY294">
        <v>58</v>
      </c>
      <c r="AZ294" t="s">
        <v>60</v>
      </c>
      <c r="BA294" t="s">
        <v>61</v>
      </c>
      <c r="BB294" t="s">
        <v>7</v>
      </c>
    </row>
    <row r="295" ht="409.5" spans="1:54">
      <c r="A295" t="s">
        <v>1018</v>
      </c>
      <c r="B295" t="s">
        <v>55</v>
      </c>
      <c r="C295" t="s">
        <v>56</v>
      </c>
      <c r="D295">
        <v>1778</v>
      </c>
      <c r="E295">
        <v>47</v>
      </c>
      <c r="F295">
        <v>69.8</v>
      </c>
      <c r="G295" t="s">
        <v>878</v>
      </c>
      <c r="H295" s="3" t="s">
        <v>1019</v>
      </c>
      <c r="I295" s="3" t="s">
        <v>1019</v>
      </c>
      <c r="J295">
        <f t="shared" si="52"/>
        <v>1</v>
      </c>
      <c r="K295">
        <f t="shared" si="53"/>
        <v>1</v>
      </c>
      <c r="L295">
        <f t="shared" si="54"/>
        <v>1</v>
      </c>
      <c r="M295">
        <f t="shared" si="55"/>
        <v>1</v>
      </c>
      <c r="N295">
        <f t="shared" si="56"/>
        <v>1</v>
      </c>
      <c r="O295">
        <f t="shared" si="57"/>
        <v>1</v>
      </c>
      <c r="P295">
        <f t="shared" si="58"/>
        <v>1</v>
      </c>
      <c r="Q295">
        <f t="shared" si="59"/>
        <v>1</v>
      </c>
      <c r="R295">
        <v>1</v>
      </c>
      <c r="S295">
        <v>1</v>
      </c>
      <c r="T295">
        <v>1</v>
      </c>
      <c r="U295">
        <v>1</v>
      </c>
      <c r="V295">
        <v>1</v>
      </c>
      <c r="W295">
        <v>1</v>
      </c>
      <c r="X295">
        <v>0</v>
      </c>
      <c r="Y295">
        <v>1</v>
      </c>
      <c r="Z295">
        <v>1</v>
      </c>
      <c r="AA295">
        <v>0</v>
      </c>
      <c r="AB295">
        <v>1</v>
      </c>
      <c r="AC295">
        <v>1</v>
      </c>
      <c r="AD295">
        <v>1</v>
      </c>
      <c r="AE295">
        <v>0</v>
      </c>
      <c r="AF295">
        <v>0</v>
      </c>
      <c r="AG295">
        <v>0</v>
      </c>
      <c r="AH295">
        <v>1</v>
      </c>
      <c r="AI295">
        <v>1</v>
      </c>
      <c r="AJ295">
        <v>0</v>
      </c>
      <c r="AK295">
        <v>1</v>
      </c>
      <c r="AL295">
        <v>0</v>
      </c>
      <c r="AM295">
        <v>0</v>
      </c>
      <c r="AN295">
        <v>0</v>
      </c>
      <c r="AO295">
        <v>0</v>
      </c>
      <c r="AP295">
        <v>1</v>
      </c>
      <c r="AQ295">
        <v>0</v>
      </c>
      <c r="AR295">
        <v>1</v>
      </c>
      <c r="AS295">
        <f t="shared" si="60"/>
        <v>8</v>
      </c>
      <c r="AT295">
        <f t="shared" si="61"/>
        <v>16</v>
      </c>
      <c r="AU295" s="3" t="s">
        <v>1020</v>
      </c>
      <c r="AV295">
        <f t="shared" si="62"/>
        <v>1</v>
      </c>
      <c r="AW295">
        <f t="shared" si="63"/>
        <v>0</v>
      </c>
      <c r="AX295">
        <f t="shared" si="64"/>
        <v>1</v>
      </c>
      <c r="AY295">
        <v>30.5</v>
      </c>
      <c r="AZ295" t="s">
        <v>60</v>
      </c>
      <c r="BA295" t="s">
        <v>61</v>
      </c>
      <c r="BB295" t="s">
        <v>7</v>
      </c>
    </row>
    <row r="296" ht="409.5" spans="1:54">
      <c r="A296" t="s">
        <v>1021</v>
      </c>
      <c r="B296" t="s">
        <v>55</v>
      </c>
      <c r="C296" t="s">
        <v>56</v>
      </c>
      <c r="D296">
        <v>504</v>
      </c>
      <c r="E296">
        <v>25</v>
      </c>
      <c r="F296">
        <v>52.9</v>
      </c>
      <c r="G296" t="s">
        <v>878</v>
      </c>
      <c r="H296" s="3" t="s">
        <v>1022</v>
      </c>
      <c r="I296" s="3" t="s">
        <v>1022</v>
      </c>
      <c r="J296">
        <f t="shared" si="52"/>
        <v>1</v>
      </c>
      <c r="K296">
        <f t="shared" si="53"/>
        <v>1</v>
      </c>
      <c r="L296">
        <f t="shared" si="54"/>
        <v>1</v>
      </c>
      <c r="M296">
        <f t="shared" si="55"/>
        <v>0</v>
      </c>
      <c r="N296">
        <f t="shared" si="56"/>
        <v>1</v>
      </c>
      <c r="O296">
        <f t="shared" si="57"/>
        <v>1</v>
      </c>
      <c r="P296">
        <f t="shared" si="58"/>
        <v>1</v>
      </c>
      <c r="Q296">
        <f t="shared" si="59"/>
        <v>1</v>
      </c>
      <c r="R296">
        <v>1</v>
      </c>
      <c r="S296">
        <v>1</v>
      </c>
      <c r="T296">
        <v>1</v>
      </c>
      <c r="U296">
        <v>1</v>
      </c>
      <c r="V296">
        <v>1</v>
      </c>
      <c r="W296">
        <v>1</v>
      </c>
      <c r="X296">
        <v>0</v>
      </c>
      <c r="Y296">
        <v>0</v>
      </c>
      <c r="Z296">
        <v>1</v>
      </c>
      <c r="AA296">
        <v>0</v>
      </c>
      <c r="AB296">
        <v>1</v>
      </c>
      <c r="AC296">
        <v>1</v>
      </c>
      <c r="AD296">
        <v>0</v>
      </c>
      <c r="AE296">
        <v>0</v>
      </c>
      <c r="AF296">
        <v>0</v>
      </c>
      <c r="AG296">
        <v>1</v>
      </c>
      <c r="AH296">
        <v>1</v>
      </c>
      <c r="AI296">
        <v>1</v>
      </c>
      <c r="AJ296">
        <v>1</v>
      </c>
      <c r="AK296">
        <v>1</v>
      </c>
      <c r="AL296">
        <v>1</v>
      </c>
      <c r="AM296">
        <v>1</v>
      </c>
      <c r="AN296">
        <v>0</v>
      </c>
      <c r="AO296">
        <v>0</v>
      </c>
      <c r="AP296">
        <v>0</v>
      </c>
      <c r="AQ296">
        <v>0</v>
      </c>
      <c r="AR296">
        <v>1</v>
      </c>
      <c r="AS296">
        <f t="shared" si="60"/>
        <v>7</v>
      </c>
      <c r="AT296">
        <f t="shared" si="61"/>
        <v>17</v>
      </c>
      <c r="AU296" s="3" t="s">
        <v>1023</v>
      </c>
      <c r="AV296">
        <f t="shared" si="62"/>
        <v>1</v>
      </c>
      <c r="AW296">
        <f t="shared" si="63"/>
        <v>0</v>
      </c>
      <c r="AX296">
        <f t="shared" si="64"/>
        <v>1</v>
      </c>
      <c r="AY296">
        <v>59</v>
      </c>
      <c r="AZ296" t="s">
        <v>60</v>
      </c>
      <c r="BA296" t="s">
        <v>61</v>
      </c>
      <c r="BB296" t="s">
        <v>7</v>
      </c>
    </row>
    <row r="297" ht="118" spans="1:54">
      <c r="A297" t="s">
        <v>1024</v>
      </c>
      <c r="B297" t="s">
        <v>55</v>
      </c>
      <c r="C297" t="s">
        <v>56</v>
      </c>
      <c r="D297">
        <v>343</v>
      </c>
      <c r="E297">
        <v>31</v>
      </c>
      <c r="F297">
        <v>1042.8</v>
      </c>
      <c r="G297" t="s">
        <v>878</v>
      </c>
      <c r="H297" s="3" t="s">
        <v>1025</v>
      </c>
      <c r="I297" s="3" t="s">
        <v>1025</v>
      </c>
      <c r="J297">
        <f t="shared" si="52"/>
        <v>0</v>
      </c>
      <c r="K297">
        <f t="shared" si="53"/>
        <v>1</v>
      </c>
      <c r="L297">
        <f t="shared" si="54"/>
        <v>0</v>
      </c>
      <c r="M297">
        <f t="shared" si="55"/>
        <v>0</v>
      </c>
      <c r="N297">
        <f t="shared" si="56"/>
        <v>1</v>
      </c>
      <c r="O297">
        <f t="shared" si="57"/>
        <v>0</v>
      </c>
      <c r="P297">
        <f t="shared" si="58"/>
        <v>0</v>
      </c>
      <c r="Q297">
        <f t="shared" si="59"/>
        <v>1</v>
      </c>
      <c r="R297">
        <v>0</v>
      </c>
      <c r="S297">
        <v>0</v>
      </c>
      <c r="T297">
        <v>0</v>
      </c>
      <c r="U297">
        <v>1</v>
      </c>
      <c r="V297">
        <v>0</v>
      </c>
      <c r="W297">
        <v>0</v>
      </c>
      <c r="X297">
        <v>0</v>
      </c>
      <c r="Y297">
        <v>0</v>
      </c>
      <c r="Z297">
        <v>0</v>
      </c>
      <c r="AA297">
        <v>0</v>
      </c>
      <c r="AB297">
        <v>0</v>
      </c>
      <c r="AC297">
        <v>0</v>
      </c>
      <c r="AD297">
        <v>0</v>
      </c>
      <c r="AE297">
        <v>0</v>
      </c>
      <c r="AF297">
        <v>0</v>
      </c>
      <c r="AG297">
        <v>0</v>
      </c>
      <c r="AH297">
        <v>1</v>
      </c>
      <c r="AI297">
        <v>0</v>
      </c>
      <c r="AJ297">
        <v>0</v>
      </c>
      <c r="AK297">
        <v>0</v>
      </c>
      <c r="AL297">
        <v>0</v>
      </c>
      <c r="AM297">
        <v>0</v>
      </c>
      <c r="AN297">
        <v>0</v>
      </c>
      <c r="AO297">
        <v>0</v>
      </c>
      <c r="AP297">
        <v>0</v>
      </c>
      <c r="AQ297">
        <v>0</v>
      </c>
      <c r="AR297">
        <v>1</v>
      </c>
      <c r="AS297">
        <f t="shared" si="60"/>
        <v>3</v>
      </c>
      <c r="AT297">
        <f t="shared" si="61"/>
        <v>3</v>
      </c>
      <c r="AU297" s="3" t="s">
        <v>1026</v>
      </c>
      <c r="AV297">
        <f t="shared" si="62"/>
        <v>1</v>
      </c>
      <c r="AW297">
        <f t="shared" si="63"/>
        <v>0</v>
      </c>
      <c r="AX297">
        <f t="shared" si="64"/>
        <v>0</v>
      </c>
      <c r="AY297">
        <v>10</v>
      </c>
      <c r="AZ297" t="s">
        <v>60</v>
      </c>
      <c r="BA297" t="s">
        <v>61</v>
      </c>
      <c r="BB297" t="s">
        <v>7</v>
      </c>
    </row>
    <row r="298" ht="409.5" spans="1:54">
      <c r="A298" t="s">
        <v>1027</v>
      </c>
      <c r="B298" t="s">
        <v>55</v>
      </c>
      <c r="C298" t="s">
        <v>56</v>
      </c>
      <c r="D298">
        <v>41</v>
      </c>
      <c r="E298">
        <v>1</v>
      </c>
      <c r="F298">
        <v>97.7</v>
      </c>
      <c r="G298" t="s">
        <v>878</v>
      </c>
      <c r="H298" s="3" t="s">
        <v>1028</v>
      </c>
      <c r="I298" s="3" t="s">
        <v>1028</v>
      </c>
      <c r="J298">
        <f t="shared" si="52"/>
        <v>1</v>
      </c>
      <c r="K298">
        <f t="shared" si="53"/>
        <v>1</v>
      </c>
      <c r="L298">
        <f t="shared" si="54"/>
        <v>1</v>
      </c>
      <c r="M298">
        <f t="shared" si="55"/>
        <v>1</v>
      </c>
      <c r="N298">
        <f t="shared" si="56"/>
        <v>1</v>
      </c>
      <c r="O298">
        <f t="shared" si="57"/>
        <v>1</v>
      </c>
      <c r="P298">
        <f t="shared" si="58"/>
        <v>1</v>
      </c>
      <c r="Q298">
        <f t="shared" si="59"/>
        <v>1</v>
      </c>
      <c r="R298">
        <v>1</v>
      </c>
      <c r="S298">
        <v>1</v>
      </c>
      <c r="T298">
        <v>1</v>
      </c>
      <c r="U298">
        <v>1</v>
      </c>
      <c r="V298">
        <v>1</v>
      </c>
      <c r="W298">
        <v>1</v>
      </c>
      <c r="X298">
        <v>1</v>
      </c>
      <c r="Y298">
        <v>1</v>
      </c>
      <c r="Z298">
        <v>1</v>
      </c>
      <c r="AA298">
        <v>1</v>
      </c>
      <c r="AB298">
        <v>1</v>
      </c>
      <c r="AC298">
        <v>0</v>
      </c>
      <c r="AD298">
        <v>1</v>
      </c>
      <c r="AE298">
        <v>1</v>
      </c>
      <c r="AF298">
        <v>0</v>
      </c>
      <c r="AG298">
        <v>0</v>
      </c>
      <c r="AH298">
        <v>1</v>
      </c>
      <c r="AI298">
        <v>1</v>
      </c>
      <c r="AJ298">
        <v>1</v>
      </c>
      <c r="AK298">
        <v>1</v>
      </c>
      <c r="AL298">
        <v>1</v>
      </c>
      <c r="AM298">
        <v>0</v>
      </c>
      <c r="AN298">
        <v>1</v>
      </c>
      <c r="AO298">
        <v>0</v>
      </c>
      <c r="AP298">
        <v>1</v>
      </c>
      <c r="AQ298">
        <v>1</v>
      </c>
      <c r="AR298">
        <v>1</v>
      </c>
      <c r="AS298">
        <f t="shared" si="60"/>
        <v>8</v>
      </c>
      <c r="AT298">
        <f t="shared" si="61"/>
        <v>22</v>
      </c>
      <c r="AU298" s="3" t="s">
        <v>1029</v>
      </c>
      <c r="AV298">
        <f t="shared" si="62"/>
        <v>1</v>
      </c>
      <c r="AW298">
        <f t="shared" si="63"/>
        <v>0</v>
      </c>
      <c r="AX298">
        <f t="shared" si="64"/>
        <v>1</v>
      </c>
      <c r="AY298">
        <v>62.5</v>
      </c>
      <c r="AZ298" t="s">
        <v>60</v>
      </c>
      <c r="BA298" t="s">
        <v>61</v>
      </c>
      <c r="BB298" t="s">
        <v>7</v>
      </c>
    </row>
    <row r="299" ht="370" spans="1:54">
      <c r="A299" t="s">
        <v>1030</v>
      </c>
      <c r="B299" t="s">
        <v>55</v>
      </c>
      <c r="C299" t="s">
        <v>56</v>
      </c>
      <c r="D299">
        <v>22</v>
      </c>
      <c r="E299">
        <v>0</v>
      </c>
      <c r="F299">
        <v>20.7</v>
      </c>
      <c r="G299" t="s">
        <v>878</v>
      </c>
      <c r="H299" s="3" t="s">
        <v>1031</v>
      </c>
      <c r="I299" s="3" t="s">
        <v>1031</v>
      </c>
      <c r="J299">
        <f t="shared" si="52"/>
        <v>1</v>
      </c>
      <c r="K299">
        <f t="shared" si="53"/>
        <v>1</v>
      </c>
      <c r="L299">
        <f t="shared" si="54"/>
        <v>1</v>
      </c>
      <c r="M299">
        <f t="shared" si="55"/>
        <v>1</v>
      </c>
      <c r="N299">
        <f t="shared" si="56"/>
        <v>1</v>
      </c>
      <c r="O299">
        <f t="shared" si="57"/>
        <v>1</v>
      </c>
      <c r="P299">
        <f t="shared" si="58"/>
        <v>1</v>
      </c>
      <c r="Q299">
        <f t="shared" si="59"/>
        <v>0</v>
      </c>
      <c r="R299">
        <v>1</v>
      </c>
      <c r="S299">
        <v>0</v>
      </c>
      <c r="T299">
        <v>0</v>
      </c>
      <c r="U299">
        <v>1</v>
      </c>
      <c r="V299">
        <v>1</v>
      </c>
      <c r="W299">
        <v>1</v>
      </c>
      <c r="X299">
        <v>0</v>
      </c>
      <c r="Y299">
        <v>0</v>
      </c>
      <c r="Z299">
        <v>1</v>
      </c>
      <c r="AA299">
        <v>1</v>
      </c>
      <c r="AB299">
        <v>1</v>
      </c>
      <c r="AC299">
        <v>0</v>
      </c>
      <c r="AD299">
        <v>1</v>
      </c>
      <c r="AE299">
        <v>0</v>
      </c>
      <c r="AF299">
        <v>0</v>
      </c>
      <c r="AG299">
        <v>0</v>
      </c>
      <c r="AH299">
        <v>1</v>
      </c>
      <c r="AI299">
        <v>1</v>
      </c>
      <c r="AJ299">
        <v>0</v>
      </c>
      <c r="AK299">
        <v>0</v>
      </c>
      <c r="AL299">
        <v>0</v>
      </c>
      <c r="AM299">
        <v>0</v>
      </c>
      <c r="AN299">
        <v>1</v>
      </c>
      <c r="AO299">
        <v>0</v>
      </c>
      <c r="AP299">
        <v>0</v>
      </c>
      <c r="AQ299">
        <v>0</v>
      </c>
      <c r="AR299">
        <v>0</v>
      </c>
      <c r="AS299">
        <f t="shared" si="60"/>
        <v>7</v>
      </c>
      <c r="AT299">
        <f t="shared" si="61"/>
        <v>11</v>
      </c>
      <c r="AU299" s="3" t="s">
        <v>1032</v>
      </c>
      <c r="AV299">
        <f t="shared" si="62"/>
        <v>1</v>
      </c>
      <c r="AW299">
        <f t="shared" si="63"/>
        <v>0</v>
      </c>
      <c r="AX299">
        <f t="shared" si="64"/>
        <v>1</v>
      </c>
      <c r="AY299">
        <v>31.5</v>
      </c>
      <c r="AZ299" t="s">
        <v>60</v>
      </c>
      <c r="BA299" t="s">
        <v>61</v>
      </c>
      <c r="BB299" t="s">
        <v>7</v>
      </c>
    </row>
    <row r="300" ht="409.5" spans="1:54">
      <c r="A300" t="s">
        <v>1033</v>
      </c>
      <c r="B300" t="s">
        <v>55</v>
      </c>
      <c r="C300" t="s">
        <v>56</v>
      </c>
      <c r="D300">
        <v>388</v>
      </c>
      <c r="E300">
        <v>13</v>
      </c>
      <c r="F300">
        <v>82.1</v>
      </c>
      <c r="G300" t="s">
        <v>1034</v>
      </c>
      <c r="H300" s="3" t="s">
        <v>1035</v>
      </c>
      <c r="I300" s="3" t="s">
        <v>1035</v>
      </c>
      <c r="J300">
        <f t="shared" si="52"/>
        <v>1</v>
      </c>
      <c r="K300">
        <f t="shared" si="53"/>
        <v>1</v>
      </c>
      <c r="L300">
        <f t="shared" si="54"/>
        <v>1</v>
      </c>
      <c r="M300">
        <f t="shared" si="55"/>
        <v>1</v>
      </c>
      <c r="N300">
        <f t="shared" si="56"/>
        <v>1</v>
      </c>
      <c r="O300">
        <f t="shared" si="57"/>
        <v>1</v>
      </c>
      <c r="P300">
        <f t="shared" si="58"/>
        <v>1</v>
      </c>
      <c r="Q300">
        <f t="shared" si="59"/>
        <v>1</v>
      </c>
      <c r="R300">
        <v>1</v>
      </c>
      <c r="S300">
        <v>1</v>
      </c>
      <c r="T300">
        <v>1</v>
      </c>
      <c r="U300">
        <v>1</v>
      </c>
      <c r="V300">
        <v>1</v>
      </c>
      <c r="W300">
        <v>1</v>
      </c>
      <c r="X300">
        <v>0</v>
      </c>
      <c r="Y300">
        <v>0</v>
      </c>
      <c r="Z300">
        <v>1</v>
      </c>
      <c r="AA300">
        <v>1</v>
      </c>
      <c r="AB300">
        <v>1</v>
      </c>
      <c r="AC300">
        <v>1</v>
      </c>
      <c r="AD300">
        <v>0</v>
      </c>
      <c r="AE300">
        <v>1</v>
      </c>
      <c r="AF300">
        <v>1</v>
      </c>
      <c r="AG300">
        <v>1</v>
      </c>
      <c r="AH300">
        <v>0</v>
      </c>
      <c r="AI300">
        <v>1</v>
      </c>
      <c r="AJ300">
        <v>1</v>
      </c>
      <c r="AK300">
        <v>1</v>
      </c>
      <c r="AL300">
        <v>1</v>
      </c>
      <c r="AM300">
        <v>0</v>
      </c>
      <c r="AN300">
        <v>1</v>
      </c>
      <c r="AO300">
        <v>0</v>
      </c>
      <c r="AP300">
        <v>0</v>
      </c>
      <c r="AQ300">
        <v>1</v>
      </c>
      <c r="AR300">
        <v>1</v>
      </c>
      <c r="AS300">
        <f t="shared" si="60"/>
        <v>8</v>
      </c>
      <c r="AT300">
        <f t="shared" si="61"/>
        <v>20</v>
      </c>
      <c r="AU300" s="3" t="s">
        <v>1036</v>
      </c>
      <c r="AV300">
        <f t="shared" si="62"/>
        <v>1</v>
      </c>
      <c r="AW300">
        <f t="shared" si="63"/>
        <v>0</v>
      </c>
      <c r="AX300">
        <f t="shared" si="64"/>
        <v>1</v>
      </c>
      <c r="AY300">
        <v>73</v>
      </c>
      <c r="AZ300" t="s">
        <v>60</v>
      </c>
      <c r="BA300" t="s">
        <v>61</v>
      </c>
      <c r="BB300" t="s">
        <v>7</v>
      </c>
    </row>
    <row r="301" ht="409.5" spans="1:54">
      <c r="A301" t="s">
        <v>1037</v>
      </c>
      <c r="B301" t="s">
        <v>55</v>
      </c>
      <c r="C301" t="s">
        <v>56</v>
      </c>
      <c r="D301">
        <v>60</v>
      </c>
      <c r="E301">
        <v>5</v>
      </c>
      <c r="F301">
        <v>34.2</v>
      </c>
      <c r="G301" t="s">
        <v>1034</v>
      </c>
      <c r="H301" s="3" t="s">
        <v>1038</v>
      </c>
      <c r="I301" s="3" t="s">
        <v>1038</v>
      </c>
      <c r="J301">
        <f t="shared" si="52"/>
        <v>1</v>
      </c>
      <c r="K301">
        <f t="shared" si="53"/>
        <v>1</v>
      </c>
      <c r="L301">
        <f t="shared" si="54"/>
        <v>1</v>
      </c>
      <c r="M301">
        <f t="shared" si="55"/>
        <v>1</v>
      </c>
      <c r="N301">
        <f t="shared" si="56"/>
        <v>1</v>
      </c>
      <c r="O301">
        <f t="shared" si="57"/>
        <v>1</v>
      </c>
      <c r="P301">
        <f t="shared" si="58"/>
        <v>1</v>
      </c>
      <c r="Q301">
        <f t="shared" si="59"/>
        <v>1</v>
      </c>
      <c r="R301">
        <v>1</v>
      </c>
      <c r="S301">
        <v>1</v>
      </c>
      <c r="T301">
        <v>0</v>
      </c>
      <c r="U301">
        <v>1</v>
      </c>
      <c r="V301">
        <v>1</v>
      </c>
      <c r="W301">
        <v>1</v>
      </c>
      <c r="X301">
        <v>1</v>
      </c>
      <c r="Y301">
        <v>1</v>
      </c>
      <c r="Z301">
        <v>1</v>
      </c>
      <c r="AA301">
        <v>1</v>
      </c>
      <c r="AB301">
        <v>1</v>
      </c>
      <c r="AC301">
        <v>1</v>
      </c>
      <c r="AD301">
        <v>1</v>
      </c>
      <c r="AE301">
        <v>1</v>
      </c>
      <c r="AF301">
        <v>1</v>
      </c>
      <c r="AG301">
        <v>0</v>
      </c>
      <c r="AH301">
        <v>1</v>
      </c>
      <c r="AI301">
        <v>1</v>
      </c>
      <c r="AJ301">
        <v>0</v>
      </c>
      <c r="AK301">
        <v>0</v>
      </c>
      <c r="AL301">
        <v>1</v>
      </c>
      <c r="AM301">
        <v>0</v>
      </c>
      <c r="AN301">
        <v>0</v>
      </c>
      <c r="AO301">
        <v>0</v>
      </c>
      <c r="AP301">
        <v>1</v>
      </c>
      <c r="AQ301">
        <v>0</v>
      </c>
      <c r="AR301">
        <v>1</v>
      </c>
      <c r="AS301">
        <f t="shared" si="60"/>
        <v>8</v>
      </c>
      <c r="AT301">
        <f t="shared" si="61"/>
        <v>19</v>
      </c>
      <c r="AU301" s="3" t="s">
        <v>1039</v>
      </c>
      <c r="AV301">
        <f t="shared" si="62"/>
        <v>1</v>
      </c>
      <c r="AW301">
        <f t="shared" si="63"/>
        <v>0</v>
      </c>
      <c r="AX301">
        <f t="shared" si="64"/>
        <v>1</v>
      </c>
      <c r="AY301">
        <v>27</v>
      </c>
      <c r="AZ301" t="s">
        <v>60</v>
      </c>
      <c r="BA301" t="s">
        <v>61</v>
      </c>
      <c r="BB301" t="s">
        <v>7</v>
      </c>
    </row>
    <row r="302" ht="51" spans="1:54">
      <c r="A302" t="s">
        <v>1040</v>
      </c>
      <c r="B302" t="s">
        <v>1041</v>
      </c>
      <c r="C302" t="s">
        <v>116</v>
      </c>
      <c r="D302">
        <v>7</v>
      </c>
      <c r="E302">
        <v>0</v>
      </c>
      <c r="F302">
        <v>0.6</v>
      </c>
      <c r="G302" t="s">
        <v>57</v>
      </c>
      <c r="H302" s="3" t="s">
        <v>1042</v>
      </c>
      <c r="I302" s="3" t="s">
        <v>1043</v>
      </c>
      <c r="J302">
        <f t="shared" si="52"/>
        <v>0</v>
      </c>
      <c r="K302">
        <f t="shared" si="53"/>
        <v>1</v>
      </c>
      <c r="L302">
        <f t="shared" si="54"/>
        <v>0</v>
      </c>
      <c r="M302">
        <f t="shared" si="55"/>
        <v>1</v>
      </c>
      <c r="N302">
        <f t="shared" si="56"/>
        <v>1</v>
      </c>
      <c r="O302">
        <f t="shared" si="57"/>
        <v>0</v>
      </c>
      <c r="P302">
        <f t="shared" si="58"/>
        <v>0</v>
      </c>
      <c r="Q302">
        <f t="shared" si="59"/>
        <v>0</v>
      </c>
      <c r="R302">
        <v>0</v>
      </c>
      <c r="S302">
        <v>0</v>
      </c>
      <c r="T302">
        <v>0</v>
      </c>
      <c r="U302">
        <v>1</v>
      </c>
      <c r="V302">
        <v>0</v>
      </c>
      <c r="W302">
        <v>0</v>
      </c>
      <c r="X302">
        <v>0</v>
      </c>
      <c r="Y302">
        <v>0</v>
      </c>
      <c r="Z302">
        <v>0</v>
      </c>
      <c r="AA302">
        <v>0</v>
      </c>
      <c r="AB302">
        <v>0</v>
      </c>
      <c r="AC302">
        <v>0</v>
      </c>
      <c r="AD302">
        <v>0</v>
      </c>
      <c r="AE302">
        <v>1</v>
      </c>
      <c r="AF302">
        <v>1</v>
      </c>
      <c r="AG302">
        <v>0</v>
      </c>
      <c r="AH302">
        <v>1</v>
      </c>
      <c r="AI302">
        <v>0</v>
      </c>
      <c r="AJ302">
        <v>0</v>
      </c>
      <c r="AK302">
        <v>0</v>
      </c>
      <c r="AL302">
        <v>0</v>
      </c>
      <c r="AM302">
        <v>0</v>
      </c>
      <c r="AN302">
        <v>0</v>
      </c>
      <c r="AO302">
        <v>0</v>
      </c>
      <c r="AP302">
        <v>0</v>
      </c>
      <c r="AQ302">
        <v>0</v>
      </c>
      <c r="AR302">
        <v>0</v>
      </c>
      <c r="AS302">
        <f t="shared" si="60"/>
        <v>3</v>
      </c>
      <c r="AT302">
        <f t="shared" si="61"/>
        <v>4</v>
      </c>
      <c r="AU302" s="3" t="s">
        <v>1044</v>
      </c>
      <c r="AV302">
        <f t="shared" si="62"/>
        <v>1</v>
      </c>
      <c r="AW302">
        <f t="shared" si="63"/>
        <v>0</v>
      </c>
      <c r="AX302">
        <f t="shared" si="64"/>
        <v>0</v>
      </c>
      <c r="AY302">
        <v>0</v>
      </c>
      <c r="AZ302" t="s">
        <v>147</v>
      </c>
      <c r="BA302" t="s">
        <v>148</v>
      </c>
      <c r="BB302" t="s">
        <v>8</v>
      </c>
    </row>
    <row r="303" ht="51" spans="1:54">
      <c r="A303" t="s">
        <v>1045</v>
      </c>
      <c r="B303" t="s">
        <v>1041</v>
      </c>
      <c r="C303" t="s">
        <v>56</v>
      </c>
      <c r="D303">
        <v>2</v>
      </c>
      <c r="E303">
        <v>0</v>
      </c>
      <c r="F303">
        <v>147.3</v>
      </c>
      <c r="G303" t="s">
        <v>57</v>
      </c>
      <c r="H303" s="3" t="s">
        <v>1046</v>
      </c>
      <c r="I303" s="3" t="s">
        <v>1047</v>
      </c>
      <c r="J303">
        <f t="shared" si="52"/>
        <v>0</v>
      </c>
      <c r="K303">
        <f t="shared" si="53"/>
        <v>0</v>
      </c>
      <c r="L303">
        <f t="shared" si="54"/>
        <v>0</v>
      </c>
      <c r="M303">
        <f t="shared" si="55"/>
        <v>0</v>
      </c>
      <c r="N303">
        <f t="shared" si="56"/>
        <v>0</v>
      </c>
      <c r="O303">
        <f t="shared" si="57"/>
        <v>0</v>
      </c>
      <c r="P303">
        <f t="shared" si="58"/>
        <v>0</v>
      </c>
      <c r="Q303">
        <f t="shared" si="59"/>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f t="shared" si="60"/>
        <v>0</v>
      </c>
      <c r="AT303">
        <f t="shared" si="61"/>
        <v>0</v>
      </c>
      <c r="AU303" s="3" t="s">
        <v>118</v>
      </c>
      <c r="AV303">
        <f t="shared" si="62"/>
        <v>0</v>
      </c>
      <c r="AW303">
        <f t="shared" si="63"/>
        <v>1</v>
      </c>
      <c r="AX303">
        <f t="shared" si="64"/>
        <v>0</v>
      </c>
      <c r="AY303">
        <v>4</v>
      </c>
      <c r="AZ303" t="s">
        <v>60</v>
      </c>
      <c r="BA303" t="s">
        <v>61</v>
      </c>
      <c r="BB303" t="s">
        <v>8</v>
      </c>
    </row>
    <row r="304" ht="51" spans="1:54">
      <c r="A304" t="s">
        <v>1048</v>
      </c>
      <c r="B304" t="s">
        <v>1041</v>
      </c>
      <c r="C304" t="s">
        <v>56</v>
      </c>
      <c r="D304">
        <v>2</v>
      </c>
      <c r="E304">
        <v>1</v>
      </c>
      <c r="F304">
        <v>25.3</v>
      </c>
      <c r="G304" t="s">
        <v>57</v>
      </c>
      <c r="H304" s="3" t="s">
        <v>1049</v>
      </c>
      <c r="I304" s="3" t="s">
        <v>1050</v>
      </c>
      <c r="J304">
        <f t="shared" si="52"/>
        <v>0</v>
      </c>
      <c r="K304">
        <f t="shared" si="53"/>
        <v>1</v>
      </c>
      <c r="L304">
        <f t="shared" si="54"/>
        <v>0</v>
      </c>
      <c r="M304">
        <f t="shared" si="55"/>
        <v>0</v>
      </c>
      <c r="N304">
        <f t="shared" si="56"/>
        <v>0</v>
      </c>
      <c r="O304">
        <f t="shared" si="57"/>
        <v>0</v>
      </c>
      <c r="P304">
        <f t="shared" si="58"/>
        <v>0</v>
      </c>
      <c r="Q304">
        <f t="shared" si="59"/>
        <v>0</v>
      </c>
      <c r="R304">
        <v>0</v>
      </c>
      <c r="S304">
        <v>0</v>
      </c>
      <c r="T304">
        <v>0</v>
      </c>
      <c r="U304">
        <v>0</v>
      </c>
      <c r="V304">
        <v>0</v>
      </c>
      <c r="W304">
        <v>1</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f t="shared" si="60"/>
        <v>1</v>
      </c>
      <c r="AT304">
        <f t="shared" si="61"/>
        <v>1</v>
      </c>
      <c r="AU304" s="3" t="s">
        <v>271</v>
      </c>
      <c r="AV304">
        <f t="shared" si="62"/>
        <v>1</v>
      </c>
      <c r="AW304">
        <f t="shared" si="63"/>
        <v>0</v>
      </c>
      <c r="AX304">
        <f t="shared" si="64"/>
        <v>0</v>
      </c>
      <c r="AY304">
        <v>3</v>
      </c>
      <c r="AZ304" t="s">
        <v>60</v>
      </c>
      <c r="BA304" t="s">
        <v>61</v>
      </c>
      <c r="BB304" t="s">
        <v>8</v>
      </c>
    </row>
    <row r="305" ht="51" spans="1:54">
      <c r="A305" t="s">
        <v>1051</v>
      </c>
      <c r="B305" t="s">
        <v>1041</v>
      </c>
      <c r="C305" t="s">
        <v>56</v>
      </c>
      <c r="D305">
        <v>0</v>
      </c>
      <c r="E305">
        <v>0</v>
      </c>
      <c r="F305">
        <v>18.1</v>
      </c>
      <c r="G305" t="s">
        <v>57</v>
      </c>
      <c r="H305" s="3" t="s">
        <v>1052</v>
      </c>
      <c r="I305" s="3" t="s">
        <v>1053</v>
      </c>
      <c r="J305">
        <f t="shared" si="52"/>
        <v>1</v>
      </c>
      <c r="K305">
        <f t="shared" si="53"/>
        <v>1</v>
      </c>
      <c r="L305">
        <f t="shared" si="54"/>
        <v>0</v>
      </c>
      <c r="M305">
        <f t="shared" si="55"/>
        <v>0</v>
      </c>
      <c r="N305">
        <f t="shared" si="56"/>
        <v>1</v>
      </c>
      <c r="O305">
        <f t="shared" si="57"/>
        <v>0</v>
      </c>
      <c r="P305">
        <f t="shared" si="58"/>
        <v>0</v>
      </c>
      <c r="Q305">
        <f t="shared" si="59"/>
        <v>0</v>
      </c>
      <c r="R305">
        <v>1</v>
      </c>
      <c r="S305">
        <v>0</v>
      </c>
      <c r="T305">
        <v>0</v>
      </c>
      <c r="U305">
        <v>1</v>
      </c>
      <c r="V305">
        <v>0</v>
      </c>
      <c r="W305">
        <v>0</v>
      </c>
      <c r="X305">
        <v>0</v>
      </c>
      <c r="Y305">
        <v>0</v>
      </c>
      <c r="Z305">
        <v>0</v>
      </c>
      <c r="AA305">
        <v>0</v>
      </c>
      <c r="AB305">
        <v>0</v>
      </c>
      <c r="AC305">
        <v>0</v>
      </c>
      <c r="AD305">
        <v>0</v>
      </c>
      <c r="AE305">
        <v>0</v>
      </c>
      <c r="AF305">
        <v>0</v>
      </c>
      <c r="AG305">
        <v>0</v>
      </c>
      <c r="AH305">
        <v>1</v>
      </c>
      <c r="AI305">
        <v>0</v>
      </c>
      <c r="AJ305">
        <v>0</v>
      </c>
      <c r="AK305">
        <v>0</v>
      </c>
      <c r="AL305">
        <v>0</v>
      </c>
      <c r="AM305">
        <v>0</v>
      </c>
      <c r="AN305">
        <v>0</v>
      </c>
      <c r="AO305">
        <v>0</v>
      </c>
      <c r="AP305">
        <v>0</v>
      </c>
      <c r="AQ305">
        <v>0</v>
      </c>
      <c r="AR305">
        <v>0</v>
      </c>
      <c r="AS305">
        <f t="shared" si="60"/>
        <v>3</v>
      </c>
      <c r="AT305">
        <f t="shared" si="61"/>
        <v>3</v>
      </c>
      <c r="AU305" s="3" t="s">
        <v>1054</v>
      </c>
      <c r="AV305">
        <f t="shared" si="62"/>
        <v>1</v>
      </c>
      <c r="AW305">
        <f t="shared" si="63"/>
        <v>0</v>
      </c>
      <c r="AX305">
        <f t="shared" si="64"/>
        <v>0</v>
      </c>
      <c r="AY305">
        <v>-1</v>
      </c>
      <c r="AZ305" t="s">
        <v>133</v>
      </c>
      <c r="BA305" t="s">
        <v>134</v>
      </c>
      <c r="BB305" t="s">
        <v>8</v>
      </c>
    </row>
    <row r="306" ht="409.5" spans="1:54">
      <c r="A306" t="s">
        <v>1055</v>
      </c>
      <c r="B306" t="s">
        <v>1041</v>
      </c>
      <c r="C306" t="s">
        <v>56</v>
      </c>
      <c r="D306">
        <v>657</v>
      </c>
      <c r="E306">
        <v>24</v>
      </c>
      <c r="F306">
        <v>51.8</v>
      </c>
      <c r="G306" t="s">
        <v>57</v>
      </c>
      <c r="H306" s="3" t="s">
        <v>1056</v>
      </c>
      <c r="I306" s="3" t="s">
        <v>1057</v>
      </c>
      <c r="J306">
        <f t="shared" si="52"/>
        <v>1</v>
      </c>
      <c r="K306">
        <f t="shared" si="53"/>
        <v>1</v>
      </c>
      <c r="L306">
        <f t="shared" si="54"/>
        <v>0</v>
      </c>
      <c r="M306">
        <f t="shared" si="55"/>
        <v>1</v>
      </c>
      <c r="N306">
        <f t="shared" si="56"/>
        <v>1</v>
      </c>
      <c r="O306">
        <f t="shared" si="57"/>
        <v>0</v>
      </c>
      <c r="P306">
        <f t="shared" si="58"/>
        <v>0</v>
      </c>
      <c r="Q306">
        <f t="shared" si="59"/>
        <v>0</v>
      </c>
      <c r="R306">
        <v>1</v>
      </c>
      <c r="S306">
        <v>0</v>
      </c>
      <c r="T306">
        <v>0</v>
      </c>
      <c r="U306">
        <v>1</v>
      </c>
      <c r="V306">
        <v>1</v>
      </c>
      <c r="W306">
        <v>0</v>
      </c>
      <c r="X306">
        <v>0</v>
      </c>
      <c r="Y306">
        <v>0</v>
      </c>
      <c r="Z306">
        <v>0</v>
      </c>
      <c r="AA306">
        <v>0</v>
      </c>
      <c r="AB306">
        <v>0</v>
      </c>
      <c r="AC306">
        <v>0</v>
      </c>
      <c r="AD306">
        <v>1</v>
      </c>
      <c r="AE306">
        <v>0</v>
      </c>
      <c r="AF306">
        <v>0</v>
      </c>
      <c r="AG306">
        <v>0</v>
      </c>
      <c r="AH306">
        <v>1</v>
      </c>
      <c r="AI306">
        <v>0</v>
      </c>
      <c r="AJ306">
        <v>0</v>
      </c>
      <c r="AK306">
        <v>0</v>
      </c>
      <c r="AL306">
        <v>0</v>
      </c>
      <c r="AM306">
        <v>0</v>
      </c>
      <c r="AN306">
        <v>0</v>
      </c>
      <c r="AO306">
        <v>0</v>
      </c>
      <c r="AP306">
        <v>0</v>
      </c>
      <c r="AQ306">
        <v>0</v>
      </c>
      <c r="AR306">
        <v>0</v>
      </c>
      <c r="AS306">
        <f t="shared" si="60"/>
        <v>4</v>
      </c>
      <c r="AT306">
        <f t="shared" si="61"/>
        <v>5</v>
      </c>
      <c r="AU306" s="3" t="s">
        <v>1058</v>
      </c>
      <c r="AV306">
        <f t="shared" si="62"/>
        <v>1</v>
      </c>
      <c r="AW306">
        <f t="shared" si="63"/>
        <v>0</v>
      </c>
      <c r="AX306">
        <f t="shared" si="64"/>
        <v>0</v>
      </c>
      <c r="AY306">
        <v>7</v>
      </c>
      <c r="AZ306" t="s">
        <v>60</v>
      </c>
      <c r="BA306" t="s">
        <v>61</v>
      </c>
      <c r="BB306" t="s">
        <v>8</v>
      </c>
    </row>
    <row r="307" ht="68" spans="1:54">
      <c r="A307" t="s">
        <v>1059</v>
      </c>
      <c r="B307" t="s">
        <v>1041</v>
      </c>
      <c r="C307" t="s">
        <v>56</v>
      </c>
      <c r="D307">
        <v>2</v>
      </c>
      <c r="E307">
        <v>0</v>
      </c>
      <c r="F307">
        <v>72.6</v>
      </c>
      <c r="G307" t="s">
        <v>57</v>
      </c>
      <c r="H307" s="3" t="s">
        <v>1060</v>
      </c>
      <c r="I307" s="3" t="s">
        <v>1061</v>
      </c>
      <c r="J307">
        <f t="shared" si="52"/>
        <v>1</v>
      </c>
      <c r="K307">
        <f t="shared" si="53"/>
        <v>1</v>
      </c>
      <c r="L307">
        <f t="shared" si="54"/>
        <v>0</v>
      </c>
      <c r="M307">
        <f t="shared" si="55"/>
        <v>0</v>
      </c>
      <c r="N307">
        <f t="shared" si="56"/>
        <v>1</v>
      </c>
      <c r="O307">
        <f t="shared" si="57"/>
        <v>0</v>
      </c>
      <c r="P307">
        <f t="shared" si="58"/>
        <v>0</v>
      </c>
      <c r="Q307">
        <f t="shared" si="59"/>
        <v>0</v>
      </c>
      <c r="R307">
        <v>1</v>
      </c>
      <c r="S307">
        <v>0</v>
      </c>
      <c r="T307">
        <v>0</v>
      </c>
      <c r="U307">
        <v>0</v>
      </c>
      <c r="V307">
        <v>1</v>
      </c>
      <c r="W307">
        <v>0</v>
      </c>
      <c r="X307">
        <v>0</v>
      </c>
      <c r="Y307">
        <v>0</v>
      </c>
      <c r="Z307">
        <v>0</v>
      </c>
      <c r="AA307">
        <v>0</v>
      </c>
      <c r="AB307">
        <v>0</v>
      </c>
      <c r="AC307">
        <v>0</v>
      </c>
      <c r="AD307">
        <v>0</v>
      </c>
      <c r="AE307">
        <v>0</v>
      </c>
      <c r="AF307">
        <v>0</v>
      </c>
      <c r="AG307">
        <v>1</v>
      </c>
      <c r="AH307">
        <v>1</v>
      </c>
      <c r="AI307">
        <v>0</v>
      </c>
      <c r="AJ307">
        <v>0</v>
      </c>
      <c r="AK307">
        <v>0</v>
      </c>
      <c r="AL307">
        <v>0</v>
      </c>
      <c r="AM307">
        <v>0</v>
      </c>
      <c r="AN307">
        <v>0</v>
      </c>
      <c r="AO307">
        <v>0</v>
      </c>
      <c r="AP307">
        <v>0</v>
      </c>
      <c r="AQ307">
        <v>0</v>
      </c>
      <c r="AR307">
        <v>0</v>
      </c>
      <c r="AS307">
        <f t="shared" si="60"/>
        <v>3</v>
      </c>
      <c r="AT307">
        <f t="shared" si="61"/>
        <v>4</v>
      </c>
      <c r="AU307" s="3" t="s">
        <v>1062</v>
      </c>
      <c r="AV307">
        <f t="shared" si="62"/>
        <v>1</v>
      </c>
      <c r="AW307">
        <f t="shared" si="63"/>
        <v>0</v>
      </c>
      <c r="AX307">
        <f t="shared" si="64"/>
        <v>0</v>
      </c>
      <c r="AY307">
        <v>5.5</v>
      </c>
      <c r="AZ307" t="s">
        <v>60</v>
      </c>
      <c r="BA307" t="s">
        <v>61</v>
      </c>
      <c r="BB307" t="s">
        <v>8</v>
      </c>
    </row>
    <row r="308" ht="68" spans="1:54">
      <c r="A308" t="s">
        <v>1063</v>
      </c>
      <c r="B308" t="s">
        <v>1041</v>
      </c>
      <c r="C308" t="s">
        <v>116</v>
      </c>
      <c r="D308">
        <v>21</v>
      </c>
      <c r="E308">
        <v>2</v>
      </c>
      <c r="F308">
        <v>36.1</v>
      </c>
      <c r="G308" t="s">
        <v>57</v>
      </c>
      <c r="H308" s="3" t="s">
        <v>1064</v>
      </c>
      <c r="I308" s="3" t="s">
        <v>1065</v>
      </c>
      <c r="J308">
        <f t="shared" si="52"/>
        <v>1</v>
      </c>
      <c r="K308">
        <f t="shared" si="53"/>
        <v>1</v>
      </c>
      <c r="L308">
        <f t="shared" si="54"/>
        <v>0</v>
      </c>
      <c r="M308">
        <f t="shared" si="55"/>
        <v>1</v>
      </c>
      <c r="N308">
        <f t="shared" si="56"/>
        <v>1</v>
      </c>
      <c r="O308">
        <f t="shared" si="57"/>
        <v>1</v>
      </c>
      <c r="P308">
        <f t="shared" si="58"/>
        <v>0</v>
      </c>
      <c r="Q308">
        <f t="shared" si="59"/>
        <v>0</v>
      </c>
      <c r="R308">
        <v>0</v>
      </c>
      <c r="S308">
        <v>0</v>
      </c>
      <c r="T308">
        <v>1</v>
      </c>
      <c r="U308">
        <v>0</v>
      </c>
      <c r="V308">
        <v>0</v>
      </c>
      <c r="W308">
        <v>1</v>
      </c>
      <c r="X308">
        <v>0</v>
      </c>
      <c r="Y308">
        <v>0</v>
      </c>
      <c r="Z308">
        <v>0</v>
      </c>
      <c r="AA308">
        <v>0</v>
      </c>
      <c r="AB308">
        <v>0</v>
      </c>
      <c r="AC308">
        <v>0</v>
      </c>
      <c r="AD308">
        <v>0</v>
      </c>
      <c r="AE308">
        <v>1</v>
      </c>
      <c r="AF308">
        <v>1</v>
      </c>
      <c r="AG308">
        <v>0</v>
      </c>
      <c r="AH308">
        <v>1</v>
      </c>
      <c r="AI308">
        <v>0</v>
      </c>
      <c r="AJ308">
        <v>0</v>
      </c>
      <c r="AK308">
        <v>1</v>
      </c>
      <c r="AL308">
        <v>0</v>
      </c>
      <c r="AM308">
        <v>0</v>
      </c>
      <c r="AN308">
        <v>0</v>
      </c>
      <c r="AO308">
        <v>0</v>
      </c>
      <c r="AP308">
        <v>0</v>
      </c>
      <c r="AQ308">
        <v>0</v>
      </c>
      <c r="AR308">
        <v>0</v>
      </c>
      <c r="AS308">
        <f t="shared" si="60"/>
        <v>5</v>
      </c>
      <c r="AT308">
        <f t="shared" si="61"/>
        <v>6</v>
      </c>
      <c r="AU308" s="3" t="s">
        <v>1066</v>
      </c>
      <c r="AV308">
        <f t="shared" si="62"/>
        <v>1</v>
      </c>
      <c r="AW308">
        <f t="shared" si="63"/>
        <v>0</v>
      </c>
      <c r="AX308">
        <f t="shared" si="64"/>
        <v>0</v>
      </c>
      <c r="AY308">
        <v>-1</v>
      </c>
      <c r="AZ308" t="s">
        <v>133</v>
      </c>
      <c r="BA308" t="s">
        <v>134</v>
      </c>
      <c r="BB308" t="s">
        <v>8</v>
      </c>
    </row>
    <row r="309" ht="51" spans="1:54">
      <c r="A309" t="s">
        <v>1067</v>
      </c>
      <c r="B309" t="s">
        <v>1041</v>
      </c>
      <c r="C309" t="s">
        <v>56</v>
      </c>
      <c r="D309">
        <v>2</v>
      </c>
      <c r="E309">
        <v>0</v>
      </c>
      <c r="F309">
        <v>46.2</v>
      </c>
      <c r="G309" t="s">
        <v>57</v>
      </c>
      <c r="H309" s="3" t="s">
        <v>1068</v>
      </c>
      <c r="I309" s="3" t="s">
        <v>1069</v>
      </c>
      <c r="J309">
        <f t="shared" si="52"/>
        <v>1</v>
      </c>
      <c r="K309">
        <f t="shared" si="53"/>
        <v>1</v>
      </c>
      <c r="L309">
        <f t="shared" si="54"/>
        <v>0</v>
      </c>
      <c r="M309">
        <f t="shared" si="55"/>
        <v>0</v>
      </c>
      <c r="N309">
        <f t="shared" si="56"/>
        <v>1</v>
      </c>
      <c r="O309">
        <f t="shared" si="57"/>
        <v>0</v>
      </c>
      <c r="P309">
        <f t="shared" si="58"/>
        <v>0</v>
      </c>
      <c r="Q309">
        <f t="shared" si="59"/>
        <v>0</v>
      </c>
      <c r="R309">
        <v>1</v>
      </c>
      <c r="S309">
        <v>0</v>
      </c>
      <c r="T309">
        <v>1</v>
      </c>
      <c r="U309">
        <v>0</v>
      </c>
      <c r="V309">
        <v>1</v>
      </c>
      <c r="W309">
        <v>0</v>
      </c>
      <c r="X309">
        <v>0</v>
      </c>
      <c r="Y309">
        <v>0</v>
      </c>
      <c r="Z309">
        <v>0</v>
      </c>
      <c r="AA309">
        <v>0</v>
      </c>
      <c r="AB309">
        <v>0</v>
      </c>
      <c r="AC309">
        <v>0</v>
      </c>
      <c r="AD309">
        <v>0</v>
      </c>
      <c r="AE309">
        <v>0</v>
      </c>
      <c r="AF309">
        <v>0</v>
      </c>
      <c r="AG309">
        <v>0</v>
      </c>
      <c r="AH309">
        <v>1</v>
      </c>
      <c r="AI309">
        <v>0</v>
      </c>
      <c r="AJ309">
        <v>0</v>
      </c>
      <c r="AK309">
        <v>0</v>
      </c>
      <c r="AL309">
        <v>0</v>
      </c>
      <c r="AM309">
        <v>0</v>
      </c>
      <c r="AN309">
        <v>0</v>
      </c>
      <c r="AO309">
        <v>0</v>
      </c>
      <c r="AP309">
        <v>0</v>
      </c>
      <c r="AQ309">
        <v>0</v>
      </c>
      <c r="AR309">
        <v>0</v>
      </c>
      <c r="AS309">
        <f t="shared" si="60"/>
        <v>3</v>
      </c>
      <c r="AT309">
        <f t="shared" si="61"/>
        <v>4</v>
      </c>
      <c r="AU309" s="3" t="s">
        <v>1070</v>
      </c>
      <c r="AV309">
        <f t="shared" si="62"/>
        <v>1</v>
      </c>
      <c r="AW309">
        <f t="shared" si="63"/>
        <v>0</v>
      </c>
      <c r="AX309">
        <f t="shared" si="64"/>
        <v>0</v>
      </c>
      <c r="AY309">
        <v>2</v>
      </c>
      <c r="AZ309" t="s">
        <v>60</v>
      </c>
      <c r="BA309" t="s">
        <v>61</v>
      </c>
      <c r="BB309" t="s">
        <v>8</v>
      </c>
    </row>
    <row r="310" ht="336" spans="1:54">
      <c r="A310" t="s">
        <v>1071</v>
      </c>
      <c r="B310" t="s">
        <v>1041</v>
      </c>
      <c r="C310" t="s">
        <v>56</v>
      </c>
      <c r="D310">
        <v>0</v>
      </c>
      <c r="E310">
        <v>0</v>
      </c>
      <c r="F310">
        <v>7.9</v>
      </c>
      <c r="G310" t="s">
        <v>57</v>
      </c>
      <c r="H310" s="3" t="s">
        <v>1072</v>
      </c>
      <c r="I310" s="3" t="s">
        <v>1073</v>
      </c>
      <c r="J310">
        <f t="shared" si="52"/>
        <v>1</v>
      </c>
      <c r="K310">
        <f t="shared" si="53"/>
        <v>1</v>
      </c>
      <c r="L310">
        <f t="shared" si="54"/>
        <v>0</v>
      </c>
      <c r="M310">
        <f t="shared" si="55"/>
        <v>0</v>
      </c>
      <c r="N310">
        <f t="shared" si="56"/>
        <v>0</v>
      </c>
      <c r="O310">
        <f t="shared" si="57"/>
        <v>0</v>
      </c>
      <c r="P310">
        <f t="shared" si="58"/>
        <v>0</v>
      </c>
      <c r="Q310">
        <f t="shared" si="59"/>
        <v>0</v>
      </c>
      <c r="R310">
        <v>0</v>
      </c>
      <c r="S310">
        <v>0</v>
      </c>
      <c r="T310">
        <v>1</v>
      </c>
      <c r="U310">
        <v>1</v>
      </c>
      <c r="V310">
        <v>0</v>
      </c>
      <c r="W310">
        <v>0</v>
      </c>
      <c r="X310">
        <v>0</v>
      </c>
      <c r="Y310">
        <v>1</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f t="shared" si="60"/>
        <v>2</v>
      </c>
      <c r="AT310">
        <f t="shared" si="61"/>
        <v>3</v>
      </c>
      <c r="AU310" s="3" t="s">
        <v>1074</v>
      </c>
      <c r="AV310">
        <f t="shared" si="62"/>
        <v>1</v>
      </c>
      <c r="AW310">
        <f t="shared" si="63"/>
        <v>0</v>
      </c>
      <c r="AX310">
        <f t="shared" si="64"/>
        <v>0</v>
      </c>
      <c r="AY310">
        <v>6.5</v>
      </c>
      <c r="AZ310" t="s">
        <v>60</v>
      </c>
      <c r="BA310" t="s">
        <v>61</v>
      </c>
      <c r="BB310" t="s">
        <v>8</v>
      </c>
    </row>
    <row r="311" ht="236" spans="1:54">
      <c r="A311" t="s">
        <v>1075</v>
      </c>
      <c r="B311" t="s">
        <v>1041</v>
      </c>
      <c r="C311" t="s">
        <v>116</v>
      </c>
      <c r="D311">
        <v>0</v>
      </c>
      <c r="E311">
        <v>0</v>
      </c>
      <c r="F311">
        <v>17.9</v>
      </c>
      <c r="G311" t="s">
        <v>57</v>
      </c>
      <c r="H311" s="3" t="s">
        <v>1076</v>
      </c>
      <c r="I311" s="3" t="s">
        <v>1077</v>
      </c>
      <c r="J311">
        <f t="shared" si="52"/>
        <v>1</v>
      </c>
      <c r="K311">
        <f t="shared" si="53"/>
        <v>1</v>
      </c>
      <c r="L311">
        <f t="shared" si="54"/>
        <v>1</v>
      </c>
      <c r="M311">
        <f t="shared" si="55"/>
        <v>0</v>
      </c>
      <c r="N311">
        <f t="shared" si="56"/>
        <v>0</v>
      </c>
      <c r="O311">
        <f t="shared" si="57"/>
        <v>0</v>
      </c>
      <c r="P311">
        <f t="shared" si="58"/>
        <v>0</v>
      </c>
      <c r="Q311">
        <f t="shared" si="59"/>
        <v>0</v>
      </c>
      <c r="R311">
        <v>1</v>
      </c>
      <c r="S311">
        <v>0</v>
      </c>
      <c r="T311">
        <v>0</v>
      </c>
      <c r="U311">
        <v>1</v>
      </c>
      <c r="V311">
        <v>1</v>
      </c>
      <c r="W311">
        <v>0</v>
      </c>
      <c r="X311">
        <v>0</v>
      </c>
      <c r="Y311">
        <v>0</v>
      </c>
      <c r="Z311">
        <v>1</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f t="shared" si="60"/>
        <v>3</v>
      </c>
      <c r="AT311">
        <f t="shared" si="61"/>
        <v>4</v>
      </c>
      <c r="AU311" s="3" t="s">
        <v>1078</v>
      </c>
      <c r="AV311">
        <f t="shared" si="62"/>
        <v>1</v>
      </c>
      <c r="AW311">
        <f t="shared" si="63"/>
        <v>0</v>
      </c>
      <c r="AX311">
        <f t="shared" si="64"/>
        <v>0</v>
      </c>
      <c r="AY311">
        <v>9.5</v>
      </c>
      <c r="AZ311" t="s">
        <v>60</v>
      </c>
      <c r="BA311" t="s">
        <v>61</v>
      </c>
      <c r="BB311" t="s">
        <v>8</v>
      </c>
    </row>
    <row r="312" ht="118" spans="1:54">
      <c r="A312" t="s">
        <v>1079</v>
      </c>
      <c r="B312" t="s">
        <v>1041</v>
      </c>
      <c r="C312" t="s">
        <v>116</v>
      </c>
      <c r="D312">
        <v>36</v>
      </c>
      <c r="E312">
        <v>6</v>
      </c>
      <c r="F312">
        <v>0.8</v>
      </c>
      <c r="G312" t="s">
        <v>57</v>
      </c>
      <c r="H312" s="3" t="s">
        <v>1080</v>
      </c>
      <c r="I312" s="3" t="s">
        <v>1081</v>
      </c>
      <c r="J312">
        <f t="shared" si="52"/>
        <v>1</v>
      </c>
      <c r="K312">
        <f t="shared" si="53"/>
        <v>1</v>
      </c>
      <c r="L312">
        <f t="shared" si="54"/>
        <v>0</v>
      </c>
      <c r="M312">
        <f t="shared" si="55"/>
        <v>1</v>
      </c>
      <c r="N312">
        <f t="shared" si="56"/>
        <v>1</v>
      </c>
      <c r="O312">
        <f t="shared" si="57"/>
        <v>0</v>
      </c>
      <c r="P312">
        <f t="shared" si="58"/>
        <v>0</v>
      </c>
      <c r="Q312">
        <f t="shared" si="59"/>
        <v>0</v>
      </c>
      <c r="R312">
        <v>1</v>
      </c>
      <c r="S312">
        <v>0</v>
      </c>
      <c r="T312">
        <v>0</v>
      </c>
      <c r="U312">
        <v>0</v>
      </c>
      <c r="V312">
        <v>1</v>
      </c>
      <c r="W312">
        <v>0</v>
      </c>
      <c r="X312">
        <v>0</v>
      </c>
      <c r="Y312">
        <v>0</v>
      </c>
      <c r="Z312">
        <v>0</v>
      </c>
      <c r="AA312">
        <v>0</v>
      </c>
      <c r="AB312">
        <v>0</v>
      </c>
      <c r="AC312">
        <v>0</v>
      </c>
      <c r="AD312">
        <v>1</v>
      </c>
      <c r="AE312">
        <v>1</v>
      </c>
      <c r="AF312">
        <v>0</v>
      </c>
      <c r="AG312">
        <v>0</v>
      </c>
      <c r="AH312">
        <v>1</v>
      </c>
      <c r="AI312">
        <v>0</v>
      </c>
      <c r="AJ312">
        <v>0</v>
      </c>
      <c r="AK312">
        <v>0</v>
      </c>
      <c r="AL312">
        <v>0</v>
      </c>
      <c r="AM312">
        <v>0</v>
      </c>
      <c r="AN312">
        <v>0</v>
      </c>
      <c r="AO312">
        <v>0</v>
      </c>
      <c r="AP312">
        <v>0</v>
      </c>
      <c r="AQ312">
        <v>0</v>
      </c>
      <c r="AR312">
        <v>0</v>
      </c>
      <c r="AS312">
        <f t="shared" si="60"/>
        <v>4</v>
      </c>
      <c r="AT312">
        <f t="shared" si="61"/>
        <v>5</v>
      </c>
      <c r="AU312" s="3" t="s">
        <v>1082</v>
      </c>
      <c r="AV312">
        <f t="shared" si="62"/>
        <v>1</v>
      </c>
      <c r="AW312">
        <f t="shared" si="63"/>
        <v>0</v>
      </c>
      <c r="AX312">
        <f t="shared" si="64"/>
        <v>0</v>
      </c>
      <c r="AY312">
        <v>-3</v>
      </c>
      <c r="AZ312" t="s">
        <v>133</v>
      </c>
      <c r="BA312" t="s">
        <v>134</v>
      </c>
      <c r="BB312" t="s">
        <v>8</v>
      </c>
    </row>
    <row r="313" ht="118" spans="1:54">
      <c r="A313" t="s">
        <v>1083</v>
      </c>
      <c r="B313" t="s">
        <v>1041</v>
      </c>
      <c r="C313" t="s">
        <v>56</v>
      </c>
      <c r="D313">
        <v>0</v>
      </c>
      <c r="E313">
        <v>0</v>
      </c>
      <c r="F313">
        <v>56.6</v>
      </c>
      <c r="G313" t="s">
        <v>57</v>
      </c>
      <c r="H313" s="3" t="s">
        <v>1084</v>
      </c>
      <c r="I313" s="3" t="s">
        <v>1085</v>
      </c>
      <c r="J313">
        <f t="shared" si="52"/>
        <v>0</v>
      </c>
      <c r="K313">
        <f t="shared" si="53"/>
        <v>0</v>
      </c>
      <c r="L313">
        <f t="shared" si="54"/>
        <v>0</v>
      </c>
      <c r="M313">
        <f t="shared" si="55"/>
        <v>1</v>
      </c>
      <c r="N313">
        <f t="shared" si="56"/>
        <v>1</v>
      </c>
      <c r="O313">
        <f t="shared" si="57"/>
        <v>0</v>
      </c>
      <c r="P313">
        <f t="shared" si="58"/>
        <v>0</v>
      </c>
      <c r="Q313">
        <f t="shared" si="59"/>
        <v>0</v>
      </c>
      <c r="R313">
        <v>0</v>
      </c>
      <c r="S313">
        <v>0</v>
      </c>
      <c r="T313">
        <v>0</v>
      </c>
      <c r="U313">
        <v>0</v>
      </c>
      <c r="V313">
        <v>0</v>
      </c>
      <c r="W313">
        <v>0</v>
      </c>
      <c r="X313">
        <v>0</v>
      </c>
      <c r="Y313">
        <v>0</v>
      </c>
      <c r="Z313">
        <v>0</v>
      </c>
      <c r="AA313">
        <v>0</v>
      </c>
      <c r="AB313">
        <v>0</v>
      </c>
      <c r="AC313">
        <v>0</v>
      </c>
      <c r="AD313">
        <v>1</v>
      </c>
      <c r="AE313">
        <v>0</v>
      </c>
      <c r="AF313">
        <v>0</v>
      </c>
      <c r="AG313">
        <v>1</v>
      </c>
      <c r="AH313">
        <v>0</v>
      </c>
      <c r="AI313">
        <v>0</v>
      </c>
      <c r="AJ313">
        <v>0</v>
      </c>
      <c r="AK313">
        <v>0</v>
      </c>
      <c r="AL313">
        <v>0</v>
      </c>
      <c r="AM313">
        <v>0</v>
      </c>
      <c r="AN313">
        <v>0</v>
      </c>
      <c r="AO313">
        <v>0</v>
      </c>
      <c r="AP313">
        <v>0</v>
      </c>
      <c r="AQ313">
        <v>0</v>
      </c>
      <c r="AR313">
        <v>0</v>
      </c>
      <c r="AS313">
        <f t="shared" si="60"/>
        <v>2</v>
      </c>
      <c r="AT313">
        <f t="shared" si="61"/>
        <v>2</v>
      </c>
      <c r="AU313" s="3" t="s">
        <v>1086</v>
      </c>
      <c r="AV313">
        <f t="shared" si="62"/>
        <v>1</v>
      </c>
      <c r="AW313">
        <f t="shared" si="63"/>
        <v>0</v>
      </c>
      <c r="AX313">
        <f t="shared" si="64"/>
        <v>0</v>
      </c>
      <c r="AY313">
        <v>2.5</v>
      </c>
      <c r="AZ313" t="s">
        <v>60</v>
      </c>
      <c r="BA313" t="s">
        <v>61</v>
      </c>
      <c r="BB313" t="s">
        <v>8</v>
      </c>
    </row>
    <row r="314" ht="118" spans="1:54">
      <c r="A314" t="s">
        <v>1087</v>
      </c>
      <c r="B314" t="s">
        <v>1041</v>
      </c>
      <c r="C314" t="s">
        <v>56</v>
      </c>
      <c r="D314">
        <v>0</v>
      </c>
      <c r="E314">
        <v>0</v>
      </c>
      <c r="F314">
        <v>23.7</v>
      </c>
      <c r="G314" t="s">
        <v>57</v>
      </c>
      <c r="H314" s="3" t="s">
        <v>1088</v>
      </c>
      <c r="I314" s="3" t="s">
        <v>1089</v>
      </c>
      <c r="J314">
        <f t="shared" si="52"/>
        <v>1</v>
      </c>
      <c r="K314">
        <f t="shared" si="53"/>
        <v>0</v>
      </c>
      <c r="L314">
        <f t="shared" si="54"/>
        <v>0</v>
      </c>
      <c r="M314">
        <f t="shared" si="55"/>
        <v>1</v>
      </c>
      <c r="N314">
        <f t="shared" si="56"/>
        <v>1</v>
      </c>
      <c r="O314">
        <f t="shared" si="57"/>
        <v>1</v>
      </c>
      <c r="P314">
        <f t="shared" si="58"/>
        <v>0</v>
      </c>
      <c r="Q314">
        <f t="shared" si="59"/>
        <v>0</v>
      </c>
      <c r="R314">
        <v>1</v>
      </c>
      <c r="S314">
        <v>0</v>
      </c>
      <c r="T314">
        <v>1</v>
      </c>
      <c r="U314">
        <v>0</v>
      </c>
      <c r="V314">
        <v>0</v>
      </c>
      <c r="W314">
        <v>0</v>
      </c>
      <c r="X314">
        <v>0</v>
      </c>
      <c r="Y314">
        <v>0</v>
      </c>
      <c r="Z314">
        <v>0</v>
      </c>
      <c r="AA314">
        <v>0</v>
      </c>
      <c r="AB314">
        <v>0</v>
      </c>
      <c r="AC314">
        <v>0</v>
      </c>
      <c r="AD314">
        <v>0</v>
      </c>
      <c r="AE314">
        <v>0</v>
      </c>
      <c r="AF314">
        <v>1</v>
      </c>
      <c r="AG314">
        <v>0</v>
      </c>
      <c r="AH314">
        <v>1</v>
      </c>
      <c r="AI314">
        <v>0</v>
      </c>
      <c r="AJ314">
        <v>0</v>
      </c>
      <c r="AK314">
        <v>1</v>
      </c>
      <c r="AL314">
        <v>0</v>
      </c>
      <c r="AM314">
        <v>0</v>
      </c>
      <c r="AN314">
        <v>0</v>
      </c>
      <c r="AO314">
        <v>0</v>
      </c>
      <c r="AP314">
        <v>0</v>
      </c>
      <c r="AQ314">
        <v>0</v>
      </c>
      <c r="AR314">
        <v>0</v>
      </c>
      <c r="AS314">
        <f t="shared" si="60"/>
        <v>4</v>
      </c>
      <c r="AT314">
        <f t="shared" si="61"/>
        <v>5</v>
      </c>
      <c r="AU314" s="3" t="s">
        <v>1090</v>
      </c>
      <c r="AV314">
        <f t="shared" si="62"/>
        <v>1</v>
      </c>
      <c r="AW314">
        <f t="shared" si="63"/>
        <v>0</v>
      </c>
      <c r="AX314">
        <f t="shared" si="64"/>
        <v>0</v>
      </c>
      <c r="AY314">
        <v>7</v>
      </c>
      <c r="AZ314" t="s">
        <v>60</v>
      </c>
      <c r="BA314" t="s">
        <v>61</v>
      </c>
      <c r="BB314" t="s">
        <v>8</v>
      </c>
    </row>
    <row r="315" ht="118" spans="1:54">
      <c r="A315" t="s">
        <v>1091</v>
      </c>
      <c r="B315" t="s">
        <v>1041</v>
      </c>
      <c r="C315" t="s">
        <v>56</v>
      </c>
      <c r="D315">
        <v>36</v>
      </c>
      <c r="E315">
        <v>1</v>
      </c>
      <c r="F315">
        <v>6.1</v>
      </c>
      <c r="G315" t="s">
        <v>57</v>
      </c>
      <c r="H315" s="3" t="s">
        <v>1092</v>
      </c>
      <c r="I315" s="3" t="s">
        <v>1093</v>
      </c>
      <c r="J315">
        <f t="shared" si="52"/>
        <v>1</v>
      </c>
      <c r="K315">
        <f t="shared" si="53"/>
        <v>1</v>
      </c>
      <c r="L315">
        <f t="shared" si="54"/>
        <v>0</v>
      </c>
      <c r="M315">
        <f t="shared" si="55"/>
        <v>1</v>
      </c>
      <c r="N315">
        <f t="shared" si="56"/>
        <v>1</v>
      </c>
      <c r="O315">
        <f t="shared" si="57"/>
        <v>0</v>
      </c>
      <c r="P315">
        <f t="shared" si="58"/>
        <v>0</v>
      </c>
      <c r="Q315">
        <f t="shared" si="59"/>
        <v>1</v>
      </c>
      <c r="R315">
        <v>1</v>
      </c>
      <c r="S315">
        <v>0</v>
      </c>
      <c r="T315">
        <v>0</v>
      </c>
      <c r="U315">
        <v>1</v>
      </c>
      <c r="V315">
        <v>0</v>
      </c>
      <c r="W315">
        <v>0</v>
      </c>
      <c r="X315">
        <v>0</v>
      </c>
      <c r="Y315">
        <v>1</v>
      </c>
      <c r="Z315">
        <v>0</v>
      </c>
      <c r="AA315">
        <v>0</v>
      </c>
      <c r="AB315">
        <v>0</v>
      </c>
      <c r="AC315">
        <v>0</v>
      </c>
      <c r="AD315">
        <v>1</v>
      </c>
      <c r="AE315">
        <v>0</v>
      </c>
      <c r="AF315">
        <v>1</v>
      </c>
      <c r="AG315">
        <v>0</v>
      </c>
      <c r="AH315">
        <v>1</v>
      </c>
      <c r="AI315">
        <v>0</v>
      </c>
      <c r="AJ315">
        <v>0</v>
      </c>
      <c r="AK315">
        <v>0</v>
      </c>
      <c r="AL315">
        <v>0</v>
      </c>
      <c r="AM315">
        <v>0</v>
      </c>
      <c r="AN315">
        <v>0</v>
      </c>
      <c r="AO315">
        <v>0</v>
      </c>
      <c r="AP315">
        <v>0</v>
      </c>
      <c r="AQ315">
        <v>0</v>
      </c>
      <c r="AR315">
        <v>1</v>
      </c>
      <c r="AS315">
        <f t="shared" si="60"/>
        <v>5</v>
      </c>
      <c r="AT315">
        <f t="shared" si="61"/>
        <v>7</v>
      </c>
      <c r="AU315" s="3" t="s">
        <v>1094</v>
      </c>
      <c r="AV315">
        <f t="shared" si="62"/>
        <v>1</v>
      </c>
      <c r="AW315">
        <f t="shared" si="63"/>
        <v>0</v>
      </c>
      <c r="AX315">
        <f t="shared" si="64"/>
        <v>0</v>
      </c>
      <c r="AY315">
        <v>4.5</v>
      </c>
      <c r="AZ315" t="s">
        <v>60</v>
      </c>
      <c r="BA315" t="s">
        <v>61</v>
      </c>
      <c r="BB315" t="s">
        <v>8</v>
      </c>
    </row>
    <row r="316" ht="135" spans="1:54">
      <c r="A316" t="s">
        <v>1095</v>
      </c>
      <c r="B316" t="s">
        <v>1041</v>
      </c>
      <c r="C316" t="s">
        <v>56</v>
      </c>
      <c r="D316">
        <v>0</v>
      </c>
      <c r="E316">
        <v>0</v>
      </c>
      <c r="F316">
        <v>64.1</v>
      </c>
      <c r="G316" t="s">
        <v>57</v>
      </c>
      <c r="H316" s="3" t="s">
        <v>1096</v>
      </c>
      <c r="I316" s="3" t="s">
        <v>1097</v>
      </c>
      <c r="J316">
        <f t="shared" si="52"/>
        <v>1</v>
      </c>
      <c r="K316">
        <f t="shared" si="53"/>
        <v>0</v>
      </c>
      <c r="L316">
        <f t="shared" si="54"/>
        <v>1</v>
      </c>
      <c r="M316">
        <f t="shared" si="55"/>
        <v>1</v>
      </c>
      <c r="N316">
        <f t="shared" si="56"/>
        <v>0</v>
      </c>
      <c r="O316">
        <f t="shared" si="57"/>
        <v>0</v>
      </c>
      <c r="P316">
        <f t="shared" si="58"/>
        <v>0</v>
      </c>
      <c r="Q316">
        <f t="shared" si="59"/>
        <v>0</v>
      </c>
      <c r="R316">
        <v>1</v>
      </c>
      <c r="S316">
        <v>0</v>
      </c>
      <c r="T316">
        <v>0</v>
      </c>
      <c r="U316">
        <v>0</v>
      </c>
      <c r="V316">
        <v>0</v>
      </c>
      <c r="W316">
        <v>0</v>
      </c>
      <c r="X316">
        <v>0</v>
      </c>
      <c r="Y316">
        <v>0</v>
      </c>
      <c r="Z316">
        <v>0</v>
      </c>
      <c r="AA316">
        <v>1</v>
      </c>
      <c r="AB316">
        <v>0</v>
      </c>
      <c r="AC316">
        <v>0</v>
      </c>
      <c r="AD316">
        <v>1</v>
      </c>
      <c r="AE316">
        <v>0</v>
      </c>
      <c r="AF316">
        <v>1</v>
      </c>
      <c r="AG316">
        <v>0</v>
      </c>
      <c r="AH316">
        <v>0</v>
      </c>
      <c r="AI316">
        <v>0</v>
      </c>
      <c r="AJ316">
        <v>0</v>
      </c>
      <c r="AK316">
        <v>0</v>
      </c>
      <c r="AL316">
        <v>0</v>
      </c>
      <c r="AM316">
        <v>0</v>
      </c>
      <c r="AN316">
        <v>0</v>
      </c>
      <c r="AO316">
        <v>0</v>
      </c>
      <c r="AP316">
        <v>0</v>
      </c>
      <c r="AQ316">
        <v>0</v>
      </c>
      <c r="AR316">
        <v>0</v>
      </c>
      <c r="AS316">
        <f t="shared" si="60"/>
        <v>3</v>
      </c>
      <c r="AT316">
        <f t="shared" si="61"/>
        <v>4</v>
      </c>
      <c r="AU316" s="3" t="s">
        <v>1098</v>
      </c>
      <c r="AV316">
        <f t="shared" si="62"/>
        <v>1</v>
      </c>
      <c r="AW316">
        <f t="shared" si="63"/>
        <v>0</v>
      </c>
      <c r="AX316">
        <f t="shared" si="64"/>
        <v>0</v>
      </c>
      <c r="AY316">
        <v>1.5</v>
      </c>
      <c r="AZ316" t="s">
        <v>60</v>
      </c>
      <c r="BA316" t="s">
        <v>61</v>
      </c>
      <c r="BB316" t="s">
        <v>8</v>
      </c>
    </row>
    <row r="317" ht="101" spans="1:54">
      <c r="A317" t="s">
        <v>1099</v>
      </c>
      <c r="B317" t="s">
        <v>1041</v>
      </c>
      <c r="C317" t="s">
        <v>56</v>
      </c>
      <c r="D317">
        <v>0</v>
      </c>
      <c r="E317">
        <v>0</v>
      </c>
      <c r="F317">
        <v>23.1</v>
      </c>
      <c r="G317" t="s">
        <v>57</v>
      </c>
      <c r="H317" s="3" t="s">
        <v>1100</v>
      </c>
      <c r="I317" s="3" t="s">
        <v>1101</v>
      </c>
      <c r="J317">
        <f t="shared" si="52"/>
        <v>0</v>
      </c>
      <c r="K317">
        <f t="shared" si="53"/>
        <v>1</v>
      </c>
      <c r="L317">
        <f t="shared" si="54"/>
        <v>1</v>
      </c>
      <c r="M317">
        <f t="shared" si="55"/>
        <v>1</v>
      </c>
      <c r="N317">
        <f t="shared" si="56"/>
        <v>0</v>
      </c>
      <c r="O317">
        <f t="shared" si="57"/>
        <v>0</v>
      </c>
      <c r="P317">
        <f t="shared" si="58"/>
        <v>0</v>
      </c>
      <c r="Q317">
        <f t="shared" si="59"/>
        <v>0</v>
      </c>
      <c r="R317">
        <v>0</v>
      </c>
      <c r="S317">
        <v>0</v>
      </c>
      <c r="T317">
        <v>0</v>
      </c>
      <c r="U317">
        <v>0</v>
      </c>
      <c r="V317">
        <v>0</v>
      </c>
      <c r="W317">
        <v>1</v>
      </c>
      <c r="X317">
        <v>0</v>
      </c>
      <c r="Y317">
        <v>0</v>
      </c>
      <c r="Z317">
        <v>0</v>
      </c>
      <c r="AA317">
        <v>0</v>
      </c>
      <c r="AB317">
        <v>1</v>
      </c>
      <c r="AC317">
        <v>0</v>
      </c>
      <c r="AD317">
        <v>1</v>
      </c>
      <c r="AE317">
        <v>1</v>
      </c>
      <c r="AF317">
        <v>0</v>
      </c>
      <c r="AG317">
        <v>0</v>
      </c>
      <c r="AH317">
        <v>0</v>
      </c>
      <c r="AI317">
        <v>0</v>
      </c>
      <c r="AJ317">
        <v>0</v>
      </c>
      <c r="AK317">
        <v>0</v>
      </c>
      <c r="AL317">
        <v>0</v>
      </c>
      <c r="AM317">
        <v>0</v>
      </c>
      <c r="AN317">
        <v>0</v>
      </c>
      <c r="AO317">
        <v>0</v>
      </c>
      <c r="AP317">
        <v>0</v>
      </c>
      <c r="AQ317">
        <v>0</v>
      </c>
      <c r="AR317">
        <v>0</v>
      </c>
      <c r="AS317">
        <f t="shared" si="60"/>
        <v>3</v>
      </c>
      <c r="AT317">
        <f t="shared" si="61"/>
        <v>4</v>
      </c>
      <c r="AU317" s="3" t="s">
        <v>1102</v>
      </c>
      <c r="AV317">
        <f t="shared" si="62"/>
        <v>1</v>
      </c>
      <c r="AW317">
        <f t="shared" si="63"/>
        <v>0</v>
      </c>
      <c r="AX317">
        <f t="shared" si="64"/>
        <v>0</v>
      </c>
      <c r="AY317">
        <v>1</v>
      </c>
      <c r="AZ317" t="s">
        <v>60</v>
      </c>
      <c r="BA317" t="s">
        <v>61</v>
      </c>
      <c r="BB317" t="s">
        <v>8</v>
      </c>
    </row>
    <row r="318" ht="252" spans="1:54">
      <c r="A318" t="s">
        <v>1103</v>
      </c>
      <c r="B318" t="s">
        <v>1041</v>
      </c>
      <c r="C318" t="s">
        <v>56</v>
      </c>
      <c r="D318">
        <v>109</v>
      </c>
      <c r="E318">
        <v>16</v>
      </c>
      <c r="F318">
        <v>38.8</v>
      </c>
      <c r="G318" t="s">
        <v>57</v>
      </c>
      <c r="H318" s="3" t="s">
        <v>1104</v>
      </c>
      <c r="I318" s="3" t="s">
        <v>1105</v>
      </c>
      <c r="J318">
        <f t="shared" si="52"/>
        <v>0</v>
      </c>
      <c r="K318">
        <f t="shared" si="53"/>
        <v>1</v>
      </c>
      <c r="L318">
        <f t="shared" si="54"/>
        <v>0</v>
      </c>
      <c r="M318">
        <f t="shared" si="55"/>
        <v>0</v>
      </c>
      <c r="N318">
        <f t="shared" si="56"/>
        <v>0</v>
      </c>
      <c r="O318">
        <f t="shared" si="57"/>
        <v>0</v>
      </c>
      <c r="P318">
        <f t="shared" si="58"/>
        <v>0</v>
      </c>
      <c r="Q318">
        <f t="shared" si="59"/>
        <v>0</v>
      </c>
      <c r="R318">
        <v>0</v>
      </c>
      <c r="S318">
        <v>0</v>
      </c>
      <c r="T318">
        <v>0</v>
      </c>
      <c r="U318">
        <v>0</v>
      </c>
      <c r="V318">
        <v>1</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f t="shared" si="60"/>
        <v>1</v>
      </c>
      <c r="AT318">
        <f t="shared" si="61"/>
        <v>1</v>
      </c>
      <c r="AU318" s="3" t="s">
        <v>845</v>
      </c>
      <c r="AV318">
        <f t="shared" si="62"/>
        <v>1</v>
      </c>
      <c r="AW318">
        <f t="shared" si="63"/>
        <v>0</v>
      </c>
      <c r="AX318">
        <f t="shared" si="64"/>
        <v>0</v>
      </c>
      <c r="AY318">
        <v>0</v>
      </c>
      <c r="AZ318" t="s">
        <v>147</v>
      </c>
      <c r="BA318" t="s">
        <v>148</v>
      </c>
      <c r="BB318" t="s">
        <v>8</v>
      </c>
    </row>
    <row r="319" ht="51" spans="1:54">
      <c r="A319" t="s">
        <v>1106</v>
      </c>
      <c r="B319" t="s">
        <v>1041</v>
      </c>
      <c r="C319" t="s">
        <v>56</v>
      </c>
      <c r="D319">
        <v>11</v>
      </c>
      <c r="E319">
        <v>1</v>
      </c>
      <c r="F319">
        <v>52.3</v>
      </c>
      <c r="G319" t="s">
        <v>57</v>
      </c>
      <c r="H319" s="3" t="s">
        <v>1107</v>
      </c>
      <c r="I319" s="3" t="s">
        <v>1108</v>
      </c>
      <c r="J319">
        <f t="shared" si="52"/>
        <v>0</v>
      </c>
      <c r="K319">
        <f t="shared" si="53"/>
        <v>1</v>
      </c>
      <c r="L319">
        <f t="shared" si="54"/>
        <v>0</v>
      </c>
      <c r="M319">
        <f t="shared" si="55"/>
        <v>0</v>
      </c>
      <c r="N319">
        <f t="shared" si="56"/>
        <v>0</v>
      </c>
      <c r="O319">
        <f t="shared" si="57"/>
        <v>1</v>
      </c>
      <c r="P319">
        <f t="shared" si="58"/>
        <v>0</v>
      </c>
      <c r="Q319">
        <f t="shared" si="59"/>
        <v>0</v>
      </c>
      <c r="R319">
        <v>0</v>
      </c>
      <c r="S319">
        <v>0</v>
      </c>
      <c r="T319">
        <v>0</v>
      </c>
      <c r="U319">
        <v>0</v>
      </c>
      <c r="V319">
        <v>0</v>
      </c>
      <c r="W319">
        <v>1</v>
      </c>
      <c r="X319">
        <v>0</v>
      </c>
      <c r="Y319">
        <v>0</v>
      </c>
      <c r="Z319">
        <v>0</v>
      </c>
      <c r="AA319">
        <v>0</v>
      </c>
      <c r="AB319">
        <v>0</v>
      </c>
      <c r="AC319">
        <v>0</v>
      </c>
      <c r="AD319">
        <v>0</v>
      </c>
      <c r="AE319">
        <v>0</v>
      </c>
      <c r="AF319">
        <v>0</v>
      </c>
      <c r="AG319">
        <v>0</v>
      </c>
      <c r="AH319">
        <v>0</v>
      </c>
      <c r="AI319">
        <v>1</v>
      </c>
      <c r="AJ319">
        <v>0</v>
      </c>
      <c r="AK319">
        <v>0</v>
      </c>
      <c r="AL319">
        <v>0</v>
      </c>
      <c r="AM319">
        <v>0</v>
      </c>
      <c r="AN319">
        <v>0</v>
      </c>
      <c r="AO319">
        <v>0</v>
      </c>
      <c r="AP319">
        <v>0</v>
      </c>
      <c r="AQ319">
        <v>0</v>
      </c>
      <c r="AR319">
        <v>0</v>
      </c>
      <c r="AS319">
        <f t="shared" si="60"/>
        <v>2</v>
      </c>
      <c r="AT319">
        <f t="shared" si="61"/>
        <v>2</v>
      </c>
      <c r="AU319" s="3" t="s">
        <v>232</v>
      </c>
      <c r="AV319">
        <f t="shared" si="62"/>
        <v>1</v>
      </c>
      <c r="AW319">
        <f t="shared" si="63"/>
        <v>0</v>
      </c>
      <c r="AX319">
        <f t="shared" si="64"/>
        <v>0</v>
      </c>
      <c r="AY319">
        <v>2.5</v>
      </c>
      <c r="AZ319" t="s">
        <v>60</v>
      </c>
      <c r="BA319" t="s">
        <v>61</v>
      </c>
      <c r="BB319" t="s">
        <v>8</v>
      </c>
    </row>
    <row r="320" ht="17" spans="1:54">
      <c r="A320" t="s">
        <v>1109</v>
      </c>
      <c r="B320" t="s">
        <v>1041</v>
      </c>
      <c r="C320" t="s">
        <v>56</v>
      </c>
      <c r="D320">
        <v>0</v>
      </c>
      <c r="E320">
        <v>0</v>
      </c>
      <c r="F320">
        <v>58.8</v>
      </c>
      <c r="G320" t="s">
        <v>1110</v>
      </c>
      <c r="H320" s="3" t="s">
        <v>1111</v>
      </c>
      <c r="I320" s="3" t="s">
        <v>1112</v>
      </c>
      <c r="J320">
        <f t="shared" si="52"/>
        <v>0</v>
      </c>
      <c r="K320">
        <f t="shared" si="53"/>
        <v>0</v>
      </c>
      <c r="L320">
        <f t="shared" si="54"/>
        <v>0</v>
      </c>
      <c r="M320">
        <f t="shared" si="55"/>
        <v>0</v>
      </c>
      <c r="N320">
        <f t="shared" si="56"/>
        <v>1</v>
      </c>
      <c r="O320">
        <f t="shared" si="57"/>
        <v>0</v>
      </c>
      <c r="P320">
        <f t="shared" si="58"/>
        <v>0</v>
      </c>
      <c r="Q320">
        <f t="shared" si="59"/>
        <v>0</v>
      </c>
      <c r="R320">
        <v>0</v>
      </c>
      <c r="S320">
        <v>0</v>
      </c>
      <c r="T320">
        <v>0</v>
      </c>
      <c r="U320">
        <v>0</v>
      </c>
      <c r="V320">
        <v>0</v>
      </c>
      <c r="W320">
        <v>0</v>
      </c>
      <c r="X320">
        <v>0</v>
      </c>
      <c r="Y320">
        <v>0</v>
      </c>
      <c r="Z320">
        <v>0</v>
      </c>
      <c r="AA320">
        <v>0</v>
      </c>
      <c r="AB320">
        <v>0</v>
      </c>
      <c r="AC320">
        <v>0</v>
      </c>
      <c r="AD320">
        <v>0</v>
      </c>
      <c r="AE320">
        <v>0</v>
      </c>
      <c r="AF320">
        <v>0</v>
      </c>
      <c r="AG320">
        <v>0</v>
      </c>
      <c r="AH320">
        <v>1</v>
      </c>
      <c r="AI320">
        <v>0</v>
      </c>
      <c r="AJ320">
        <v>0</v>
      </c>
      <c r="AK320">
        <v>0</v>
      </c>
      <c r="AL320">
        <v>0</v>
      </c>
      <c r="AM320">
        <v>0</v>
      </c>
      <c r="AN320">
        <v>0</v>
      </c>
      <c r="AO320">
        <v>0</v>
      </c>
      <c r="AP320">
        <v>0</v>
      </c>
      <c r="AQ320">
        <v>0</v>
      </c>
      <c r="AR320">
        <v>0</v>
      </c>
      <c r="AS320">
        <f t="shared" si="60"/>
        <v>1</v>
      </c>
      <c r="AT320">
        <f t="shared" si="61"/>
        <v>1</v>
      </c>
      <c r="AU320" s="3" t="s">
        <v>129</v>
      </c>
      <c r="AV320">
        <f t="shared" si="62"/>
        <v>1</v>
      </c>
      <c r="AW320">
        <f t="shared" si="63"/>
        <v>0</v>
      </c>
      <c r="AX320">
        <f t="shared" si="64"/>
        <v>0</v>
      </c>
      <c r="AY320">
        <v>0</v>
      </c>
      <c r="AZ320" t="s">
        <v>147</v>
      </c>
      <c r="BA320" t="s">
        <v>148</v>
      </c>
      <c r="BB320" t="s">
        <v>8</v>
      </c>
    </row>
    <row r="321" ht="252" spans="1:54">
      <c r="A321" t="s">
        <v>1113</v>
      </c>
      <c r="B321" t="s">
        <v>1041</v>
      </c>
      <c r="C321" t="s">
        <v>56</v>
      </c>
      <c r="D321">
        <v>9</v>
      </c>
      <c r="E321">
        <v>0</v>
      </c>
      <c r="F321">
        <v>70</v>
      </c>
      <c r="G321" t="s">
        <v>57</v>
      </c>
      <c r="H321" s="3" t="s">
        <v>1114</v>
      </c>
      <c r="I321" s="3" t="s">
        <v>1115</v>
      </c>
      <c r="J321">
        <f t="shared" si="52"/>
        <v>1</v>
      </c>
      <c r="K321">
        <f t="shared" si="53"/>
        <v>1</v>
      </c>
      <c r="L321">
        <f t="shared" si="54"/>
        <v>0</v>
      </c>
      <c r="M321">
        <f t="shared" si="55"/>
        <v>0</v>
      </c>
      <c r="N321">
        <f t="shared" si="56"/>
        <v>1</v>
      </c>
      <c r="O321">
        <f t="shared" si="57"/>
        <v>1</v>
      </c>
      <c r="P321">
        <f t="shared" si="58"/>
        <v>0</v>
      </c>
      <c r="Q321">
        <f t="shared" si="59"/>
        <v>1</v>
      </c>
      <c r="R321">
        <v>0</v>
      </c>
      <c r="S321">
        <v>0</v>
      </c>
      <c r="T321">
        <v>1</v>
      </c>
      <c r="U321">
        <v>0</v>
      </c>
      <c r="V321">
        <v>1</v>
      </c>
      <c r="W321">
        <v>0</v>
      </c>
      <c r="X321">
        <v>0</v>
      </c>
      <c r="Y321">
        <v>0</v>
      </c>
      <c r="Z321">
        <v>0</v>
      </c>
      <c r="AA321">
        <v>0</v>
      </c>
      <c r="AB321">
        <v>0</v>
      </c>
      <c r="AC321">
        <v>0</v>
      </c>
      <c r="AD321">
        <v>0</v>
      </c>
      <c r="AE321">
        <v>0</v>
      </c>
      <c r="AF321">
        <v>0</v>
      </c>
      <c r="AG321">
        <v>0</v>
      </c>
      <c r="AH321">
        <v>1</v>
      </c>
      <c r="AI321">
        <v>1</v>
      </c>
      <c r="AJ321">
        <v>0</v>
      </c>
      <c r="AK321">
        <v>0</v>
      </c>
      <c r="AL321">
        <v>0</v>
      </c>
      <c r="AM321">
        <v>0</v>
      </c>
      <c r="AN321">
        <v>0</v>
      </c>
      <c r="AO321">
        <v>0</v>
      </c>
      <c r="AP321">
        <v>0</v>
      </c>
      <c r="AQ321">
        <v>0</v>
      </c>
      <c r="AR321">
        <v>1</v>
      </c>
      <c r="AS321">
        <f t="shared" si="60"/>
        <v>5</v>
      </c>
      <c r="AT321">
        <f t="shared" si="61"/>
        <v>5</v>
      </c>
      <c r="AU321" s="3" t="s">
        <v>1116</v>
      </c>
      <c r="AV321">
        <f t="shared" si="62"/>
        <v>1</v>
      </c>
      <c r="AW321">
        <f t="shared" si="63"/>
        <v>0</v>
      </c>
      <c r="AX321">
        <f t="shared" si="64"/>
        <v>0</v>
      </c>
      <c r="AY321">
        <v>6.5</v>
      </c>
      <c r="AZ321" t="s">
        <v>60</v>
      </c>
      <c r="BA321" t="s">
        <v>61</v>
      </c>
      <c r="BB321" t="s">
        <v>8</v>
      </c>
    </row>
    <row r="322" ht="252" spans="1:54">
      <c r="A322" t="s">
        <v>1117</v>
      </c>
      <c r="B322" t="s">
        <v>1041</v>
      </c>
      <c r="C322" t="s">
        <v>56</v>
      </c>
      <c r="D322">
        <v>8</v>
      </c>
      <c r="E322">
        <v>3</v>
      </c>
      <c r="F322">
        <v>34.3</v>
      </c>
      <c r="G322" t="s">
        <v>57</v>
      </c>
      <c r="H322" s="3" t="s">
        <v>1118</v>
      </c>
      <c r="I322" s="3" t="s">
        <v>1119</v>
      </c>
      <c r="J322">
        <f t="shared" ref="J322:J385" si="65">IF(SUM(R322:T322)&gt;0,1,0)</f>
        <v>0</v>
      </c>
      <c r="K322">
        <f t="shared" ref="K322:K385" si="66">IF(SUM(U322:Y322)&gt;0,1,0)</f>
        <v>0</v>
      </c>
      <c r="L322">
        <f t="shared" ref="L322:L385" si="67">IF(SUM(Z322:AC322)&gt;0,1,0)</f>
        <v>0</v>
      </c>
      <c r="M322">
        <f t="shared" ref="M322:M385" si="68">IF(SUM(AD322:AF322)&gt;0,1,0)</f>
        <v>0</v>
      </c>
      <c r="N322">
        <f t="shared" ref="N322:N385" si="69">IF(SUM(AG322:AH322)&gt;0,1,0)</f>
        <v>1</v>
      </c>
      <c r="O322">
        <f t="shared" ref="O322:O385" si="70">IF(SUM(AI322:AL322)&gt;0,1,0)</f>
        <v>1</v>
      </c>
      <c r="P322">
        <f t="shared" ref="P322:P385" si="71">IF(SUM(AM322:AQ322)&gt;0,1,0)</f>
        <v>0</v>
      </c>
      <c r="Q322">
        <f t="shared" ref="Q322:Q385" si="72">IF(AR322&gt;0,1,0)</f>
        <v>0</v>
      </c>
      <c r="R322">
        <v>0</v>
      </c>
      <c r="S322">
        <v>0</v>
      </c>
      <c r="T322">
        <v>0</v>
      </c>
      <c r="U322">
        <v>0</v>
      </c>
      <c r="V322">
        <v>0</v>
      </c>
      <c r="W322">
        <v>0</v>
      </c>
      <c r="X322">
        <v>0</v>
      </c>
      <c r="Y322">
        <v>0</v>
      </c>
      <c r="Z322">
        <v>0</v>
      </c>
      <c r="AA322">
        <v>0</v>
      </c>
      <c r="AB322">
        <v>0</v>
      </c>
      <c r="AC322">
        <v>0</v>
      </c>
      <c r="AD322">
        <v>0</v>
      </c>
      <c r="AE322">
        <v>0</v>
      </c>
      <c r="AF322">
        <v>0</v>
      </c>
      <c r="AG322">
        <v>1</v>
      </c>
      <c r="AH322">
        <v>1</v>
      </c>
      <c r="AI322">
        <v>1</v>
      </c>
      <c r="AJ322">
        <v>0</v>
      </c>
      <c r="AK322">
        <v>0</v>
      </c>
      <c r="AL322">
        <v>0</v>
      </c>
      <c r="AM322">
        <v>0</v>
      </c>
      <c r="AN322">
        <v>0</v>
      </c>
      <c r="AO322">
        <v>0</v>
      </c>
      <c r="AP322">
        <v>0</v>
      </c>
      <c r="AQ322">
        <v>0</v>
      </c>
      <c r="AR322">
        <v>0</v>
      </c>
      <c r="AS322">
        <f t="shared" ref="AS322:AS385" si="73">SUM(J322:Q322)</f>
        <v>2</v>
      </c>
      <c r="AT322">
        <f t="shared" ref="AT322:AT385" si="74">SUM(R322:AR322)</f>
        <v>3</v>
      </c>
      <c r="AU322" s="3" t="s">
        <v>1120</v>
      </c>
      <c r="AV322">
        <f t="shared" ref="AV322:AV385" si="75">IF(AT322&gt;0,1,0)</f>
        <v>1</v>
      </c>
      <c r="AW322">
        <f t="shared" ref="AW322:AW385" si="76">IF(AT322=0,1,0)</f>
        <v>0</v>
      </c>
      <c r="AX322">
        <f t="shared" ref="AX322:AX385" si="77">IF(AT322&gt;=8,1,0)</f>
        <v>0</v>
      </c>
      <c r="AY322">
        <v>-1</v>
      </c>
      <c r="AZ322" t="s">
        <v>133</v>
      </c>
      <c r="BA322" t="s">
        <v>134</v>
      </c>
      <c r="BB322" t="s">
        <v>8</v>
      </c>
    </row>
    <row r="323" ht="34" spans="1:54">
      <c r="A323" t="s">
        <v>1121</v>
      </c>
      <c r="B323" t="s">
        <v>1041</v>
      </c>
      <c r="C323" t="s">
        <v>56</v>
      </c>
      <c r="D323">
        <v>5</v>
      </c>
      <c r="E323">
        <v>0</v>
      </c>
      <c r="F323">
        <v>72.9</v>
      </c>
      <c r="G323" t="s">
        <v>57</v>
      </c>
      <c r="H323" s="3" t="s">
        <v>1122</v>
      </c>
      <c r="I323" s="3" t="s">
        <v>1123</v>
      </c>
      <c r="J323">
        <f t="shared" si="65"/>
        <v>0</v>
      </c>
      <c r="K323">
        <f t="shared" si="66"/>
        <v>1</v>
      </c>
      <c r="L323">
        <f t="shared" si="67"/>
        <v>0</v>
      </c>
      <c r="M323">
        <f t="shared" si="68"/>
        <v>0</v>
      </c>
      <c r="N323">
        <f t="shared" si="69"/>
        <v>1</v>
      </c>
      <c r="O323">
        <f t="shared" si="70"/>
        <v>0</v>
      </c>
      <c r="P323">
        <f t="shared" si="71"/>
        <v>0</v>
      </c>
      <c r="Q323">
        <f t="shared" si="72"/>
        <v>0</v>
      </c>
      <c r="R323">
        <v>0</v>
      </c>
      <c r="S323">
        <v>0</v>
      </c>
      <c r="T323">
        <v>0</v>
      </c>
      <c r="U323">
        <v>0</v>
      </c>
      <c r="V323">
        <v>1</v>
      </c>
      <c r="W323">
        <v>0</v>
      </c>
      <c r="X323">
        <v>0</v>
      </c>
      <c r="Y323">
        <v>0</v>
      </c>
      <c r="Z323">
        <v>0</v>
      </c>
      <c r="AA323">
        <v>0</v>
      </c>
      <c r="AB323">
        <v>0</v>
      </c>
      <c r="AC323">
        <v>0</v>
      </c>
      <c r="AD323">
        <v>0</v>
      </c>
      <c r="AE323">
        <v>0</v>
      </c>
      <c r="AF323">
        <v>0</v>
      </c>
      <c r="AG323">
        <v>0</v>
      </c>
      <c r="AH323">
        <v>1</v>
      </c>
      <c r="AI323">
        <v>0</v>
      </c>
      <c r="AJ323">
        <v>0</v>
      </c>
      <c r="AK323">
        <v>0</v>
      </c>
      <c r="AL323">
        <v>0</v>
      </c>
      <c r="AM323">
        <v>0</v>
      </c>
      <c r="AN323">
        <v>0</v>
      </c>
      <c r="AO323">
        <v>0</v>
      </c>
      <c r="AP323">
        <v>0</v>
      </c>
      <c r="AQ323">
        <v>0</v>
      </c>
      <c r="AR323">
        <v>0</v>
      </c>
      <c r="AS323">
        <f t="shared" si="73"/>
        <v>2</v>
      </c>
      <c r="AT323">
        <f t="shared" si="74"/>
        <v>2</v>
      </c>
      <c r="AU323" s="3" t="s">
        <v>1124</v>
      </c>
      <c r="AV323">
        <f t="shared" si="75"/>
        <v>1</v>
      </c>
      <c r="AW323">
        <f t="shared" si="76"/>
        <v>0</v>
      </c>
      <c r="AX323">
        <f t="shared" si="77"/>
        <v>0</v>
      </c>
      <c r="AY323">
        <v>2</v>
      </c>
      <c r="AZ323" t="s">
        <v>60</v>
      </c>
      <c r="BA323" t="s">
        <v>61</v>
      </c>
      <c r="BB323" t="s">
        <v>8</v>
      </c>
    </row>
    <row r="324" ht="34" spans="1:54">
      <c r="A324" t="s">
        <v>1125</v>
      </c>
      <c r="B324" t="s">
        <v>1041</v>
      </c>
      <c r="C324" t="s">
        <v>116</v>
      </c>
      <c r="D324">
        <v>19</v>
      </c>
      <c r="E324">
        <v>2</v>
      </c>
      <c r="F324">
        <v>0.4</v>
      </c>
      <c r="G324" t="s">
        <v>57</v>
      </c>
      <c r="H324" s="3" t="s">
        <v>1126</v>
      </c>
      <c r="I324" s="3" t="s">
        <v>1127</v>
      </c>
      <c r="J324">
        <f t="shared" si="65"/>
        <v>1</v>
      </c>
      <c r="K324">
        <f t="shared" si="66"/>
        <v>0</v>
      </c>
      <c r="L324">
        <f t="shared" si="67"/>
        <v>0</v>
      </c>
      <c r="M324">
        <f t="shared" si="68"/>
        <v>0</v>
      </c>
      <c r="N324">
        <f t="shared" si="69"/>
        <v>0</v>
      </c>
      <c r="O324">
        <f t="shared" si="70"/>
        <v>0</v>
      </c>
      <c r="P324">
        <f t="shared" si="71"/>
        <v>0</v>
      </c>
      <c r="Q324">
        <f t="shared" si="72"/>
        <v>0</v>
      </c>
      <c r="R324">
        <v>1</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f t="shared" si="73"/>
        <v>1</v>
      </c>
      <c r="AT324">
        <f t="shared" si="74"/>
        <v>1</v>
      </c>
      <c r="AU324" s="3" t="s">
        <v>1128</v>
      </c>
      <c r="AV324">
        <f t="shared" si="75"/>
        <v>1</v>
      </c>
      <c r="AW324">
        <f t="shared" si="76"/>
        <v>0</v>
      </c>
      <c r="AX324">
        <f t="shared" si="77"/>
        <v>0</v>
      </c>
      <c r="AY324">
        <v>-1</v>
      </c>
      <c r="AZ324" t="s">
        <v>133</v>
      </c>
      <c r="BA324" t="s">
        <v>134</v>
      </c>
      <c r="BB324" t="s">
        <v>8</v>
      </c>
    </row>
    <row r="325" ht="34" spans="1:54">
      <c r="A325" t="s">
        <v>1129</v>
      </c>
      <c r="B325" t="s">
        <v>1041</v>
      </c>
      <c r="C325" t="s">
        <v>56</v>
      </c>
      <c r="D325">
        <v>0</v>
      </c>
      <c r="E325">
        <v>1</v>
      </c>
      <c r="F325">
        <v>15.8</v>
      </c>
      <c r="G325" t="s">
        <v>57</v>
      </c>
      <c r="H325" s="3" t="s">
        <v>1130</v>
      </c>
      <c r="I325" s="3" t="s">
        <v>1131</v>
      </c>
      <c r="J325">
        <f t="shared" si="65"/>
        <v>1</v>
      </c>
      <c r="K325">
        <f t="shared" si="66"/>
        <v>0</v>
      </c>
      <c r="L325">
        <f t="shared" si="67"/>
        <v>0</v>
      </c>
      <c r="M325">
        <f t="shared" si="68"/>
        <v>0</v>
      </c>
      <c r="N325">
        <f t="shared" si="69"/>
        <v>0</v>
      </c>
      <c r="O325">
        <f t="shared" si="70"/>
        <v>1</v>
      </c>
      <c r="P325">
        <f t="shared" si="71"/>
        <v>0</v>
      </c>
      <c r="Q325">
        <f t="shared" si="72"/>
        <v>0</v>
      </c>
      <c r="R325">
        <v>0</v>
      </c>
      <c r="S325">
        <v>1</v>
      </c>
      <c r="T325">
        <v>0</v>
      </c>
      <c r="U325">
        <v>0</v>
      </c>
      <c r="V325">
        <v>0</v>
      </c>
      <c r="W325">
        <v>0</v>
      </c>
      <c r="X325">
        <v>0</v>
      </c>
      <c r="Y325">
        <v>0</v>
      </c>
      <c r="Z325">
        <v>0</v>
      </c>
      <c r="AA325">
        <v>0</v>
      </c>
      <c r="AB325">
        <v>0</v>
      </c>
      <c r="AC325">
        <v>0</v>
      </c>
      <c r="AD325">
        <v>0</v>
      </c>
      <c r="AE325">
        <v>0</v>
      </c>
      <c r="AF325">
        <v>0</v>
      </c>
      <c r="AG325">
        <v>0</v>
      </c>
      <c r="AH325">
        <v>0</v>
      </c>
      <c r="AI325">
        <v>1</v>
      </c>
      <c r="AJ325">
        <v>0</v>
      </c>
      <c r="AK325">
        <v>0</v>
      </c>
      <c r="AL325">
        <v>0</v>
      </c>
      <c r="AM325">
        <v>0</v>
      </c>
      <c r="AN325">
        <v>0</v>
      </c>
      <c r="AO325">
        <v>0</v>
      </c>
      <c r="AP325">
        <v>0</v>
      </c>
      <c r="AQ325">
        <v>0</v>
      </c>
      <c r="AR325">
        <v>0</v>
      </c>
      <c r="AS325">
        <f t="shared" si="73"/>
        <v>2</v>
      </c>
      <c r="AT325">
        <f t="shared" si="74"/>
        <v>2</v>
      </c>
      <c r="AU325" s="3" t="s">
        <v>1132</v>
      </c>
      <c r="AV325">
        <f t="shared" si="75"/>
        <v>1</v>
      </c>
      <c r="AW325">
        <f t="shared" si="76"/>
        <v>0</v>
      </c>
      <c r="AX325">
        <f t="shared" si="77"/>
        <v>0</v>
      </c>
      <c r="AY325">
        <v>3</v>
      </c>
      <c r="AZ325" t="s">
        <v>60</v>
      </c>
      <c r="BA325" t="s">
        <v>61</v>
      </c>
      <c r="BB325" t="s">
        <v>8</v>
      </c>
    </row>
    <row r="326" ht="17" spans="1:54">
      <c r="A326" t="s">
        <v>1133</v>
      </c>
      <c r="B326" t="s">
        <v>1041</v>
      </c>
      <c r="C326" t="s">
        <v>56</v>
      </c>
      <c r="D326">
        <v>0</v>
      </c>
      <c r="E326">
        <v>1</v>
      </c>
      <c r="F326">
        <v>8.9</v>
      </c>
      <c r="G326" t="s">
        <v>57</v>
      </c>
      <c r="H326" s="3" t="s">
        <v>1134</v>
      </c>
      <c r="I326" s="3" t="s">
        <v>1135</v>
      </c>
      <c r="J326">
        <f t="shared" si="65"/>
        <v>0</v>
      </c>
      <c r="K326">
        <f t="shared" si="66"/>
        <v>1</v>
      </c>
      <c r="L326">
        <f t="shared" si="67"/>
        <v>0</v>
      </c>
      <c r="M326">
        <f t="shared" si="68"/>
        <v>0</v>
      </c>
      <c r="N326">
        <f t="shared" si="69"/>
        <v>1</v>
      </c>
      <c r="O326">
        <f t="shared" si="70"/>
        <v>0</v>
      </c>
      <c r="P326">
        <f t="shared" si="71"/>
        <v>0</v>
      </c>
      <c r="Q326">
        <f t="shared" si="72"/>
        <v>0</v>
      </c>
      <c r="R326">
        <v>0</v>
      </c>
      <c r="S326">
        <v>0</v>
      </c>
      <c r="T326">
        <v>0</v>
      </c>
      <c r="U326">
        <v>0</v>
      </c>
      <c r="V326">
        <v>1</v>
      </c>
      <c r="W326">
        <v>0</v>
      </c>
      <c r="X326">
        <v>0</v>
      </c>
      <c r="Y326">
        <v>0</v>
      </c>
      <c r="Z326">
        <v>0</v>
      </c>
      <c r="AA326">
        <v>0</v>
      </c>
      <c r="AB326">
        <v>0</v>
      </c>
      <c r="AC326">
        <v>0</v>
      </c>
      <c r="AD326">
        <v>0</v>
      </c>
      <c r="AE326">
        <v>0</v>
      </c>
      <c r="AF326">
        <v>0</v>
      </c>
      <c r="AG326">
        <v>0</v>
      </c>
      <c r="AH326">
        <v>1</v>
      </c>
      <c r="AI326">
        <v>0</v>
      </c>
      <c r="AJ326">
        <v>0</v>
      </c>
      <c r="AK326">
        <v>0</v>
      </c>
      <c r="AL326">
        <v>0</v>
      </c>
      <c r="AM326">
        <v>0</v>
      </c>
      <c r="AN326">
        <v>0</v>
      </c>
      <c r="AO326">
        <v>0</v>
      </c>
      <c r="AP326">
        <v>0</v>
      </c>
      <c r="AQ326">
        <v>0</v>
      </c>
      <c r="AR326">
        <v>0</v>
      </c>
      <c r="AS326">
        <f t="shared" si="73"/>
        <v>2</v>
      </c>
      <c r="AT326">
        <f t="shared" si="74"/>
        <v>2</v>
      </c>
      <c r="AU326" s="3" t="s">
        <v>1124</v>
      </c>
      <c r="AV326">
        <f t="shared" si="75"/>
        <v>1</v>
      </c>
      <c r="AW326">
        <f t="shared" si="76"/>
        <v>0</v>
      </c>
      <c r="AX326">
        <f t="shared" si="77"/>
        <v>0</v>
      </c>
      <c r="AY326">
        <v>3</v>
      </c>
      <c r="AZ326" t="s">
        <v>60</v>
      </c>
      <c r="BA326" t="s">
        <v>61</v>
      </c>
      <c r="BB326" t="s">
        <v>8</v>
      </c>
    </row>
    <row r="327" ht="51" spans="1:54">
      <c r="A327" t="s">
        <v>1136</v>
      </c>
      <c r="B327" t="s">
        <v>1041</v>
      </c>
      <c r="C327" t="s">
        <v>56</v>
      </c>
      <c r="D327">
        <v>5</v>
      </c>
      <c r="E327">
        <v>1</v>
      </c>
      <c r="F327">
        <v>21.9</v>
      </c>
      <c r="G327" t="s">
        <v>57</v>
      </c>
      <c r="H327" s="3" t="s">
        <v>1137</v>
      </c>
      <c r="I327" s="3" t="s">
        <v>1138</v>
      </c>
      <c r="J327">
        <f t="shared" si="65"/>
        <v>0</v>
      </c>
      <c r="K327">
        <f t="shared" si="66"/>
        <v>1</v>
      </c>
      <c r="L327">
        <f t="shared" si="67"/>
        <v>1</v>
      </c>
      <c r="M327">
        <f t="shared" si="68"/>
        <v>0</v>
      </c>
      <c r="N327">
        <f t="shared" si="69"/>
        <v>1</v>
      </c>
      <c r="O327">
        <f t="shared" si="70"/>
        <v>0</v>
      </c>
      <c r="P327">
        <f t="shared" si="71"/>
        <v>0</v>
      </c>
      <c r="Q327">
        <f t="shared" si="72"/>
        <v>0</v>
      </c>
      <c r="R327">
        <v>0</v>
      </c>
      <c r="S327">
        <v>0</v>
      </c>
      <c r="T327">
        <v>0</v>
      </c>
      <c r="U327">
        <v>0</v>
      </c>
      <c r="V327">
        <v>0</v>
      </c>
      <c r="W327">
        <v>0</v>
      </c>
      <c r="X327">
        <v>0</v>
      </c>
      <c r="Y327">
        <v>1</v>
      </c>
      <c r="Z327">
        <v>0</v>
      </c>
      <c r="AA327">
        <v>1</v>
      </c>
      <c r="AB327">
        <v>0</v>
      </c>
      <c r="AC327">
        <v>0</v>
      </c>
      <c r="AD327">
        <v>0</v>
      </c>
      <c r="AE327">
        <v>0</v>
      </c>
      <c r="AF327">
        <v>0</v>
      </c>
      <c r="AG327">
        <v>0</v>
      </c>
      <c r="AH327">
        <v>1</v>
      </c>
      <c r="AI327">
        <v>0</v>
      </c>
      <c r="AJ327">
        <v>0</v>
      </c>
      <c r="AK327">
        <v>0</v>
      </c>
      <c r="AL327">
        <v>0</v>
      </c>
      <c r="AM327">
        <v>0</v>
      </c>
      <c r="AN327">
        <v>0</v>
      </c>
      <c r="AO327">
        <v>0</v>
      </c>
      <c r="AP327">
        <v>0</v>
      </c>
      <c r="AQ327">
        <v>0</v>
      </c>
      <c r="AR327">
        <v>0</v>
      </c>
      <c r="AS327">
        <f t="shared" si="73"/>
        <v>3</v>
      </c>
      <c r="AT327">
        <f t="shared" si="74"/>
        <v>3</v>
      </c>
      <c r="AU327" s="3" t="s">
        <v>1139</v>
      </c>
      <c r="AV327">
        <f t="shared" si="75"/>
        <v>1</v>
      </c>
      <c r="AW327">
        <f t="shared" si="76"/>
        <v>0</v>
      </c>
      <c r="AX327">
        <f t="shared" si="77"/>
        <v>0</v>
      </c>
      <c r="AY327">
        <v>1.5</v>
      </c>
      <c r="AZ327" t="s">
        <v>60</v>
      </c>
      <c r="BA327" t="s">
        <v>61</v>
      </c>
      <c r="BB327" t="s">
        <v>8</v>
      </c>
    </row>
    <row r="328" ht="286" spans="1:54">
      <c r="A328" t="s">
        <v>1140</v>
      </c>
      <c r="B328" t="s">
        <v>1041</v>
      </c>
      <c r="C328" t="s">
        <v>116</v>
      </c>
      <c r="D328">
        <v>5</v>
      </c>
      <c r="E328">
        <v>0</v>
      </c>
      <c r="F328">
        <v>17.9</v>
      </c>
      <c r="G328" t="s">
        <v>57</v>
      </c>
      <c r="H328" s="3" t="s">
        <v>1141</v>
      </c>
      <c r="I328" s="3" t="s">
        <v>1142</v>
      </c>
      <c r="J328">
        <f t="shared" si="65"/>
        <v>0</v>
      </c>
      <c r="K328">
        <f t="shared" si="66"/>
        <v>1</v>
      </c>
      <c r="L328">
        <f t="shared" si="67"/>
        <v>0</v>
      </c>
      <c r="M328">
        <f t="shared" si="68"/>
        <v>0</v>
      </c>
      <c r="N328">
        <f t="shared" si="69"/>
        <v>1</v>
      </c>
      <c r="O328">
        <f t="shared" si="70"/>
        <v>0</v>
      </c>
      <c r="P328">
        <f t="shared" si="71"/>
        <v>0</v>
      </c>
      <c r="Q328">
        <f t="shared" si="72"/>
        <v>0</v>
      </c>
      <c r="R328">
        <v>0</v>
      </c>
      <c r="S328">
        <v>0</v>
      </c>
      <c r="T328">
        <v>0</v>
      </c>
      <c r="U328">
        <v>0</v>
      </c>
      <c r="V328">
        <v>1</v>
      </c>
      <c r="W328">
        <v>1</v>
      </c>
      <c r="X328">
        <v>0</v>
      </c>
      <c r="Y328">
        <v>0</v>
      </c>
      <c r="Z328">
        <v>0</v>
      </c>
      <c r="AA328">
        <v>0</v>
      </c>
      <c r="AB328">
        <v>0</v>
      </c>
      <c r="AC328">
        <v>0</v>
      </c>
      <c r="AD328">
        <v>0</v>
      </c>
      <c r="AE328">
        <v>0</v>
      </c>
      <c r="AF328">
        <v>0</v>
      </c>
      <c r="AG328">
        <v>0</v>
      </c>
      <c r="AH328">
        <v>1</v>
      </c>
      <c r="AI328">
        <v>0</v>
      </c>
      <c r="AJ328">
        <v>0</v>
      </c>
      <c r="AK328">
        <v>0</v>
      </c>
      <c r="AL328">
        <v>0</v>
      </c>
      <c r="AM328">
        <v>0</v>
      </c>
      <c r="AN328">
        <v>0</v>
      </c>
      <c r="AO328">
        <v>0</v>
      </c>
      <c r="AP328">
        <v>0</v>
      </c>
      <c r="AQ328">
        <v>0</v>
      </c>
      <c r="AR328">
        <v>0</v>
      </c>
      <c r="AS328">
        <f t="shared" si="73"/>
        <v>2</v>
      </c>
      <c r="AT328">
        <f t="shared" si="74"/>
        <v>3</v>
      </c>
      <c r="AU328" s="3" t="s">
        <v>1143</v>
      </c>
      <c r="AV328">
        <f t="shared" si="75"/>
        <v>1</v>
      </c>
      <c r="AW328">
        <f t="shared" si="76"/>
        <v>0</v>
      </c>
      <c r="AX328">
        <f t="shared" si="77"/>
        <v>0</v>
      </c>
      <c r="AY328">
        <v>2.5</v>
      </c>
      <c r="AZ328" t="s">
        <v>60</v>
      </c>
      <c r="BA328" t="s">
        <v>61</v>
      </c>
      <c r="BB328" t="s">
        <v>8</v>
      </c>
    </row>
    <row r="329" ht="17" spans="1:54">
      <c r="A329" t="s">
        <v>1144</v>
      </c>
      <c r="B329" t="s">
        <v>1041</v>
      </c>
      <c r="C329" t="s">
        <v>56</v>
      </c>
      <c r="D329">
        <v>0</v>
      </c>
      <c r="E329">
        <v>0</v>
      </c>
      <c r="F329">
        <v>5</v>
      </c>
      <c r="G329" t="s">
        <v>346</v>
      </c>
      <c r="H329" s="3" t="s">
        <v>1145</v>
      </c>
      <c r="I329" s="3" t="s">
        <v>1146</v>
      </c>
      <c r="J329">
        <f t="shared" si="65"/>
        <v>0</v>
      </c>
      <c r="K329">
        <f t="shared" si="66"/>
        <v>0</v>
      </c>
      <c r="L329">
        <f t="shared" si="67"/>
        <v>0</v>
      </c>
      <c r="M329">
        <f t="shared" si="68"/>
        <v>0</v>
      </c>
      <c r="N329">
        <f t="shared" si="69"/>
        <v>0</v>
      </c>
      <c r="O329">
        <f t="shared" si="70"/>
        <v>0</v>
      </c>
      <c r="P329">
        <f t="shared" si="71"/>
        <v>0</v>
      </c>
      <c r="Q329">
        <f t="shared" si="72"/>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f t="shared" si="73"/>
        <v>0</v>
      </c>
      <c r="AT329">
        <f t="shared" si="74"/>
        <v>0</v>
      </c>
      <c r="AU329" s="3" t="s">
        <v>118</v>
      </c>
      <c r="AV329">
        <f t="shared" si="75"/>
        <v>0</v>
      </c>
      <c r="AW329">
        <f t="shared" si="76"/>
        <v>1</v>
      </c>
      <c r="AX329">
        <f t="shared" si="77"/>
        <v>0</v>
      </c>
      <c r="AY329">
        <v>1</v>
      </c>
      <c r="AZ329" t="s">
        <v>60</v>
      </c>
      <c r="BA329" t="s">
        <v>61</v>
      </c>
      <c r="BB329" t="s">
        <v>8</v>
      </c>
    </row>
    <row r="330" ht="17" spans="1:54">
      <c r="A330" t="s">
        <v>1147</v>
      </c>
      <c r="B330" t="s">
        <v>1041</v>
      </c>
      <c r="C330" t="s">
        <v>56</v>
      </c>
      <c r="D330">
        <v>12</v>
      </c>
      <c r="E330">
        <v>0</v>
      </c>
      <c r="F330">
        <v>58.4</v>
      </c>
      <c r="G330" t="s">
        <v>57</v>
      </c>
      <c r="H330" s="3" t="s">
        <v>1148</v>
      </c>
      <c r="I330" s="3" t="s">
        <v>1149</v>
      </c>
      <c r="J330">
        <f t="shared" si="65"/>
        <v>0</v>
      </c>
      <c r="K330">
        <f t="shared" si="66"/>
        <v>0</v>
      </c>
      <c r="L330">
        <f t="shared" si="67"/>
        <v>0</v>
      </c>
      <c r="M330">
        <f t="shared" si="68"/>
        <v>0</v>
      </c>
      <c r="N330">
        <f t="shared" si="69"/>
        <v>1</v>
      </c>
      <c r="O330">
        <f t="shared" si="70"/>
        <v>0</v>
      </c>
      <c r="P330">
        <f t="shared" si="71"/>
        <v>0</v>
      </c>
      <c r="Q330">
        <f t="shared" si="72"/>
        <v>0</v>
      </c>
      <c r="R330">
        <v>0</v>
      </c>
      <c r="S330">
        <v>0</v>
      </c>
      <c r="T330">
        <v>0</v>
      </c>
      <c r="U330">
        <v>0</v>
      </c>
      <c r="V330">
        <v>0</v>
      </c>
      <c r="W330">
        <v>0</v>
      </c>
      <c r="X330">
        <v>0</v>
      </c>
      <c r="Y330">
        <v>0</v>
      </c>
      <c r="Z330">
        <v>0</v>
      </c>
      <c r="AA330">
        <v>0</v>
      </c>
      <c r="AB330">
        <v>0</v>
      </c>
      <c r="AC330">
        <v>0</v>
      </c>
      <c r="AD330">
        <v>0</v>
      </c>
      <c r="AE330">
        <v>0</v>
      </c>
      <c r="AF330">
        <v>0</v>
      </c>
      <c r="AG330">
        <v>1</v>
      </c>
      <c r="AH330">
        <v>0</v>
      </c>
      <c r="AI330">
        <v>0</v>
      </c>
      <c r="AJ330">
        <v>0</v>
      </c>
      <c r="AK330">
        <v>0</v>
      </c>
      <c r="AL330">
        <v>0</v>
      </c>
      <c r="AM330">
        <v>0</v>
      </c>
      <c r="AN330">
        <v>0</v>
      </c>
      <c r="AO330">
        <v>0</v>
      </c>
      <c r="AP330">
        <v>0</v>
      </c>
      <c r="AQ330">
        <v>0</v>
      </c>
      <c r="AR330">
        <v>0</v>
      </c>
      <c r="AS330">
        <f t="shared" si="73"/>
        <v>1</v>
      </c>
      <c r="AT330">
        <f t="shared" si="74"/>
        <v>1</v>
      </c>
      <c r="AU330" s="3" t="s">
        <v>1150</v>
      </c>
      <c r="AV330">
        <f t="shared" si="75"/>
        <v>1</v>
      </c>
      <c r="AW330">
        <f t="shared" si="76"/>
        <v>0</v>
      </c>
      <c r="AX330">
        <f t="shared" si="77"/>
        <v>0</v>
      </c>
      <c r="AY330">
        <v>2</v>
      </c>
      <c r="AZ330" t="s">
        <v>60</v>
      </c>
      <c r="BA330" t="s">
        <v>61</v>
      </c>
      <c r="BB330" t="s">
        <v>8</v>
      </c>
    </row>
    <row r="331" ht="320" spans="1:54">
      <c r="A331" t="s">
        <v>1151</v>
      </c>
      <c r="B331" t="s">
        <v>1041</v>
      </c>
      <c r="C331" t="s">
        <v>56</v>
      </c>
      <c r="D331">
        <v>44</v>
      </c>
      <c r="E331">
        <v>2</v>
      </c>
      <c r="F331">
        <v>64.1</v>
      </c>
      <c r="G331" t="s">
        <v>106</v>
      </c>
      <c r="H331" s="3" t="s">
        <v>1152</v>
      </c>
      <c r="I331" s="3" t="s">
        <v>1153</v>
      </c>
      <c r="J331">
        <f t="shared" si="65"/>
        <v>0</v>
      </c>
      <c r="K331">
        <f t="shared" si="66"/>
        <v>1</v>
      </c>
      <c r="L331">
        <f t="shared" si="67"/>
        <v>0</v>
      </c>
      <c r="M331">
        <f t="shared" si="68"/>
        <v>0</v>
      </c>
      <c r="N331">
        <f t="shared" si="69"/>
        <v>1</v>
      </c>
      <c r="O331">
        <f t="shared" si="70"/>
        <v>1</v>
      </c>
      <c r="P331">
        <f t="shared" si="71"/>
        <v>0</v>
      </c>
      <c r="Q331">
        <f t="shared" si="72"/>
        <v>0</v>
      </c>
      <c r="R331">
        <v>0</v>
      </c>
      <c r="S331">
        <v>0</v>
      </c>
      <c r="T331">
        <v>0</v>
      </c>
      <c r="U331">
        <v>1</v>
      </c>
      <c r="V331">
        <v>0</v>
      </c>
      <c r="W331">
        <v>0</v>
      </c>
      <c r="X331">
        <v>0</v>
      </c>
      <c r="Y331">
        <v>0</v>
      </c>
      <c r="Z331">
        <v>0</v>
      </c>
      <c r="AA331">
        <v>0</v>
      </c>
      <c r="AB331">
        <v>0</v>
      </c>
      <c r="AC331">
        <v>0</v>
      </c>
      <c r="AD331">
        <v>0</v>
      </c>
      <c r="AE331">
        <v>0</v>
      </c>
      <c r="AF331">
        <v>0</v>
      </c>
      <c r="AG331">
        <v>1</v>
      </c>
      <c r="AH331">
        <v>1</v>
      </c>
      <c r="AI331">
        <v>0</v>
      </c>
      <c r="AJ331">
        <v>0</v>
      </c>
      <c r="AK331">
        <v>0</v>
      </c>
      <c r="AL331">
        <v>1</v>
      </c>
      <c r="AM331">
        <v>0</v>
      </c>
      <c r="AN331">
        <v>0</v>
      </c>
      <c r="AO331">
        <v>0</v>
      </c>
      <c r="AP331">
        <v>0</v>
      </c>
      <c r="AQ331">
        <v>0</v>
      </c>
      <c r="AR331">
        <v>0</v>
      </c>
      <c r="AS331">
        <f t="shared" si="73"/>
        <v>3</v>
      </c>
      <c r="AT331">
        <f t="shared" si="74"/>
        <v>4</v>
      </c>
      <c r="AU331" s="3" t="s">
        <v>1154</v>
      </c>
      <c r="AV331">
        <f t="shared" si="75"/>
        <v>1</v>
      </c>
      <c r="AW331">
        <f t="shared" si="76"/>
        <v>0</v>
      </c>
      <c r="AX331">
        <f t="shared" si="77"/>
        <v>0</v>
      </c>
      <c r="AY331">
        <v>0</v>
      </c>
      <c r="AZ331" t="s">
        <v>147</v>
      </c>
      <c r="BA331" t="s">
        <v>148</v>
      </c>
      <c r="BB331" t="s">
        <v>8</v>
      </c>
    </row>
    <row r="332" ht="336" spans="1:54">
      <c r="A332" t="s">
        <v>1155</v>
      </c>
      <c r="B332" t="s">
        <v>1041</v>
      </c>
      <c r="C332" t="s">
        <v>116</v>
      </c>
      <c r="D332">
        <v>93</v>
      </c>
      <c r="E332">
        <v>11</v>
      </c>
      <c r="F332">
        <v>1.6</v>
      </c>
      <c r="G332" t="s">
        <v>106</v>
      </c>
      <c r="H332" s="3" t="s">
        <v>1156</v>
      </c>
      <c r="I332" s="3" t="s">
        <v>1157</v>
      </c>
      <c r="J332">
        <f t="shared" si="65"/>
        <v>0</v>
      </c>
      <c r="K332">
        <f t="shared" si="66"/>
        <v>0</v>
      </c>
      <c r="L332">
        <f t="shared" si="67"/>
        <v>0</v>
      </c>
      <c r="M332">
        <f t="shared" si="68"/>
        <v>0</v>
      </c>
      <c r="N332">
        <f t="shared" si="69"/>
        <v>1</v>
      </c>
      <c r="O332">
        <f t="shared" si="70"/>
        <v>0</v>
      </c>
      <c r="P332">
        <f t="shared" si="71"/>
        <v>0</v>
      </c>
      <c r="Q332">
        <f t="shared" si="72"/>
        <v>0</v>
      </c>
      <c r="R332">
        <v>0</v>
      </c>
      <c r="S332">
        <v>0</v>
      </c>
      <c r="T332">
        <v>0</v>
      </c>
      <c r="U332">
        <v>0</v>
      </c>
      <c r="V332">
        <v>0</v>
      </c>
      <c r="W332">
        <v>0</v>
      </c>
      <c r="X332">
        <v>0</v>
      </c>
      <c r="Y332">
        <v>0</v>
      </c>
      <c r="Z332">
        <v>0</v>
      </c>
      <c r="AA332">
        <v>0</v>
      </c>
      <c r="AB332">
        <v>0</v>
      </c>
      <c r="AC332">
        <v>0</v>
      </c>
      <c r="AD332">
        <v>0</v>
      </c>
      <c r="AE332">
        <v>0</v>
      </c>
      <c r="AF332">
        <v>0</v>
      </c>
      <c r="AG332">
        <v>0</v>
      </c>
      <c r="AH332">
        <v>1</v>
      </c>
      <c r="AI332">
        <v>0</v>
      </c>
      <c r="AJ332">
        <v>0</v>
      </c>
      <c r="AK332">
        <v>0</v>
      </c>
      <c r="AL332">
        <v>0</v>
      </c>
      <c r="AM332">
        <v>0</v>
      </c>
      <c r="AN332">
        <v>0</v>
      </c>
      <c r="AO332">
        <v>0</v>
      </c>
      <c r="AP332">
        <v>0</v>
      </c>
      <c r="AQ332">
        <v>0</v>
      </c>
      <c r="AR332">
        <v>0</v>
      </c>
      <c r="AS332">
        <f t="shared" si="73"/>
        <v>1</v>
      </c>
      <c r="AT332">
        <f t="shared" si="74"/>
        <v>1</v>
      </c>
      <c r="AU332" s="3" t="s">
        <v>129</v>
      </c>
      <c r="AV332">
        <f t="shared" si="75"/>
        <v>1</v>
      </c>
      <c r="AW332">
        <f t="shared" si="76"/>
        <v>0</v>
      </c>
      <c r="AX332">
        <f t="shared" si="77"/>
        <v>0</v>
      </c>
      <c r="AY332">
        <v>3</v>
      </c>
      <c r="AZ332" t="s">
        <v>60</v>
      </c>
      <c r="BA332" t="s">
        <v>61</v>
      </c>
      <c r="BB332" t="s">
        <v>8</v>
      </c>
    </row>
    <row r="333" ht="320" spans="1:54">
      <c r="A333" t="s">
        <v>1158</v>
      </c>
      <c r="B333" t="s">
        <v>1041</v>
      </c>
      <c r="C333" t="s">
        <v>56</v>
      </c>
      <c r="D333">
        <v>0</v>
      </c>
      <c r="E333">
        <v>0</v>
      </c>
      <c r="F333">
        <v>38.8</v>
      </c>
      <c r="G333" t="s">
        <v>106</v>
      </c>
      <c r="H333" s="3" t="s">
        <v>1159</v>
      </c>
      <c r="I333" s="3" t="s">
        <v>1160</v>
      </c>
      <c r="J333">
        <f t="shared" si="65"/>
        <v>1</v>
      </c>
      <c r="K333">
        <f t="shared" si="66"/>
        <v>1</v>
      </c>
      <c r="L333">
        <f t="shared" si="67"/>
        <v>0</v>
      </c>
      <c r="M333">
        <f t="shared" si="68"/>
        <v>0</v>
      </c>
      <c r="N333">
        <f t="shared" si="69"/>
        <v>1</v>
      </c>
      <c r="O333">
        <f t="shared" si="70"/>
        <v>0</v>
      </c>
      <c r="P333">
        <f t="shared" si="71"/>
        <v>0</v>
      </c>
      <c r="Q333">
        <f t="shared" si="72"/>
        <v>0</v>
      </c>
      <c r="R333">
        <v>0</v>
      </c>
      <c r="S333">
        <v>0</v>
      </c>
      <c r="T333">
        <v>1</v>
      </c>
      <c r="U333">
        <v>0</v>
      </c>
      <c r="V333">
        <v>1</v>
      </c>
      <c r="W333">
        <v>0</v>
      </c>
      <c r="X333">
        <v>0</v>
      </c>
      <c r="Y333">
        <v>0</v>
      </c>
      <c r="Z333">
        <v>0</v>
      </c>
      <c r="AA333">
        <v>0</v>
      </c>
      <c r="AB333">
        <v>0</v>
      </c>
      <c r="AC333">
        <v>0</v>
      </c>
      <c r="AD333">
        <v>0</v>
      </c>
      <c r="AE333">
        <v>0</v>
      </c>
      <c r="AF333">
        <v>0</v>
      </c>
      <c r="AG333">
        <v>1</v>
      </c>
      <c r="AH333">
        <v>1</v>
      </c>
      <c r="AI333">
        <v>0</v>
      </c>
      <c r="AJ333">
        <v>0</v>
      </c>
      <c r="AK333">
        <v>0</v>
      </c>
      <c r="AL333">
        <v>0</v>
      </c>
      <c r="AM333">
        <v>0</v>
      </c>
      <c r="AN333">
        <v>0</v>
      </c>
      <c r="AO333">
        <v>0</v>
      </c>
      <c r="AP333">
        <v>0</v>
      </c>
      <c r="AQ333">
        <v>0</v>
      </c>
      <c r="AR333">
        <v>0</v>
      </c>
      <c r="AS333">
        <f t="shared" si="73"/>
        <v>3</v>
      </c>
      <c r="AT333">
        <f t="shared" si="74"/>
        <v>4</v>
      </c>
      <c r="AU333" s="3" t="s">
        <v>1161</v>
      </c>
      <c r="AV333">
        <f t="shared" si="75"/>
        <v>1</v>
      </c>
      <c r="AW333">
        <f t="shared" si="76"/>
        <v>0</v>
      </c>
      <c r="AX333">
        <f t="shared" si="77"/>
        <v>0</v>
      </c>
      <c r="AY333">
        <v>-2.5</v>
      </c>
      <c r="AZ333" t="s">
        <v>133</v>
      </c>
      <c r="BA333" t="s">
        <v>134</v>
      </c>
      <c r="BB333" t="s">
        <v>8</v>
      </c>
    </row>
    <row r="334" ht="185" spans="1:54">
      <c r="A334" t="s">
        <v>1162</v>
      </c>
      <c r="B334" t="s">
        <v>1041</v>
      </c>
      <c r="C334" t="s">
        <v>56</v>
      </c>
      <c r="D334">
        <v>6</v>
      </c>
      <c r="E334">
        <v>0</v>
      </c>
      <c r="F334">
        <v>15.4</v>
      </c>
      <c r="G334" t="s">
        <v>106</v>
      </c>
      <c r="H334" s="3" t="s">
        <v>1163</v>
      </c>
      <c r="I334" s="3" t="s">
        <v>1164</v>
      </c>
      <c r="J334">
        <f t="shared" si="65"/>
        <v>1</v>
      </c>
      <c r="K334">
        <f t="shared" si="66"/>
        <v>1</v>
      </c>
      <c r="L334">
        <f t="shared" si="67"/>
        <v>0</v>
      </c>
      <c r="M334">
        <f t="shared" si="68"/>
        <v>0</v>
      </c>
      <c r="N334">
        <f t="shared" si="69"/>
        <v>1</v>
      </c>
      <c r="O334">
        <f t="shared" si="70"/>
        <v>0</v>
      </c>
      <c r="P334">
        <f t="shared" si="71"/>
        <v>0</v>
      </c>
      <c r="Q334">
        <f t="shared" si="72"/>
        <v>0</v>
      </c>
      <c r="R334">
        <v>1</v>
      </c>
      <c r="S334">
        <v>0</v>
      </c>
      <c r="T334">
        <v>0</v>
      </c>
      <c r="U334">
        <v>0</v>
      </c>
      <c r="V334">
        <v>0</v>
      </c>
      <c r="W334">
        <v>1</v>
      </c>
      <c r="X334">
        <v>0</v>
      </c>
      <c r="Y334">
        <v>0</v>
      </c>
      <c r="Z334">
        <v>0</v>
      </c>
      <c r="AA334">
        <v>0</v>
      </c>
      <c r="AB334">
        <v>0</v>
      </c>
      <c r="AC334">
        <v>0</v>
      </c>
      <c r="AD334">
        <v>0</v>
      </c>
      <c r="AE334">
        <v>0</v>
      </c>
      <c r="AF334">
        <v>0</v>
      </c>
      <c r="AG334">
        <v>0</v>
      </c>
      <c r="AH334">
        <v>1</v>
      </c>
      <c r="AI334">
        <v>0</v>
      </c>
      <c r="AJ334">
        <v>0</v>
      </c>
      <c r="AK334">
        <v>0</v>
      </c>
      <c r="AL334">
        <v>0</v>
      </c>
      <c r="AM334">
        <v>0</v>
      </c>
      <c r="AN334">
        <v>0</v>
      </c>
      <c r="AO334">
        <v>0</v>
      </c>
      <c r="AP334">
        <v>0</v>
      </c>
      <c r="AQ334">
        <v>0</v>
      </c>
      <c r="AR334">
        <v>0</v>
      </c>
      <c r="AS334">
        <f t="shared" si="73"/>
        <v>3</v>
      </c>
      <c r="AT334">
        <f t="shared" si="74"/>
        <v>3</v>
      </c>
      <c r="AU334" s="3" t="s">
        <v>1165</v>
      </c>
      <c r="AV334">
        <f t="shared" si="75"/>
        <v>1</v>
      </c>
      <c r="AW334">
        <f t="shared" si="76"/>
        <v>0</v>
      </c>
      <c r="AX334">
        <f t="shared" si="77"/>
        <v>0</v>
      </c>
      <c r="AY334">
        <v>2</v>
      </c>
      <c r="AZ334" t="s">
        <v>60</v>
      </c>
      <c r="BA334" t="s">
        <v>61</v>
      </c>
      <c r="BB334" t="s">
        <v>8</v>
      </c>
    </row>
    <row r="335" ht="286" spans="1:54">
      <c r="A335" t="s">
        <v>1166</v>
      </c>
      <c r="B335" t="s">
        <v>1041</v>
      </c>
      <c r="C335" t="s">
        <v>56</v>
      </c>
      <c r="D335">
        <v>17</v>
      </c>
      <c r="E335">
        <v>0</v>
      </c>
      <c r="F335">
        <v>12.2</v>
      </c>
      <c r="G335" t="s">
        <v>106</v>
      </c>
      <c r="H335" s="3" t="s">
        <v>1167</v>
      </c>
      <c r="I335" s="3" t="s">
        <v>1168</v>
      </c>
      <c r="J335">
        <f t="shared" si="65"/>
        <v>0</v>
      </c>
      <c r="K335">
        <f t="shared" si="66"/>
        <v>0</v>
      </c>
      <c r="L335">
        <f t="shared" si="67"/>
        <v>0</v>
      </c>
      <c r="M335">
        <f t="shared" si="68"/>
        <v>0</v>
      </c>
      <c r="N335">
        <f t="shared" si="69"/>
        <v>1</v>
      </c>
      <c r="O335">
        <f t="shared" si="70"/>
        <v>0</v>
      </c>
      <c r="P335">
        <f t="shared" si="71"/>
        <v>0</v>
      </c>
      <c r="Q335">
        <f t="shared" si="72"/>
        <v>0</v>
      </c>
      <c r="R335">
        <v>0</v>
      </c>
      <c r="S335">
        <v>0</v>
      </c>
      <c r="T335">
        <v>0</v>
      </c>
      <c r="U335">
        <v>0</v>
      </c>
      <c r="V335">
        <v>0</v>
      </c>
      <c r="W335">
        <v>0</v>
      </c>
      <c r="X335">
        <v>0</v>
      </c>
      <c r="Y335">
        <v>0</v>
      </c>
      <c r="Z335">
        <v>0</v>
      </c>
      <c r="AA335">
        <v>0</v>
      </c>
      <c r="AB335">
        <v>0</v>
      </c>
      <c r="AC335">
        <v>0</v>
      </c>
      <c r="AD335">
        <v>0</v>
      </c>
      <c r="AE335">
        <v>0</v>
      </c>
      <c r="AF335">
        <v>0</v>
      </c>
      <c r="AG335">
        <v>0</v>
      </c>
      <c r="AH335">
        <v>1</v>
      </c>
      <c r="AI335">
        <v>0</v>
      </c>
      <c r="AJ335">
        <v>0</v>
      </c>
      <c r="AK335">
        <v>0</v>
      </c>
      <c r="AL335">
        <v>0</v>
      </c>
      <c r="AM335">
        <v>0</v>
      </c>
      <c r="AN335">
        <v>0</v>
      </c>
      <c r="AO335">
        <v>0</v>
      </c>
      <c r="AP335">
        <v>0</v>
      </c>
      <c r="AQ335">
        <v>0</v>
      </c>
      <c r="AR335">
        <v>0</v>
      </c>
      <c r="AS335">
        <f t="shared" si="73"/>
        <v>1</v>
      </c>
      <c r="AT335">
        <f t="shared" si="74"/>
        <v>1</v>
      </c>
      <c r="AU335" s="3" t="s">
        <v>129</v>
      </c>
      <c r="AV335">
        <f t="shared" si="75"/>
        <v>1</v>
      </c>
      <c r="AW335">
        <f t="shared" si="76"/>
        <v>0</v>
      </c>
      <c r="AX335">
        <f t="shared" si="77"/>
        <v>0</v>
      </c>
      <c r="AY335">
        <v>1.5</v>
      </c>
      <c r="AZ335" t="s">
        <v>60</v>
      </c>
      <c r="BA335" t="s">
        <v>61</v>
      </c>
      <c r="BB335" t="s">
        <v>8</v>
      </c>
    </row>
    <row r="336" ht="269" spans="1:54">
      <c r="A336" t="s">
        <v>1169</v>
      </c>
      <c r="B336" t="s">
        <v>1041</v>
      </c>
      <c r="C336" t="s">
        <v>56</v>
      </c>
      <c r="D336">
        <v>0</v>
      </c>
      <c r="E336">
        <v>1</v>
      </c>
      <c r="F336">
        <v>34.2</v>
      </c>
      <c r="G336" t="s">
        <v>106</v>
      </c>
      <c r="H336" s="3" t="s">
        <v>1170</v>
      </c>
      <c r="I336" s="3" t="s">
        <v>1171</v>
      </c>
      <c r="J336">
        <f t="shared" si="65"/>
        <v>0</v>
      </c>
      <c r="K336">
        <f t="shared" si="66"/>
        <v>0</v>
      </c>
      <c r="L336">
        <f t="shared" si="67"/>
        <v>0</v>
      </c>
      <c r="M336">
        <f t="shared" si="68"/>
        <v>0</v>
      </c>
      <c r="N336">
        <f t="shared" si="69"/>
        <v>0</v>
      </c>
      <c r="O336">
        <f t="shared" si="70"/>
        <v>0</v>
      </c>
      <c r="P336">
        <f t="shared" si="71"/>
        <v>0</v>
      </c>
      <c r="Q336">
        <f t="shared" si="72"/>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f t="shared" si="73"/>
        <v>0</v>
      </c>
      <c r="AT336">
        <f t="shared" si="74"/>
        <v>0</v>
      </c>
      <c r="AU336" s="3" t="s">
        <v>118</v>
      </c>
      <c r="AV336">
        <f t="shared" si="75"/>
        <v>0</v>
      </c>
      <c r="AW336">
        <f t="shared" si="76"/>
        <v>1</v>
      </c>
      <c r="AX336">
        <f t="shared" si="77"/>
        <v>0</v>
      </c>
      <c r="AY336">
        <v>2</v>
      </c>
      <c r="AZ336" t="s">
        <v>60</v>
      </c>
      <c r="BA336" t="s">
        <v>61</v>
      </c>
      <c r="BB336" t="s">
        <v>8</v>
      </c>
    </row>
    <row r="337" ht="236" spans="1:54">
      <c r="A337" t="s">
        <v>1172</v>
      </c>
      <c r="B337" t="s">
        <v>1041</v>
      </c>
      <c r="C337" t="s">
        <v>56</v>
      </c>
      <c r="D337">
        <v>5</v>
      </c>
      <c r="E337">
        <v>0</v>
      </c>
      <c r="F337">
        <v>25</v>
      </c>
      <c r="G337" t="s">
        <v>106</v>
      </c>
      <c r="H337" s="3" t="s">
        <v>1173</v>
      </c>
      <c r="I337" s="3" t="s">
        <v>1174</v>
      </c>
      <c r="J337">
        <f t="shared" si="65"/>
        <v>0</v>
      </c>
      <c r="K337">
        <f t="shared" si="66"/>
        <v>1</v>
      </c>
      <c r="L337">
        <f t="shared" si="67"/>
        <v>0</v>
      </c>
      <c r="M337">
        <f t="shared" si="68"/>
        <v>0</v>
      </c>
      <c r="N337">
        <f t="shared" si="69"/>
        <v>1</v>
      </c>
      <c r="O337">
        <f t="shared" si="70"/>
        <v>1</v>
      </c>
      <c r="P337">
        <f t="shared" si="71"/>
        <v>1</v>
      </c>
      <c r="Q337">
        <f t="shared" si="72"/>
        <v>0</v>
      </c>
      <c r="R337">
        <v>0</v>
      </c>
      <c r="S337">
        <v>0</v>
      </c>
      <c r="T337">
        <v>0</v>
      </c>
      <c r="U337">
        <v>1</v>
      </c>
      <c r="V337">
        <v>0</v>
      </c>
      <c r="W337">
        <v>1</v>
      </c>
      <c r="X337">
        <v>0</v>
      </c>
      <c r="Y337">
        <v>0</v>
      </c>
      <c r="Z337">
        <v>0</v>
      </c>
      <c r="AA337">
        <v>0</v>
      </c>
      <c r="AB337">
        <v>0</v>
      </c>
      <c r="AC337">
        <v>0</v>
      </c>
      <c r="AD337">
        <v>0</v>
      </c>
      <c r="AE337">
        <v>0</v>
      </c>
      <c r="AF337">
        <v>0</v>
      </c>
      <c r="AG337">
        <v>0</v>
      </c>
      <c r="AH337">
        <v>1</v>
      </c>
      <c r="AI337">
        <v>1</v>
      </c>
      <c r="AJ337">
        <v>0</v>
      </c>
      <c r="AK337">
        <v>0</v>
      </c>
      <c r="AL337">
        <v>0</v>
      </c>
      <c r="AM337">
        <v>0</v>
      </c>
      <c r="AN337">
        <v>0</v>
      </c>
      <c r="AO337">
        <v>0</v>
      </c>
      <c r="AP337">
        <v>0</v>
      </c>
      <c r="AQ337">
        <v>1</v>
      </c>
      <c r="AR337">
        <v>0</v>
      </c>
      <c r="AS337">
        <f t="shared" si="73"/>
        <v>4</v>
      </c>
      <c r="AT337">
        <f t="shared" si="74"/>
        <v>5</v>
      </c>
      <c r="AU337" s="3" t="s">
        <v>1175</v>
      </c>
      <c r="AV337">
        <f t="shared" si="75"/>
        <v>1</v>
      </c>
      <c r="AW337">
        <f t="shared" si="76"/>
        <v>0</v>
      </c>
      <c r="AX337">
        <f t="shared" si="77"/>
        <v>0</v>
      </c>
      <c r="AY337">
        <v>1.5</v>
      </c>
      <c r="AZ337" t="s">
        <v>60</v>
      </c>
      <c r="BA337" t="s">
        <v>61</v>
      </c>
      <c r="BB337" t="s">
        <v>8</v>
      </c>
    </row>
    <row r="338" ht="219" spans="1:54">
      <c r="A338" t="s">
        <v>1176</v>
      </c>
      <c r="B338" t="s">
        <v>1041</v>
      </c>
      <c r="C338" t="s">
        <v>116</v>
      </c>
      <c r="D338">
        <v>9</v>
      </c>
      <c r="E338">
        <v>0</v>
      </c>
      <c r="F338">
        <v>4.4</v>
      </c>
      <c r="G338" t="s">
        <v>106</v>
      </c>
      <c r="H338" s="3" t="s">
        <v>1177</v>
      </c>
      <c r="I338" s="3" t="s">
        <v>1178</v>
      </c>
      <c r="J338">
        <f t="shared" si="65"/>
        <v>1</v>
      </c>
      <c r="K338">
        <f t="shared" si="66"/>
        <v>0</v>
      </c>
      <c r="L338">
        <f t="shared" si="67"/>
        <v>0</v>
      </c>
      <c r="M338">
        <f t="shared" si="68"/>
        <v>1</v>
      </c>
      <c r="N338">
        <f t="shared" si="69"/>
        <v>1</v>
      </c>
      <c r="O338">
        <f t="shared" si="70"/>
        <v>0</v>
      </c>
      <c r="P338">
        <f t="shared" si="71"/>
        <v>0</v>
      </c>
      <c r="Q338">
        <f t="shared" si="72"/>
        <v>0</v>
      </c>
      <c r="R338">
        <v>1</v>
      </c>
      <c r="S338">
        <v>0</v>
      </c>
      <c r="T338">
        <v>0</v>
      </c>
      <c r="U338">
        <v>0</v>
      </c>
      <c r="V338">
        <v>0</v>
      </c>
      <c r="W338">
        <v>0</v>
      </c>
      <c r="X338">
        <v>0</v>
      </c>
      <c r="Y338">
        <v>0</v>
      </c>
      <c r="Z338">
        <v>0</v>
      </c>
      <c r="AA338">
        <v>0</v>
      </c>
      <c r="AB338">
        <v>0</v>
      </c>
      <c r="AC338">
        <v>0</v>
      </c>
      <c r="AD338">
        <v>0</v>
      </c>
      <c r="AE338">
        <v>0</v>
      </c>
      <c r="AF338">
        <v>1</v>
      </c>
      <c r="AG338">
        <v>0</v>
      </c>
      <c r="AH338">
        <v>1</v>
      </c>
      <c r="AI338">
        <v>0</v>
      </c>
      <c r="AJ338">
        <v>0</v>
      </c>
      <c r="AK338">
        <v>0</v>
      </c>
      <c r="AL338">
        <v>0</v>
      </c>
      <c r="AM338">
        <v>0</v>
      </c>
      <c r="AN338">
        <v>0</v>
      </c>
      <c r="AO338">
        <v>0</v>
      </c>
      <c r="AP338">
        <v>0</v>
      </c>
      <c r="AQ338">
        <v>0</v>
      </c>
      <c r="AR338">
        <v>0</v>
      </c>
      <c r="AS338">
        <f t="shared" si="73"/>
        <v>3</v>
      </c>
      <c r="AT338">
        <f t="shared" si="74"/>
        <v>3</v>
      </c>
      <c r="AU338" s="3" t="s">
        <v>1179</v>
      </c>
      <c r="AV338">
        <f t="shared" si="75"/>
        <v>1</v>
      </c>
      <c r="AW338">
        <f t="shared" si="76"/>
        <v>0</v>
      </c>
      <c r="AX338">
        <f t="shared" si="77"/>
        <v>0</v>
      </c>
      <c r="AY338">
        <v>4</v>
      </c>
      <c r="AZ338" t="s">
        <v>60</v>
      </c>
      <c r="BA338" t="s">
        <v>61</v>
      </c>
      <c r="BB338" t="s">
        <v>8</v>
      </c>
    </row>
    <row r="339" ht="168" spans="1:54">
      <c r="A339" t="s">
        <v>1180</v>
      </c>
      <c r="B339" t="s">
        <v>1041</v>
      </c>
      <c r="C339" t="s">
        <v>56</v>
      </c>
      <c r="D339">
        <v>5</v>
      </c>
      <c r="E339">
        <v>0</v>
      </c>
      <c r="F339">
        <v>54.8</v>
      </c>
      <c r="G339" t="s">
        <v>106</v>
      </c>
      <c r="H339" s="3" t="s">
        <v>1181</v>
      </c>
      <c r="I339" s="3" t="s">
        <v>1182</v>
      </c>
      <c r="J339">
        <f t="shared" si="65"/>
        <v>1</v>
      </c>
      <c r="K339">
        <f t="shared" si="66"/>
        <v>0</v>
      </c>
      <c r="L339">
        <f t="shared" si="67"/>
        <v>0</v>
      </c>
      <c r="M339">
        <f t="shared" si="68"/>
        <v>0</v>
      </c>
      <c r="N339">
        <f t="shared" si="69"/>
        <v>1</v>
      </c>
      <c r="O339">
        <f t="shared" si="70"/>
        <v>0</v>
      </c>
      <c r="P339">
        <f t="shared" si="71"/>
        <v>0</v>
      </c>
      <c r="Q339">
        <f t="shared" si="72"/>
        <v>0</v>
      </c>
      <c r="R339">
        <v>1</v>
      </c>
      <c r="S339">
        <v>1</v>
      </c>
      <c r="T339">
        <v>0</v>
      </c>
      <c r="U339">
        <v>0</v>
      </c>
      <c r="V339">
        <v>0</v>
      </c>
      <c r="W339">
        <v>0</v>
      </c>
      <c r="X339">
        <v>0</v>
      </c>
      <c r="Y339">
        <v>0</v>
      </c>
      <c r="Z339">
        <v>0</v>
      </c>
      <c r="AA339">
        <v>0</v>
      </c>
      <c r="AB339">
        <v>0</v>
      </c>
      <c r="AC339">
        <v>0</v>
      </c>
      <c r="AD339">
        <v>0</v>
      </c>
      <c r="AE339">
        <v>0</v>
      </c>
      <c r="AF339">
        <v>0</v>
      </c>
      <c r="AG339">
        <v>0</v>
      </c>
      <c r="AH339">
        <v>1</v>
      </c>
      <c r="AI339">
        <v>0</v>
      </c>
      <c r="AJ339">
        <v>0</v>
      </c>
      <c r="AK339">
        <v>0</v>
      </c>
      <c r="AL339">
        <v>0</v>
      </c>
      <c r="AM339">
        <v>0</v>
      </c>
      <c r="AN339">
        <v>0</v>
      </c>
      <c r="AO339">
        <v>0</v>
      </c>
      <c r="AP339">
        <v>0</v>
      </c>
      <c r="AQ339">
        <v>0</v>
      </c>
      <c r="AR339">
        <v>0</v>
      </c>
      <c r="AS339">
        <f t="shared" si="73"/>
        <v>2</v>
      </c>
      <c r="AT339">
        <f t="shared" si="74"/>
        <v>3</v>
      </c>
      <c r="AU339" s="3" t="s">
        <v>1183</v>
      </c>
      <c r="AV339">
        <f t="shared" si="75"/>
        <v>1</v>
      </c>
      <c r="AW339">
        <f t="shared" si="76"/>
        <v>0</v>
      </c>
      <c r="AX339">
        <f t="shared" si="77"/>
        <v>0</v>
      </c>
      <c r="AY339">
        <v>3.5</v>
      </c>
      <c r="AZ339" t="s">
        <v>60</v>
      </c>
      <c r="BA339" t="s">
        <v>61</v>
      </c>
      <c r="BB339" t="s">
        <v>8</v>
      </c>
    </row>
    <row r="340" ht="409.5" spans="1:54">
      <c r="A340" t="s">
        <v>1184</v>
      </c>
      <c r="B340" t="s">
        <v>1041</v>
      </c>
      <c r="C340" t="s">
        <v>116</v>
      </c>
      <c r="D340">
        <v>109</v>
      </c>
      <c r="E340">
        <v>15</v>
      </c>
      <c r="F340">
        <v>83.6</v>
      </c>
      <c r="G340" t="s">
        <v>106</v>
      </c>
      <c r="H340" s="3" t="s">
        <v>1185</v>
      </c>
      <c r="I340" s="3" t="s">
        <v>1186</v>
      </c>
      <c r="J340">
        <f t="shared" si="65"/>
        <v>0</v>
      </c>
      <c r="K340">
        <f t="shared" si="66"/>
        <v>1</v>
      </c>
      <c r="L340">
        <f t="shared" si="67"/>
        <v>0</v>
      </c>
      <c r="M340">
        <f t="shared" si="68"/>
        <v>0</v>
      </c>
      <c r="N340">
        <f t="shared" si="69"/>
        <v>0</v>
      </c>
      <c r="O340">
        <f t="shared" si="70"/>
        <v>1</v>
      </c>
      <c r="P340">
        <f t="shared" si="71"/>
        <v>0</v>
      </c>
      <c r="Q340">
        <f t="shared" si="72"/>
        <v>0</v>
      </c>
      <c r="R340">
        <v>0</v>
      </c>
      <c r="S340">
        <v>0</v>
      </c>
      <c r="T340">
        <v>0</v>
      </c>
      <c r="U340">
        <v>1</v>
      </c>
      <c r="V340">
        <v>1</v>
      </c>
      <c r="W340">
        <v>0</v>
      </c>
      <c r="X340">
        <v>0</v>
      </c>
      <c r="Y340">
        <v>0</v>
      </c>
      <c r="Z340">
        <v>0</v>
      </c>
      <c r="AA340">
        <v>0</v>
      </c>
      <c r="AB340">
        <v>0</v>
      </c>
      <c r="AC340">
        <v>0</v>
      </c>
      <c r="AD340">
        <v>0</v>
      </c>
      <c r="AE340">
        <v>0</v>
      </c>
      <c r="AF340">
        <v>0</v>
      </c>
      <c r="AG340">
        <v>0</v>
      </c>
      <c r="AH340">
        <v>0</v>
      </c>
      <c r="AI340">
        <v>1</v>
      </c>
      <c r="AJ340">
        <v>0</v>
      </c>
      <c r="AK340">
        <v>0</v>
      </c>
      <c r="AL340">
        <v>0</v>
      </c>
      <c r="AM340">
        <v>0</v>
      </c>
      <c r="AN340">
        <v>0</v>
      </c>
      <c r="AO340">
        <v>0</v>
      </c>
      <c r="AP340">
        <v>0</v>
      </c>
      <c r="AQ340">
        <v>0</v>
      </c>
      <c r="AR340">
        <v>0</v>
      </c>
      <c r="AS340">
        <f t="shared" si="73"/>
        <v>2</v>
      </c>
      <c r="AT340">
        <f t="shared" si="74"/>
        <v>3</v>
      </c>
      <c r="AU340" s="3" t="s">
        <v>1187</v>
      </c>
      <c r="AV340">
        <f t="shared" si="75"/>
        <v>1</v>
      </c>
      <c r="AW340">
        <f t="shared" si="76"/>
        <v>0</v>
      </c>
      <c r="AX340">
        <f t="shared" si="77"/>
        <v>0</v>
      </c>
      <c r="AY340">
        <v>5.5</v>
      </c>
      <c r="AZ340" t="s">
        <v>60</v>
      </c>
      <c r="BA340" t="s">
        <v>61</v>
      </c>
      <c r="BB340" t="s">
        <v>8</v>
      </c>
    </row>
    <row r="341" ht="135" spans="1:54">
      <c r="A341" t="s">
        <v>1188</v>
      </c>
      <c r="B341" t="s">
        <v>1041</v>
      </c>
      <c r="C341" t="s">
        <v>56</v>
      </c>
      <c r="D341">
        <v>0</v>
      </c>
      <c r="E341">
        <v>0</v>
      </c>
      <c r="F341">
        <v>26.1</v>
      </c>
      <c r="G341" t="s">
        <v>106</v>
      </c>
      <c r="H341" s="3" t="s">
        <v>1189</v>
      </c>
      <c r="I341" s="3" t="s">
        <v>1190</v>
      </c>
      <c r="J341">
        <f t="shared" si="65"/>
        <v>1</v>
      </c>
      <c r="K341">
        <f t="shared" si="66"/>
        <v>0</v>
      </c>
      <c r="L341">
        <f t="shared" si="67"/>
        <v>0</v>
      </c>
      <c r="M341">
        <f t="shared" si="68"/>
        <v>1</v>
      </c>
      <c r="N341">
        <f t="shared" si="69"/>
        <v>1</v>
      </c>
      <c r="O341">
        <f t="shared" si="70"/>
        <v>0</v>
      </c>
      <c r="P341">
        <f t="shared" si="71"/>
        <v>0</v>
      </c>
      <c r="Q341">
        <f t="shared" si="72"/>
        <v>0</v>
      </c>
      <c r="R341">
        <v>1</v>
      </c>
      <c r="S341">
        <v>0</v>
      </c>
      <c r="T341">
        <v>0</v>
      </c>
      <c r="U341">
        <v>0</v>
      </c>
      <c r="V341">
        <v>0</v>
      </c>
      <c r="W341">
        <v>0</v>
      </c>
      <c r="X341">
        <v>0</v>
      </c>
      <c r="Y341">
        <v>0</v>
      </c>
      <c r="Z341">
        <v>0</v>
      </c>
      <c r="AA341">
        <v>0</v>
      </c>
      <c r="AB341">
        <v>0</v>
      </c>
      <c r="AC341">
        <v>0</v>
      </c>
      <c r="AD341">
        <v>1</v>
      </c>
      <c r="AE341">
        <v>0</v>
      </c>
      <c r="AF341">
        <v>1</v>
      </c>
      <c r="AG341">
        <v>0</v>
      </c>
      <c r="AH341">
        <v>1</v>
      </c>
      <c r="AI341">
        <v>0</v>
      </c>
      <c r="AJ341">
        <v>0</v>
      </c>
      <c r="AK341">
        <v>0</v>
      </c>
      <c r="AL341">
        <v>0</v>
      </c>
      <c r="AM341">
        <v>0</v>
      </c>
      <c r="AN341">
        <v>0</v>
      </c>
      <c r="AO341">
        <v>0</v>
      </c>
      <c r="AP341">
        <v>0</v>
      </c>
      <c r="AQ341">
        <v>0</v>
      </c>
      <c r="AR341">
        <v>0</v>
      </c>
      <c r="AS341">
        <f t="shared" si="73"/>
        <v>3</v>
      </c>
      <c r="AT341">
        <f t="shared" si="74"/>
        <v>4</v>
      </c>
      <c r="AU341" s="3" t="s">
        <v>1191</v>
      </c>
      <c r="AV341">
        <f t="shared" si="75"/>
        <v>1</v>
      </c>
      <c r="AW341">
        <f t="shared" si="76"/>
        <v>0</v>
      </c>
      <c r="AX341">
        <f t="shared" si="77"/>
        <v>0</v>
      </c>
      <c r="AY341">
        <v>6</v>
      </c>
      <c r="AZ341" t="s">
        <v>60</v>
      </c>
      <c r="BA341" t="s">
        <v>61</v>
      </c>
      <c r="BB341" t="s">
        <v>8</v>
      </c>
    </row>
    <row r="342" ht="152" spans="1:54">
      <c r="A342" t="s">
        <v>1192</v>
      </c>
      <c r="B342" t="s">
        <v>1041</v>
      </c>
      <c r="C342" t="s">
        <v>56</v>
      </c>
      <c r="D342">
        <v>23</v>
      </c>
      <c r="E342">
        <v>1</v>
      </c>
      <c r="F342">
        <v>89.1</v>
      </c>
      <c r="G342" t="s">
        <v>106</v>
      </c>
      <c r="H342" s="3" t="s">
        <v>1193</v>
      </c>
      <c r="I342" s="3" t="s">
        <v>1194</v>
      </c>
      <c r="J342">
        <f t="shared" si="65"/>
        <v>0</v>
      </c>
      <c r="K342">
        <f t="shared" si="66"/>
        <v>1</v>
      </c>
      <c r="L342">
        <f t="shared" si="67"/>
        <v>0</v>
      </c>
      <c r="M342">
        <f t="shared" si="68"/>
        <v>0</v>
      </c>
      <c r="N342">
        <f t="shared" si="69"/>
        <v>0</v>
      </c>
      <c r="O342">
        <f t="shared" si="70"/>
        <v>0</v>
      </c>
      <c r="P342">
        <f t="shared" si="71"/>
        <v>0</v>
      </c>
      <c r="Q342">
        <f t="shared" si="72"/>
        <v>0</v>
      </c>
      <c r="R342">
        <v>0</v>
      </c>
      <c r="S342">
        <v>0</v>
      </c>
      <c r="T342">
        <v>0</v>
      </c>
      <c r="U342">
        <v>1</v>
      </c>
      <c r="V342">
        <v>1</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f t="shared" si="73"/>
        <v>1</v>
      </c>
      <c r="AT342">
        <f t="shared" si="74"/>
        <v>2</v>
      </c>
      <c r="AU342" s="3" t="s">
        <v>1195</v>
      </c>
      <c r="AV342">
        <f t="shared" si="75"/>
        <v>1</v>
      </c>
      <c r="AW342">
        <f t="shared" si="76"/>
        <v>0</v>
      </c>
      <c r="AX342">
        <f t="shared" si="77"/>
        <v>0</v>
      </c>
      <c r="AY342">
        <v>-1</v>
      </c>
      <c r="AZ342" t="s">
        <v>133</v>
      </c>
      <c r="BA342" t="s">
        <v>134</v>
      </c>
      <c r="BB342" t="s">
        <v>8</v>
      </c>
    </row>
    <row r="343" ht="101" spans="1:54">
      <c r="A343" t="s">
        <v>1196</v>
      </c>
      <c r="B343" t="s">
        <v>1041</v>
      </c>
      <c r="C343" t="s">
        <v>56</v>
      </c>
      <c r="D343">
        <v>0</v>
      </c>
      <c r="E343">
        <v>0</v>
      </c>
      <c r="F343">
        <v>13</v>
      </c>
      <c r="G343" t="s">
        <v>106</v>
      </c>
      <c r="H343" s="3" t="s">
        <v>1197</v>
      </c>
      <c r="I343" s="3" t="s">
        <v>1198</v>
      </c>
      <c r="J343">
        <f t="shared" si="65"/>
        <v>0</v>
      </c>
      <c r="K343">
        <f t="shared" si="66"/>
        <v>1</v>
      </c>
      <c r="L343">
        <f t="shared" si="67"/>
        <v>0</v>
      </c>
      <c r="M343">
        <f t="shared" si="68"/>
        <v>0</v>
      </c>
      <c r="N343">
        <f t="shared" si="69"/>
        <v>1</v>
      </c>
      <c r="O343">
        <f t="shared" si="70"/>
        <v>1</v>
      </c>
      <c r="P343">
        <f t="shared" si="71"/>
        <v>0</v>
      </c>
      <c r="Q343">
        <f t="shared" si="72"/>
        <v>0</v>
      </c>
      <c r="R343">
        <v>0</v>
      </c>
      <c r="S343">
        <v>0</v>
      </c>
      <c r="T343">
        <v>0</v>
      </c>
      <c r="U343">
        <v>1</v>
      </c>
      <c r="V343">
        <v>0</v>
      </c>
      <c r="W343">
        <v>0</v>
      </c>
      <c r="X343">
        <v>0</v>
      </c>
      <c r="Y343">
        <v>0</v>
      </c>
      <c r="Z343">
        <v>0</v>
      </c>
      <c r="AA343">
        <v>0</v>
      </c>
      <c r="AB343">
        <v>0</v>
      </c>
      <c r="AC343">
        <v>0</v>
      </c>
      <c r="AD343">
        <v>0</v>
      </c>
      <c r="AE343">
        <v>0</v>
      </c>
      <c r="AF343">
        <v>0</v>
      </c>
      <c r="AG343">
        <v>0</v>
      </c>
      <c r="AH343">
        <v>1</v>
      </c>
      <c r="AI343">
        <v>1</v>
      </c>
      <c r="AJ343">
        <v>0</v>
      </c>
      <c r="AK343">
        <v>0</v>
      </c>
      <c r="AL343">
        <v>0</v>
      </c>
      <c r="AM343">
        <v>0</v>
      </c>
      <c r="AN343">
        <v>0</v>
      </c>
      <c r="AO343">
        <v>0</v>
      </c>
      <c r="AP343">
        <v>0</v>
      </c>
      <c r="AQ343">
        <v>0</v>
      </c>
      <c r="AR343">
        <v>0</v>
      </c>
      <c r="AS343">
        <f t="shared" si="73"/>
        <v>3</v>
      </c>
      <c r="AT343">
        <f t="shared" si="74"/>
        <v>3</v>
      </c>
      <c r="AU343" s="3" t="s">
        <v>1199</v>
      </c>
      <c r="AV343">
        <f t="shared" si="75"/>
        <v>1</v>
      </c>
      <c r="AW343">
        <f t="shared" si="76"/>
        <v>0</v>
      </c>
      <c r="AX343">
        <f t="shared" si="77"/>
        <v>0</v>
      </c>
      <c r="AY343">
        <v>4</v>
      </c>
      <c r="AZ343" t="s">
        <v>60</v>
      </c>
      <c r="BA343" t="s">
        <v>61</v>
      </c>
      <c r="BB343" t="s">
        <v>8</v>
      </c>
    </row>
    <row r="344" ht="101" spans="1:54">
      <c r="A344" t="s">
        <v>1200</v>
      </c>
      <c r="B344" t="s">
        <v>1041</v>
      </c>
      <c r="C344" t="s">
        <v>56</v>
      </c>
      <c r="D344">
        <v>2</v>
      </c>
      <c r="E344">
        <v>0</v>
      </c>
      <c r="F344">
        <v>39.5</v>
      </c>
      <c r="G344" t="s">
        <v>106</v>
      </c>
      <c r="H344" s="3" t="s">
        <v>1201</v>
      </c>
      <c r="I344" s="3" t="s">
        <v>1202</v>
      </c>
      <c r="J344">
        <f t="shared" si="65"/>
        <v>0</v>
      </c>
      <c r="K344">
        <f t="shared" si="66"/>
        <v>1</v>
      </c>
      <c r="L344">
        <f t="shared" si="67"/>
        <v>0</v>
      </c>
      <c r="M344">
        <f t="shared" si="68"/>
        <v>1</v>
      </c>
      <c r="N344">
        <f t="shared" si="69"/>
        <v>1</v>
      </c>
      <c r="O344">
        <f t="shared" si="70"/>
        <v>0</v>
      </c>
      <c r="P344">
        <f t="shared" si="71"/>
        <v>0</v>
      </c>
      <c r="Q344">
        <f t="shared" si="72"/>
        <v>0</v>
      </c>
      <c r="R344">
        <v>0</v>
      </c>
      <c r="S344">
        <v>0</v>
      </c>
      <c r="T344">
        <v>0</v>
      </c>
      <c r="U344">
        <v>1</v>
      </c>
      <c r="V344">
        <v>0</v>
      </c>
      <c r="W344">
        <v>0</v>
      </c>
      <c r="X344">
        <v>0</v>
      </c>
      <c r="Y344">
        <v>0</v>
      </c>
      <c r="Z344">
        <v>0</v>
      </c>
      <c r="AA344">
        <v>0</v>
      </c>
      <c r="AB344">
        <v>0</v>
      </c>
      <c r="AC344">
        <v>0</v>
      </c>
      <c r="AD344">
        <v>0</v>
      </c>
      <c r="AE344">
        <v>0</v>
      </c>
      <c r="AF344">
        <v>1</v>
      </c>
      <c r="AG344">
        <v>1</v>
      </c>
      <c r="AH344">
        <v>0</v>
      </c>
      <c r="AI344">
        <v>0</v>
      </c>
      <c r="AJ344">
        <v>0</v>
      </c>
      <c r="AK344">
        <v>0</v>
      </c>
      <c r="AL344">
        <v>0</v>
      </c>
      <c r="AM344">
        <v>0</v>
      </c>
      <c r="AN344">
        <v>0</v>
      </c>
      <c r="AO344">
        <v>0</v>
      </c>
      <c r="AP344">
        <v>0</v>
      </c>
      <c r="AQ344">
        <v>0</v>
      </c>
      <c r="AR344">
        <v>0</v>
      </c>
      <c r="AS344">
        <f t="shared" si="73"/>
        <v>3</v>
      </c>
      <c r="AT344">
        <f t="shared" si="74"/>
        <v>3</v>
      </c>
      <c r="AU344" s="3" t="s">
        <v>1203</v>
      </c>
      <c r="AV344">
        <f t="shared" si="75"/>
        <v>1</v>
      </c>
      <c r="AW344">
        <f t="shared" si="76"/>
        <v>0</v>
      </c>
      <c r="AX344">
        <f t="shared" si="77"/>
        <v>0</v>
      </c>
      <c r="AY344">
        <v>4.5</v>
      </c>
      <c r="AZ344" t="s">
        <v>60</v>
      </c>
      <c r="BA344" t="s">
        <v>61</v>
      </c>
      <c r="BB344" t="s">
        <v>8</v>
      </c>
    </row>
    <row r="345" ht="34" spans="1:54">
      <c r="A345" t="s">
        <v>1204</v>
      </c>
      <c r="B345" t="s">
        <v>1041</v>
      </c>
      <c r="C345" t="s">
        <v>56</v>
      </c>
      <c r="D345">
        <v>0</v>
      </c>
      <c r="E345">
        <v>0</v>
      </c>
      <c r="F345">
        <v>105</v>
      </c>
      <c r="G345" t="s">
        <v>106</v>
      </c>
      <c r="H345" s="3" t="s">
        <v>1205</v>
      </c>
      <c r="I345" s="3" t="s">
        <v>1206</v>
      </c>
      <c r="J345">
        <f t="shared" si="65"/>
        <v>1</v>
      </c>
      <c r="K345">
        <f t="shared" si="66"/>
        <v>0</v>
      </c>
      <c r="L345">
        <f t="shared" si="67"/>
        <v>1</v>
      </c>
      <c r="M345">
        <f t="shared" si="68"/>
        <v>0</v>
      </c>
      <c r="N345">
        <f t="shared" si="69"/>
        <v>0</v>
      </c>
      <c r="O345">
        <f t="shared" si="70"/>
        <v>0</v>
      </c>
      <c r="P345">
        <f t="shared" si="71"/>
        <v>0</v>
      </c>
      <c r="Q345">
        <f t="shared" si="72"/>
        <v>0</v>
      </c>
      <c r="R345">
        <v>1</v>
      </c>
      <c r="S345">
        <v>1</v>
      </c>
      <c r="T345">
        <v>1</v>
      </c>
      <c r="U345">
        <v>0</v>
      </c>
      <c r="V345">
        <v>0</v>
      </c>
      <c r="W345">
        <v>0</v>
      </c>
      <c r="X345">
        <v>0</v>
      </c>
      <c r="Y345">
        <v>0</v>
      </c>
      <c r="Z345">
        <v>1</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f t="shared" si="73"/>
        <v>2</v>
      </c>
      <c r="AT345">
        <f t="shared" si="74"/>
        <v>4</v>
      </c>
      <c r="AU345" s="3" t="s">
        <v>1207</v>
      </c>
      <c r="AV345">
        <f t="shared" si="75"/>
        <v>1</v>
      </c>
      <c r="AW345">
        <f t="shared" si="76"/>
        <v>0</v>
      </c>
      <c r="AX345">
        <f t="shared" si="77"/>
        <v>0</v>
      </c>
      <c r="AY345">
        <v>1.5</v>
      </c>
      <c r="AZ345" t="s">
        <v>60</v>
      </c>
      <c r="BA345" t="s">
        <v>61</v>
      </c>
      <c r="BB345" t="s">
        <v>8</v>
      </c>
    </row>
    <row r="346" ht="51" spans="1:54">
      <c r="A346" t="s">
        <v>1208</v>
      </c>
      <c r="B346" t="s">
        <v>1041</v>
      </c>
      <c r="C346" t="s">
        <v>56</v>
      </c>
      <c r="D346">
        <v>0</v>
      </c>
      <c r="E346">
        <v>0</v>
      </c>
      <c r="F346">
        <v>3.9</v>
      </c>
      <c r="G346" t="s">
        <v>106</v>
      </c>
      <c r="H346" s="3" t="s">
        <v>1209</v>
      </c>
      <c r="I346" s="3" t="s">
        <v>1209</v>
      </c>
      <c r="J346">
        <f t="shared" si="65"/>
        <v>0</v>
      </c>
      <c r="K346">
        <f t="shared" si="66"/>
        <v>0</v>
      </c>
      <c r="L346">
        <f t="shared" si="67"/>
        <v>0</v>
      </c>
      <c r="M346">
        <f t="shared" si="68"/>
        <v>1</v>
      </c>
      <c r="N346">
        <f t="shared" si="69"/>
        <v>0</v>
      </c>
      <c r="O346">
        <f t="shared" si="70"/>
        <v>0</v>
      </c>
      <c r="P346">
        <f t="shared" si="71"/>
        <v>0</v>
      </c>
      <c r="Q346">
        <f t="shared" si="72"/>
        <v>0</v>
      </c>
      <c r="R346">
        <v>0</v>
      </c>
      <c r="S346">
        <v>0</v>
      </c>
      <c r="T346">
        <v>0</v>
      </c>
      <c r="U346">
        <v>0</v>
      </c>
      <c r="V346">
        <v>0</v>
      </c>
      <c r="W346">
        <v>0</v>
      </c>
      <c r="X346">
        <v>0</v>
      </c>
      <c r="Y346">
        <v>0</v>
      </c>
      <c r="Z346">
        <v>0</v>
      </c>
      <c r="AA346">
        <v>0</v>
      </c>
      <c r="AB346">
        <v>0</v>
      </c>
      <c r="AC346">
        <v>0</v>
      </c>
      <c r="AD346">
        <v>1</v>
      </c>
      <c r="AE346">
        <v>0</v>
      </c>
      <c r="AF346">
        <v>1</v>
      </c>
      <c r="AG346">
        <v>0</v>
      </c>
      <c r="AH346">
        <v>0</v>
      </c>
      <c r="AI346">
        <v>0</v>
      </c>
      <c r="AJ346">
        <v>0</v>
      </c>
      <c r="AK346">
        <v>0</v>
      </c>
      <c r="AL346">
        <v>0</v>
      </c>
      <c r="AM346">
        <v>0</v>
      </c>
      <c r="AN346">
        <v>0</v>
      </c>
      <c r="AO346">
        <v>0</v>
      </c>
      <c r="AP346">
        <v>0</v>
      </c>
      <c r="AQ346">
        <v>0</v>
      </c>
      <c r="AR346">
        <v>0</v>
      </c>
      <c r="AS346">
        <f t="shared" si="73"/>
        <v>1</v>
      </c>
      <c r="AT346">
        <f t="shared" si="74"/>
        <v>2</v>
      </c>
      <c r="AU346" s="3" t="s">
        <v>1210</v>
      </c>
      <c r="AV346">
        <f t="shared" si="75"/>
        <v>1</v>
      </c>
      <c r="AW346">
        <f t="shared" si="76"/>
        <v>0</v>
      </c>
      <c r="AX346">
        <f t="shared" si="77"/>
        <v>0</v>
      </c>
      <c r="AY346">
        <v>1</v>
      </c>
      <c r="AZ346" t="s">
        <v>60</v>
      </c>
      <c r="BA346" t="s">
        <v>61</v>
      </c>
      <c r="BB346" t="s">
        <v>8</v>
      </c>
    </row>
    <row r="347" ht="34" spans="1:54">
      <c r="A347" t="s">
        <v>1211</v>
      </c>
      <c r="B347" t="s">
        <v>1041</v>
      </c>
      <c r="C347" t="s">
        <v>56</v>
      </c>
      <c r="D347">
        <v>0</v>
      </c>
      <c r="E347">
        <v>1</v>
      </c>
      <c r="F347">
        <v>65.6</v>
      </c>
      <c r="G347" t="s">
        <v>106</v>
      </c>
      <c r="H347" s="3" t="s">
        <v>1212</v>
      </c>
      <c r="I347" s="3" t="s">
        <v>1212</v>
      </c>
      <c r="J347">
        <f t="shared" si="65"/>
        <v>0</v>
      </c>
      <c r="K347">
        <f t="shared" si="66"/>
        <v>0</v>
      </c>
      <c r="L347">
        <f t="shared" si="67"/>
        <v>0</v>
      </c>
      <c r="M347">
        <f t="shared" si="68"/>
        <v>0</v>
      </c>
      <c r="N347">
        <f t="shared" si="69"/>
        <v>1</v>
      </c>
      <c r="O347">
        <f t="shared" si="70"/>
        <v>0</v>
      </c>
      <c r="P347">
        <f t="shared" si="71"/>
        <v>0</v>
      </c>
      <c r="Q347">
        <f t="shared" si="72"/>
        <v>0</v>
      </c>
      <c r="R347">
        <v>0</v>
      </c>
      <c r="S347">
        <v>0</v>
      </c>
      <c r="T347">
        <v>0</v>
      </c>
      <c r="U347">
        <v>0</v>
      </c>
      <c r="V347">
        <v>0</v>
      </c>
      <c r="W347">
        <v>0</v>
      </c>
      <c r="X347">
        <v>0</v>
      </c>
      <c r="Y347">
        <v>0</v>
      </c>
      <c r="Z347">
        <v>0</v>
      </c>
      <c r="AA347">
        <v>0</v>
      </c>
      <c r="AB347">
        <v>0</v>
      </c>
      <c r="AC347">
        <v>0</v>
      </c>
      <c r="AD347">
        <v>0</v>
      </c>
      <c r="AE347">
        <v>0</v>
      </c>
      <c r="AF347">
        <v>0</v>
      </c>
      <c r="AG347">
        <v>0</v>
      </c>
      <c r="AH347">
        <v>1</v>
      </c>
      <c r="AI347">
        <v>0</v>
      </c>
      <c r="AJ347">
        <v>0</v>
      </c>
      <c r="AK347">
        <v>0</v>
      </c>
      <c r="AL347">
        <v>0</v>
      </c>
      <c r="AM347">
        <v>0</v>
      </c>
      <c r="AN347">
        <v>0</v>
      </c>
      <c r="AO347">
        <v>0</v>
      </c>
      <c r="AP347">
        <v>0</v>
      </c>
      <c r="AQ347">
        <v>0</v>
      </c>
      <c r="AR347">
        <v>0</v>
      </c>
      <c r="AS347">
        <f t="shared" si="73"/>
        <v>1</v>
      </c>
      <c r="AT347">
        <f t="shared" si="74"/>
        <v>1</v>
      </c>
      <c r="AU347" s="3" t="s">
        <v>129</v>
      </c>
      <c r="AV347">
        <f t="shared" si="75"/>
        <v>1</v>
      </c>
      <c r="AW347">
        <f t="shared" si="76"/>
        <v>0</v>
      </c>
      <c r="AX347">
        <f t="shared" si="77"/>
        <v>0</v>
      </c>
      <c r="AY347">
        <v>-1</v>
      </c>
      <c r="AZ347" t="s">
        <v>133</v>
      </c>
      <c r="BA347" t="s">
        <v>134</v>
      </c>
      <c r="BB347" t="s">
        <v>8</v>
      </c>
    </row>
    <row r="348" ht="34" spans="1:54">
      <c r="A348" t="s">
        <v>1213</v>
      </c>
      <c r="B348" t="s">
        <v>1041</v>
      </c>
      <c r="C348" t="s">
        <v>56</v>
      </c>
      <c r="D348">
        <v>3</v>
      </c>
      <c r="E348">
        <v>0</v>
      </c>
      <c r="F348">
        <v>33.5</v>
      </c>
      <c r="G348" t="s">
        <v>106</v>
      </c>
      <c r="H348" s="3" t="s">
        <v>1214</v>
      </c>
      <c r="I348" s="3" t="s">
        <v>1215</v>
      </c>
      <c r="J348">
        <f t="shared" si="65"/>
        <v>0</v>
      </c>
      <c r="K348">
        <f t="shared" si="66"/>
        <v>0</v>
      </c>
      <c r="L348">
        <f t="shared" si="67"/>
        <v>0</v>
      </c>
      <c r="M348">
        <f t="shared" si="68"/>
        <v>0</v>
      </c>
      <c r="N348">
        <f t="shared" si="69"/>
        <v>1</v>
      </c>
      <c r="O348">
        <f t="shared" si="70"/>
        <v>0</v>
      </c>
      <c r="P348">
        <f t="shared" si="71"/>
        <v>0</v>
      </c>
      <c r="Q348">
        <f t="shared" si="72"/>
        <v>0</v>
      </c>
      <c r="R348">
        <v>0</v>
      </c>
      <c r="S348">
        <v>0</v>
      </c>
      <c r="T348">
        <v>0</v>
      </c>
      <c r="U348">
        <v>0</v>
      </c>
      <c r="V348">
        <v>0</v>
      </c>
      <c r="W348">
        <v>0</v>
      </c>
      <c r="X348">
        <v>0</v>
      </c>
      <c r="Y348">
        <v>0</v>
      </c>
      <c r="Z348">
        <v>0</v>
      </c>
      <c r="AA348">
        <v>0</v>
      </c>
      <c r="AB348">
        <v>0</v>
      </c>
      <c r="AC348">
        <v>0</v>
      </c>
      <c r="AD348">
        <v>0</v>
      </c>
      <c r="AE348">
        <v>0</v>
      </c>
      <c r="AF348">
        <v>0</v>
      </c>
      <c r="AG348">
        <v>0</v>
      </c>
      <c r="AH348">
        <v>1</v>
      </c>
      <c r="AI348">
        <v>0</v>
      </c>
      <c r="AJ348">
        <v>0</v>
      </c>
      <c r="AK348">
        <v>0</v>
      </c>
      <c r="AL348">
        <v>0</v>
      </c>
      <c r="AM348">
        <v>0</v>
      </c>
      <c r="AN348">
        <v>0</v>
      </c>
      <c r="AO348">
        <v>0</v>
      </c>
      <c r="AP348">
        <v>0</v>
      </c>
      <c r="AQ348">
        <v>0</v>
      </c>
      <c r="AR348">
        <v>0</v>
      </c>
      <c r="AS348">
        <f t="shared" si="73"/>
        <v>1</v>
      </c>
      <c r="AT348">
        <f t="shared" si="74"/>
        <v>1</v>
      </c>
      <c r="AU348" s="3" t="s">
        <v>129</v>
      </c>
      <c r="AV348">
        <f t="shared" si="75"/>
        <v>1</v>
      </c>
      <c r="AW348">
        <f t="shared" si="76"/>
        <v>0</v>
      </c>
      <c r="AX348">
        <f t="shared" si="77"/>
        <v>0</v>
      </c>
      <c r="AY348">
        <v>2</v>
      </c>
      <c r="AZ348" t="s">
        <v>60</v>
      </c>
      <c r="BA348" t="s">
        <v>61</v>
      </c>
      <c r="BB348" t="s">
        <v>8</v>
      </c>
    </row>
    <row r="349" ht="34" spans="1:54">
      <c r="A349" t="s">
        <v>1216</v>
      </c>
      <c r="B349" t="s">
        <v>1041</v>
      </c>
      <c r="C349" t="s">
        <v>56</v>
      </c>
      <c r="D349">
        <v>0</v>
      </c>
      <c r="E349">
        <v>0</v>
      </c>
      <c r="F349">
        <v>53.4</v>
      </c>
      <c r="G349" t="s">
        <v>106</v>
      </c>
      <c r="H349" s="3" t="s">
        <v>1217</v>
      </c>
      <c r="I349" s="3" t="s">
        <v>1218</v>
      </c>
      <c r="J349">
        <f t="shared" si="65"/>
        <v>0</v>
      </c>
      <c r="K349">
        <f t="shared" si="66"/>
        <v>0</v>
      </c>
      <c r="L349">
        <f t="shared" si="67"/>
        <v>0</v>
      </c>
      <c r="M349">
        <f t="shared" si="68"/>
        <v>0</v>
      </c>
      <c r="N349">
        <f t="shared" si="69"/>
        <v>1</v>
      </c>
      <c r="O349">
        <f t="shared" si="70"/>
        <v>0</v>
      </c>
      <c r="P349">
        <f t="shared" si="71"/>
        <v>0</v>
      </c>
      <c r="Q349">
        <f t="shared" si="72"/>
        <v>0</v>
      </c>
      <c r="R349">
        <v>0</v>
      </c>
      <c r="S349">
        <v>0</v>
      </c>
      <c r="T349">
        <v>0</v>
      </c>
      <c r="U349">
        <v>0</v>
      </c>
      <c r="V349">
        <v>0</v>
      </c>
      <c r="W349">
        <v>0</v>
      </c>
      <c r="X349">
        <v>0</v>
      </c>
      <c r="Y349">
        <v>0</v>
      </c>
      <c r="Z349">
        <v>0</v>
      </c>
      <c r="AA349">
        <v>0</v>
      </c>
      <c r="AB349">
        <v>0</v>
      </c>
      <c r="AC349">
        <v>0</v>
      </c>
      <c r="AD349">
        <v>0</v>
      </c>
      <c r="AE349">
        <v>0</v>
      </c>
      <c r="AF349">
        <v>0</v>
      </c>
      <c r="AG349">
        <v>0</v>
      </c>
      <c r="AH349">
        <v>1</v>
      </c>
      <c r="AI349">
        <v>0</v>
      </c>
      <c r="AJ349">
        <v>0</v>
      </c>
      <c r="AK349">
        <v>0</v>
      </c>
      <c r="AL349">
        <v>0</v>
      </c>
      <c r="AM349">
        <v>0</v>
      </c>
      <c r="AN349">
        <v>0</v>
      </c>
      <c r="AO349">
        <v>0</v>
      </c>
      <c r="AP349">
        <v>0</v>
      </c>
      <c r="AQ349">
        <v>0</v>
      </c>
      <c r="AR349">
        <v>0</v>
      </c>
      <c r="AS349">
        <f t="shared" si="73"/>
        <v>1</v>
      </c>
      <c r="AT349">
        <f t="shared" si="74"/>
        <v>1</v>
      </c>
      <c r="AU349" s="3" t="s">
        <v>129</v>
      </c>
      <c r="AV349">
        <f t="shared" si="75"/>
        <v>1</v>
      </c>
      <c r="AW349">
        <f t="shared" si="76"/>
        <v>0</v>
      </c>
      <c r="AX349">
        <f t="shared" si="77"/>
        <v>0</v>
      </c>
      <c r="AY349">
        <v>-1</v>
      </c>
      <c r="AZ349" t="s">
        <v>133</v>
      </c>
      <c r="BA349" t="s">
        <v>134</v>
      </c>
      <c r="BB349" t="s">
        <v>8</v>
      </c>
    </row>
    <row r="350" ht="17" spans="1:54">
      <c r="A350" t="s">
        <v>1219</v>
      </c>
      <c r="B350" t="s">
        <v>1041</v>
      </c>
      <c r="C350" t="s">
        <v>56</v>
      </c>
      <c r="D350">
        <v>0</v>
      </c>
      <c r="E350">
        <v>0</v>
      </c>
      <c r="F350">
        <v>98.6</v>
      </c>
      <c r="G350" t="s">
        <v>106</v>
      </c>
      <c r="H350" s="3" t="s">
        <v>1220</v>
      </c>
      <c r="I350" s="3" t="s">
        <v>1221</v>
      </c>
      <c r="J350">
        <f t="shared" si="65"/>
        <v>0</v>
      </c>
      <c r="K350">
        <f t="shared" si="66"/>
        <v>0</v>
      </c>
      <c r="L350">
        <f t="shared" si="67"/>
        <v>0</v>
      </c>
      <c r="M350">
        <f t="shared" si="68"/>
        <v>0</v>
      </c>
      <c r="N350">
        <f t="shared" si="69"/>
        <v>1</v>
      </c>
      <c r="O350">
        <f t="shared" si="70"/>
        <v>0</v>
      </c>
      <c r="P350">
        <f t="shared" si="71"/>
        <v>0</v>
      </c>
      <c r="Q350">
        <f t="shared" si="72"/>
        <v>0</v>
      </c>
      <c r="R350">
        <v>0</v>
      </c>
      <c r="S350">
        <v>0</v>
      </c>
      <c r="T350">
        <v>0</v>
      </c>
      <c r="U350">
        <v>0</v>
      </c>
      <c r="V350">
        <v>0</v>
      </c>
      <c r="W350">
        <v>0</v>
      </c>
      <c r="X350">
        <v>0</v>
      </c>
      <c r="Y350">
        <v>0</v>
      </c>
      <c r="Z350">
        <v>0</v>
      </c>
      <c r="AA350">
        <v>0</v>
      </c>
      <c r="AB350">
        <v>0</v>
      </c>
      <c r="AC350">
        <v>0</v>
      </c>
      <c r="AD350">
        <v>0</v>
      </c>
      <c r="AE350">
        <v>0</v>
      </c>
      <c r="AF350">
        <v>0</v>
      </c>
      <c r="AG350">
        <v>0</v>
      </c>
      <c r="AH350">
        <v>1</v>
      </c>
      <c r="AI350">
        <v>0</v>
      </c>
      <c r="AJ350">
        <v>0</v>
      </c>
      <c r="AK350">
        <v>0</v>
      </c>
      <c r="AL350">
        <v>0</v>
      </c>
      <c r="AM350">
        <v>0</v>
      </c>
      <c r="AN350">
        <v>0</v>
      </c>
      <c r="AO350">
        <v>0</v>
      </c>
      <c r="AP350">
        <v>0</v>
      </c>
      <c r="AQ350">
        <v>0</v>
      </c>
      <c r="AR350">
        <v>0</v>
      </c>
      <c r="AS350">
        <f t="shared" si="73"/>
        <v>1</v>
      </c>
      <c r="AT350">
        <f t="shared" si="74"/>
        <v>1</v>
      </c>
      <c r="AU350" s="3" t="s">
        <v>129</v>
      </c>
      <c r="AV350">
        <f t="shared" si="75"/>
        <v>1</v>
      </c>
      <c r="AW350">
        <f t="shared" si="76"/>
        <v>0</v>
      </c>
      <c r="AX350">
        <f t="shared" si="77"/>
        <v>0</v>
      </c>
      <c r="AY350">
        <v>2</v>
      </c>
      <c r="AZ350" t="s">
        <v>60</v>
      </c>
      <c r="BA350" t="s">
        <v>61</v>
      </c>
      <c r="BB350" t="s">
        <v>8</v>
      </c>
    </row>
    <row r="351" ht="17" spans="1:54">
      <c r="A351" t="s">
        <v>1222</v>
      </c>
      <c r="B351" t="s">
        <v>1041</v>
      </c>
      <c r="C351" t="s">
        <v>56</v>
      </c>
      <c r="D351">
        <v>2</v>
      </c>
      <c r="E351">
        <v>0</v>
      </c>
      <c r="F351">
        <v>39.1</v>
      </c>
      <c r="G351" t="s">
        <v>106</v>
      </c>
      <c r="H351" s="3" t="s">
        <v>1223</v>
      </c>
      <c r="I351" s="3" t="s">
        <v>1224</v>
      </c>
      <c r="J351">
        <f t="shared" si="65"/>
        <v>0</v>
      </c>
      <c r="K351">
        <f t="shared" si="66"/>
        <v>0</v>
      </c>
      <c r="L351">
        <f t="shared" si="67"/>
        <v>0</v>
      </c>
      <c r="M351">
        <f t="shared" si="68"/>
        <v>0</v>
      </c>
      <c r="N351">
        <f t="shared" si="69"/>
        <v>0</v>
      </c>
      <c r="O351">
        <f t="shared" si="70"/>
        <v>0</v>
      </c>
      <c r="P351">
        <f t="shared" si="71"/>
        <v>0</v>
      </c>
      <c r="Q351">
        <f t="shared" si="72"/>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f t="shared" si="73"/>
        <v>0</v>
      </c>
      <c r="AT351">
        <f t="shared" si="74"/>
        <v>0</v>
      </c>
      <c r="AU351" s="3" t="s">
        <v>118</v>
      </c>
      <c r="AV351">
        <f t="shared" si="75"/>
        <v>0</v>
      </c>
      <c r="AW351">
        <f t="shared" si="76"/>
        <v>1</v>
      </c>
      <c r="AX351">
        <f t="shared" si="77"/>
        <v>0</v>
      </c>
      <c r="AY351">
        <v>0</v>
      </c>
      <c r="AZ351" t="s">
        <v>147</v>
      </c>
      <c r="BA351" t="s">
        <v>148</v>
      </c>
      <c r="BB351" t="s">
        <v>8</v>
      </c>
    </row>
    <row r="352" ht="17" spans="1:54">
      <c r="A352" t="s">
        <v>1225</v>
      </c>
      <c r="B352" t="s">
        <v>1041</v>
      </c>
      <c r="C352" t="s">
        <v>56</v>
      </c>
      <c r="D352">
        <v>0</v>
      </c>
      <c r="E352">
        <v>0</v>
      </c>
      <c r="F352">
        <v>81</v>
      </c>
      <c r="G352" t="s">
        <v>1226</v>
      </c>
      <c r="H352" s="3" t="s">
        <v>1227</v>
      </c>
      <c r="I352" s="3" t="s">
        <v>1228</v>
      </c>
      <c r="J352">
        <f t="shared" si="65"/>
        <v>0</v>
      </c>
      <c r="K352">
        <f t="shared" si="66"/>
        <v>0</v>
      </c>
      <c r="L352">
        <f t="shared" si="67"/>
        <v>0</v>
      </c>
      <c r="M352">
        <f t="shared" si="68"/>
        <v>0</v>
      </c>
      <c r="N352">
        <f t="shared" si="69"/>
        <v>0</v>
      </c>
      <c r="O352">
        <f t="shared" si="70"/>
        <v>0</v>
      </c>
      <c r="P352">
        <f t="shared" si="71"/>
        <v>0</v>
      </c>
      <c r="Q352">
        <f t="shared" si="7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f t="shared" si="73"/>
        <v>0</v>
      </c>
      <c r="AT352">
        <f t="shared" si="74"/>
        <v>0</v>
      </c>
      <c r="AU352" s="3" t="s">
        <v>118</v>
      </c>
      <c r="AV352">
        <f t="shared" si="75"/>
        <v>0</v>
      </c>
      <c r="AW352">
        <f t="shared" si="76"/>
        <v>1</v>
      </c>
      <c r="AX352">
        <f t="shared" si="77"/>
        <v>0</v>
      </c>
      <c r="AY352">
        <v>1</v>
      </c>
      <c r="AZ352" t="s">
        <v>60</v>
      </c>
      <c r="BA352" t="s">
        <v>61</v>
      </c>
      <c r="BB352" t="s">
        <v>8</v>
      </c>
    </row>
    <row r="353" ht="17" spans="1:54">
      <c r="A353" t="s">
        <v>1229</v>
      </c>
      <c r="B353" t="s">
        <v>1041</v>
      </c>
      <c r="C353" t="s">
        <v>56</v>
      </c>
      <c r="D353">
        <v>0</v>
      </c>
      <c r="E353">
        <v>1</v>
      </c>
      <c r="F353">
        <v>50.8</v>
      </c>
      <c r="G353" t="s">
        <v>106</v>
      </c>
      <c r="H353" s="3" t="s">
        <v>1230</v>
      </c>
      <c r="I353" s="3" t="s">
        <v>1231</v>
      </c>
      <c r="J353">
        <f t="shared" si="65"/>
        <v>0</v>
      </c>
      <c r="K353">
        <f t="shared" si="66"/>
        <v>0</v>
      </c>
      <c r="L353">
        <f t="shared" si="67"/>
        <v>0</v>
      </c>
      <c r="M353">
        <f t="shared" si="68"/>
        <v>0</v>
      </c>
      <c r="N353">
        <f t="shared" si="69"/>
        <v>0</v>
      </c>
      <c r="O353">
        <f t="shared" si="70"/>
        <v>0</v>
      </c>
      <c r="P353">
        <f t="shared" si="71"/>
        <v>0</v>
      </c>
      <c r="Q353">
        <f t="shared" si="72"/>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f t="shared" si="73"/>
        <v>0</v>
      </c>
      <c r="AT353">
        <f t="shared" si="74"/>
        <v>0</v>
      </c>
      <c r="AU353" s="3" t="s">
        <v>118</v>
      </c>
      <c r="AV353">
        <f t="shared" si="75"/>
        <v>0</v>
      </c>
      <c r="AW353">
        <f t="shared" si="76"/>
        <v>1</v>
      </c>
      <c r="AX353">
        <f t="shared" si="77"/>
        <v>0</v>
      </c>
      <c r="AY353">
        <v>0</v>
      </c>
      <c r="AZ353" t="s">
        <v>147</v>
      </c>
      <c r="BA353" t="s">
        <v>148</v>
      </c>
      <c r="BB353" t="s">
        <v>8</v>
      </c>
    </row>
    <row r="354" ht="17" spans="1:54">
      <c r="A354" t="s">
        <v>1232</v>
      </c>
      <c r="B354" t="s">
        <v>1041</v>
      </c>
      <c r="C354" t="s">
        <v>56</v>
      </c>
      <c r="D354">
        <v>0</v>
      </c>
      <c r="E354">
        <v>1</v>
      </c>
      <c r="F354">
        <v>107.2</v>
      </c>
      <c r="G354" t="s">
        <v>106</v>
      </c>
      <c r="H354" s="3" t="s">
        <v>1233</v>
      </c>
      <c r="I354" s="3" t="s">
        <v>1233</v>
      </c>
      <c r="J354">
        <f t="shared" si="65"/>
        <v>0</v>
      </c>
      <c r="K354">
        <f t="shared" si="66"/>
        <v>0</v>
      </c>
      <c r="L354">
        <f t="shared" si="67"/>
        <v>0</v>
      </c>
      <c r="M354">
        <f t="shared" si="68"/>
        <v>0</v>
      </c>
      <c r="N354">
        <f t="shared" si="69"/>
        <v>1</v>
      </c>
      <c r="O354">
        <f t="shared" si="70"/>
        <v>0</v>
      </c>
      <c r="P354">
        <f t="shared" si="71"/>
        <v>0</v>
      </c>
      <c r="Q354">
        <f t="shared" si="72"/>
        <v>0</v>
      </c>
      <c r="R354">
        <v>0</v>
      </c>
      <c r="S354">
        <v>0</v>
      </c>
      <c r="T354">
        <v>0</v>
      </c>
      <c r="U354">
        <v>0</v>
      </c>
      <c r="V354">
        <v>0</v>
      </c>
      <c r="W354">
        <v>0</v>
      </c>
      <c r="X354">
        <v>0</v>
      </c>
      <c r="Y354">
        <v>0</v>
      </c>
      <c r="Z354">
        <v>0</v>
      </c>
      <c r="AA354">
        <v>0</v>
      </c>
      <c r="AB354">
        <v>0</v>
      </c>
      <c r="AC354">
        <v>0</v>
      </c>
      <c r="AD354">
        <v>0</v>
      </c>
      <c r="AE354">
        <v>0</v>
      </c>
      <c r="AF354">
        <v>0</v>
      </c>
      <c r="AG354">
        <v>0</v>
      </c>
      <c r="AH354">
        <v>1</v>
      </c>
      <c r="AI354">
        <v>0</v>
      </c>
      <c r="AJ354">
        <v>0</v>
      </c>
      <c r="AK354">
        <v>0</v>
      </c>
      <c r="AL354">
        <v>0</v>
      </c>
      <c r="AM354">
        <v>0</v>
      </c>
      <c r="AN354">
        <v>0</v>
      </c>
      <c r="AO354">
        <v>0</v>
      </c>
      <c r="AP354">
        <v>0</v>
      </c>
      <c r="AQ354">
        <v>0</v>
      </c>
      <c r="AR354">
        <v>0</v>
      </c>
      <c r="AS354">
        <f t="shared" si="73"/>
        <v>1</v>
      </c>
      <c r="AT354">
        <f t="shared" si="74"/>
        <v>1</v>
      </c>
      <c r="AU354" s="3" t="s">
        <v>129</v>
      </c>
      <c r="AV354">
        <f t="shared" si="75"/>
        <v>1</v>
      </c>
      <c r="AW354">
        <f t="shared" si="76"/>
        <v>0</v>
      </c>
      <c r="AX354">
        <f t="shared" si="77"/>
        <v>0</v>
      </c>
      <c r="AY354">
        <v>1.5</v>
      </c>
      <c r="AZ354" t="s">
        <v>60</v>
      </c>
      <c r="BA354" t="s">
        <v>61</v>
      </c>
      <c r="BB354" t="s">
        <v>8</v>
      </c>
    </row>
    <row r="355" ht="168" spans="1:54">
      <c r="A355" t="s">
        <v>1234</v>
      </c>
      <c r="B355" t="s">
        <v>1041</v>
      </c>
      <c r="C355" t="s">
        <v>116</v>
      </c>
      <c r="D355">
        <v>19</v>
      </c>
      <c r="E355">
        <v>1</v>
      </c>
      <c r="F355">
        <v>8.4</v>
      </c>
      <c r="G355" t="s">
        <v>106</v>
      </c>
      <c r="H355" s="3" t="s">
        <v>1235</v>
      </c>
      <c r="I355" s="3" t="s">
        <v>1236</v>
      </c>
      <c r="J355">
        <f t="shared" si="65"/>
        <v>0</v>
      </c>
      <c r="K355">
        <f t="shared" si="66"/>
        <v>1</v>
      </c>
      <c r="L355">
        <f t="shared" si="67"/>
        <v>0</v>
      </c>
      <c r="M355">
        <f t="shared" si="68"/>
        <v>0</v>
      </c>
      <c r="N355">
        <f t="shared" si="69"/>
        <v>1</v>
      </c>
      <c r="O355">
        <f t="shared" si="70"/>
        <v>0</v>
      </c>
      <c r="P355">
        <f t="shared" si="71"/>
        <v>0</v>
      </c>
      <c r="Q355">
        <f t="shared" si="72"/>
        <v>0</v>
      </c>
      <c r="R355">
        <v>0</v>
      </c>
      <c r="S355">
        <v>0</v>
      </c>
      <c r="T355">
        <v>0</v>
      </c>
      <c r="U355">
        <v>1</v>
      </c>
      <c r="V355">
        <v>0</v>
      </c>
      <c r="W355">
        <v>1</v>
      </c>
      <c r="X355">
        <v>0</v>
      </c>
      <c r="Y355">
        <v>0</v>
      </c>
      <c r="Z355">
        <v>0</v>
      </c>
      <c r="AA355">
        <v>0</v>
      </c>
      <c r="AB355">
        <v>0</v>
      </c>
      <c r="AC355">
        <v>0</v>
      </c>
      <c r="AD355">
        <v>0</v>
      </c>
      <c r="AE355">
        <v>0</v>
      </c>
      <c r="AF355">
        <v>0</v>
      </c>
      <c r="AG355">
        <v>0</v>
      </c>
      <c r="AH355">
        <v>1</v>
      </c>
      <c r="AI355">
        <v>0</v>
      </c>
      <c r="AJ355">
        <v>0</v>
      </c>
      <c r="AK355">
        <v>0</v>
      </c>
      <c r="AL355">
        <v>0</v>
      </c>
      <c r="AM355">
        <v>0</v>
      </c>
      <c r="AN355">
        <v>0</v>
      </c>
      <c r="AO355">
        <v>0</v>
      </c>
      <c r="AP355">
        <v>0</v>
      </c>
      <c r="AQ355">
        <v>0</v>
      </c>
      <c r="AR355">
        <v>0</v>
      </c>
      <c r="AS355">
        <f t="shared" si="73"/>
        <v>2</v>
      </c>
      <c r="AT355">
        <f t="shared" si="74"/>
        <v>3</v>
      </c>
      <c r="AU355" s="3" t="s">
        <v>1237</v>
      </c>
      <c r="AV355">
        <f t="shared" si="75"/>
        <v>1</v>
      </c>
      <c r="AW355">
        <f t="shared" si="76"/>
        <v>0</v>
      </c>
      <c r="AX355">
        <f t="shared" si="77"/>
        <v>0</v>
      </c>
      <c r="AY355">
        <v>3.5</v>
      </c>
      <c r="AZ355" t="s">
        <v>60</v>
      </c>
      <c r="BA355" t="s">
        <v>61</v>
      </c>
      <c r="BB355" t="s">
        <v>8</v>
      </c>
    </row>
    <row r="356" ht="353" spans="1:54">
      <c r="A356" t="s">
        <v>1238</v>
      </c>
      <c r="B356" t="s">
        <v>1041</v>
      </c>
      <c r="C356" t="s">
        <v>116</v>
      </c>
      <c r="D356">
        <v>76</v>
      </c>
      <c r="E356">
        <v>2</v>
      </c>
      <c r="F356">
        <v>15.7</v>
      </c>
      <c r="G356" t="s">
        <v>106</v>
      </c>
      <c r="H356" s="3" t="s">
        <v>1239</v>
      </c>
      <c r="I356" s="3" t="s">
        <v>1240</v>
      </c>
      <c r="J356">
        <f t="shared" si="65"/>
        <v>1</v>
      </c>
      <c r="K356">
        <f t="shared" si="66"/>
        <v>1</v>
      </c>
      <c r="L356">
        <f t="shared" si="67"/>
        <v>0</v>
      </c>
      <c r="M356">
        <f t="shared" si="68"/>
        <v>0</v>
      </c>
      <c r="N356">
        <f t="shared" si="69"/>
        <v>1</v>
      </c>
      <c r="O356">
        <f t="shared" si="70"/>
        <v>0</v>
      </c>
      <c r="P356">
        <f t="shared" si="71"/>
        <v>0</v>
      </c>
      <c r="Q356">
        <f t="shared" si="72"/>
        <v>0</v>
      </c>
      <c r="R356">
        <v>1</v>
      </c>
      <c r="S356">
        <v>0</v>
      </c>
      <c r="T356">
        <v>0</v>
      </c>
      <c r="U356">
        <v>1</v>
      </c>
      <c r="V356">
        <v>1</v>
      </c>
      <c r="W356">
        <v>0</v>
      </c>
      <c r="X356">
        <v>0</v>
      </c>
      <c r="Y356">
        <v>1</v>
      </c>
      <c r="Z356">
        <v>0</v>
      </c>
      <c r="AA356">
        <v>0</v>
      </c>
      <c r="AB356">
        <v>0</v>
      </c>
      <c r="AC356">
        <v>0</v>
      </c>
      <c r="AD356">
        <v>0</v>
      </c>
      <c r="AE356">
        <v>0</v>
      </c>
      <c r="AF356">
        <v>0</v>
      </c>
      <c r="AG356">
        <v>0</v>
      </c>
      <c r="AH356">
        <v>1</v>
      </c>
      <c r="AI356">
        <v>0</v>
      </c>
      <c r="AJ356">
        <v>0</v>
      </c>
      <c r="AK356">
        <v>0</v>
      </c>
      <c r="AL356">
        <v>0</v>
      </c>
      <c r="AM356">
        <v>0</v>
      </c>
      <c r="AN356">
        <v>0</v>
      </c>
      <c r="AO356">
        <v>0</v>
      </c>
      <c r="AP356">
        <v>0</v>
      </c>
      <c r="AQ356">
        <v>0</v>
      </c>
      <c r="AR356">
        <v>0</v>
      </c>
      <c r="AS356">
        <f t="shared" si="73"/>
        <v>3</v>
      </c>
      <c r="AT356">
        <f t="shared" si="74"/>
        <v>5</v>
      </c>
      <c r="AU356" s="3" t="s">
        <v>1241</v>
      </c>
      <c r="AV356">
        <f t="shared" si="75"/>
        <v>1</v>
      </c>
      <c r="AW356">
        <f t="shared" si="76"/>
        <v>0</v>
      </c>
      <c r="AX356">
        <f t="shared" si="77"/>
        <v>0</v>
      </c>
      <c r="AY356">
        <v>3.5</v>
      </c>
      <c r="AZ356" t="s">
        <v>60</v>
      </c>
      <c r="BA356" t="s">
        <v>61</v>
      </c>
      <c r="BB356" t="s">
        <v>8</v>
      </c>
    </row>
    <row r="357" ht="17" spans="1:54">
      <c r="A357" t="s">
        <v>1242</v>
      </c>
      <c r="B357" t="s">
        <v>1041</v>
      </c>
      <c r="C357" t="s">
        <v>56</v>
      </c>
      <c r="D357">
        <v>0</v>
      </c>
      <c r="E357">
        <v>1</v>
      </c>
      <c r="F357">
        <v>65.4</v>
      </c>
      <c r="G357" t="s">
        <v>106</v>
      </c>
      <c r="H357" s="3" t="s">
        <v>1243</v>
      </c>
      <c r="I357" s="3" t="s">
        <v>1244</v>
      </c>
      <c r="J357">
        <f t="shared" si="65"/>
        <v>0</v>
      </c>
      <c r="K357">
        <f t="shared" si="66"/>
        <v>0</v>
      </c>
      <c r="L357">
        <f t="shared" si="67"/>
        <v>0</v>
      </c>
      <c r="M357">
        <f t="shared" si="68"/>
        <v>0</v>
      </c>
      <c r="N357">
        <f t="shared" si="69"/>
        <v>0</v>
      </c>
      <c r="O357">
        <f t="shared" si="70"/>
        <v>0</v>
      </c>
      <c r="P357">
        <f t="shared" si="71"/>
        <v>0</v>
      </c>
      <c r="Q357">
        <f t="shared" si="72"/>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f t="shared" si="73"/>
        <v>0</v>
      </c>
      <c r="AT357">
        <f t="shared" si="74"/>
        <v>0</v>
      </c>
      <c r="AU357" s="3" t="s">
        <v>118</v>
      </c>
      <c r="AV357">
        <f t="shared" si="75"/>
        <v>0</v>
      </c>
      <c r="AW357">
        <f t="shared" si="76"/>
        <v>1</v>
      </c>
      <c r="AX357">
        <f t="shared" si="77"/>
        <v>0</v>
      </c>
      <c r="AY357">
        <v>-1.5</v>
      </c>
      <c r="AZ357" t="s">
        <v>133</v>
      </c>
      <c r="BA357" t="s">
        <v>134</v>
      </c>
      <c r="BB357" t="s">
        <v>8</v>
      </c>
    </row>
    <row r="358" ht="409.5" spans="1:54">
      <c r="A358" t="s">
        <v>1245</v>
      </c>
      <c r="B358" t="s">
        <v>1041</v>
      </c>
      <c r="C358" t="s">
        <v>56</v>
      </c>
      <c r="D358">
        <v>5</v>
      </c>
      <c r="E358">
        <v>0</v>
      </c>
      <c r="F358">
        <v>74.2</v>
      </c>
      <c r="G358" t="s">
        <v>106</v>
      </c>
      <c r="H358" s="3" t="s">
        <v>1246</v>
      </c>
      <c r="I358" s="3" t="s">
        <v>1247</v>
      </c>
      <c r="J358">
        <f t="shared" si="65"/>
        <v>1</v>
      </c>
      <c r="K358">
        <f t="shared" si="66"/>
        <v>0</v>
      </c>
      <c r="L358">
        <f t="shared" si="67"/>
        <v>0</v>
      </c>
      <c r="M358">
        <f t="shared" si="68"/>
        <v>1</v>
      </c>
      <c r="N358">
        <f t="shared" si="69"/>
        <v>1</v>
      </c>
      <c r="O358">
        <f t="shared" si="70"/>
        <v>0</v>
      </c>
      <c r="P358">
        <f t="shared" si="71"/>
        <v>0</v>
      </c>
      <c r="Q358">
        <f t="shared" si="72"/>
        <v>0</v>
      </c>
      <c r="R358">
        <v>1</v>
      </c>
      <c r="S358">
        <v>0</v>
      </c>
      <c r="T358">
        <v>0</v>
      </c>
      <c r="U358">
        <v>0</v>
      </c>
      <c r="V358">
        <v>0</v>
      </c>
      <c r="W358">
        <v>0</v>
      </c>
      <c r="X358">
        <v>0</v>
      </c>
      <c r="Y358">
        <v>0</v>
      </c>
      <c r="Z358">
        <v>0</v>
      </c>
      <c r="AA358">
        <v>0</v>
      </c>
      <c r="AB358">
        <v>0</v>
      </c>
      <c r="AC358">
        <v>0</v>
      </c>
      <c r="AD358">
        <v>1</v>
      </c>
      <c r="AE358">
        <v>0</v>
      </c>
      <c r="AF358">
        <v>0</v>
      </c>
      <c r="AG358">
        <v>0</v>
      </c>
      <c r="AH358">
        <v>1</v>
      </c>
      <c r="AI358">
        <v>0</v>
      </c>
      <c r="AJ358">
        <v>0</v>
      </c>
      <c r="AK358">
        <v>0</v>
      </c>
      <c r="AL358">
        <v>0</v>
      </c>
      <c r="AM358">
        <v>0</v>
      </c>
      <c r="AN358">
        <v>0</v>
      </c>
      <c r="AO358">
        <v>0</v>
      </c>
      <c r="AP358">
        <v>0</v>
      </c>
      <c r="AQ358">
        <v>0</v>
      </c>
      <c r="AR358">
        <v>0</v>
      </c>
      <c r="AS358">
        <f t="shared" si="73"/>
        <v>3</v>
      </c>
      <c r="AT358">
        <f t="shared" si="74"/>
        <v>3</v>
      </c>
      <c r="AU358" s="3" t="s">
        <v>1248</v>
      </c>
      <c r="AV358">
        <f t="shared" si="75"/>
        <v>1</v>
      </c>
      <c r="AW358">
        <f t="shared" si="76"/>
        <v>0</v>
      </c>
      <c r="AX358">
        <f t="shared" si="77"/>
        <v>0</v>
      </c>
      <c r="AY358">
        <v>-2.5</v>
      </c>
      <c r="AZ358" t="s">
        <v>133</v>
      </c>
      <c r="BA358" t="s">
        <v>134</v>
      </c>
      <c r="BB358" t="s">
        <v>8</v>
      </c>
    </row>
    <row r="359" ht="409.5" spans="1:54">
      <c r="A359" t="s">
        <v>1249</v>
      </c>
      <c r="B359" t="s">
        <v>1041</v>
      </c>
      <c r="C359" t="s">
        <v>56</v>
      </c>
      <c r="D359">
        <v>2</v>
      </c>
      <c r="E359">
        <v>0</v>
      </c>
      <c r="F359">
        <v>132.1</v>
      </c>
      <c r="G359" t="s">
        <v>106</v>
      </c>
      <c r="H359" s="3" t="s">
        <v>1250</v>
      </c>
      <c r="I359" s="3" t="s">
        <v>1251</v>
      </c>
      <c r="J359">
        <f t="shared" si="65"/>
        <v>0</v>
      </c>
      <c r="K359">
        <f t="shared" si="66"/>
        <v>1</v>
      </c>
      <c r="L359">
        <f t="shared" si="67"/>
        <v>0</v>
      </c>
      <c r="M359">
        <f t="shared" si="68"/>
        <v>0</v>
      </c>
      <c r="N359">
        <f t="shared" si="69"/>
        <v>0</v>
      </c>
      <c r="O359">
        <f t="shared" si="70"/>
        <v>0</v>
      </c>
      <c r="P359">
        <f t="shared" si="71"/>
        <v>0</v>
      </c>
      <c r="Q359">
        <f t="shared" si="72"/>
        <v>0</v>
      </c>
      <c r="R359">
        <v>0</v>
      </c>
      <c r="S359">
        <v>0</v>
      </c>
      <c r="T359">
        <v>0</v>
      </c>
      <c r="U359">
        <v>1</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f t="shared" si="73"/>
        <v>1</v>
      </c>
      <c r="AT359">
        <f t="shared" si="74"/>
        <v>1</v>
      </c>
      <c r="AU359" s="3" t="s">
        <v>123</v>
      </c>
      <c r="AV359">
        <f t="shared" si="75"/>
        <v>1</v>
      </c>
      <c r="AW359">
        <f t="shared" si="76"/>
        <v>0</v>
      </c>
      <c r="AX359">
        <f t="shared" si="77"/>
        <v>0</v>
      </c>
      <c r="AY359">
        <v>5</v>
      </c>
      <c r="AZ359" t="s">
        <v>60</v>
      </c>
      <c r="BA359" t="s">
        <v>61</v>
      </c>
      <c r="BB359" t="s">
        <v>8</v>
      </c>
    </row>
    <row r="360" ht="409.5" spans="1:54">
      <c r="A360" t="s">
        <v>1252</v>
      </c>
      <c r="B360" t="s">
        <v>1041</v>
      </c>
      <c r="C360" t="s">
        <v>56</v>
      </c>
      <c r="D360">
        <v>7</v>
      </c>
      <c r="E360">
        <v>6</v>
      </c>
      <c r="F360">
        <v>5.9</v>
      </c>
      <c r="G360" t="s">
        <v>106</v>
      </c>
      <c r="H360" s="3" t="s">
        <v>1253</v>
      </c>
      <c r="I360" s="3" t="s">
        <v>1254</v>
      </c>
      <c r="J360">
        <f t="shared" si="65"/>
        <v>1</v>
      </c>
      <c r="K360">
        <f t="shared" si="66"/>
        <v>0</v>
      </c>
      <c r="L360">
        <f t="shared" si="67"/>
        <v>0</v>
      </c>
      <c r="M360">
        <f t="shared" si="68"/>
        <v>0</v>
      </c>
      <c r="N360">
        <f t="shared" si="69"/>
        <v>1</v>
      </c>
      <c r="O360">
        <f t="shared" si="70"/>
        <v>1</v>
      </c>
      <c r="P360">
        <f t="shared" si="71"/>
        <v>0</v>
      </c>
      <c r="Q360">
        <f t="shared" si="72"/>
        <v>0</v>
      </c>
      <c r="R360">
        <v>1</v>
      </c>
      <c r="S360">
        <v>0</v>
      </c>
      <c r="T360">
        <v>0</v>
      </c>
      <c r="U360">
        <v>0</v>
      </c>
      <c r="V360">
        <v>0</v>
      </c>
      <c r="W360">
        <v>0</v>
      </c>
      <c r="X360">
        <v>0</v>
      </c>
      <c r="Y360">
        <v>0</v>
      </c>
      <c r="Z360">
        <v>0</v>
      </c>
      <c r="AA360">
        <v>0</v>
      </c>
      <c r="AB360">
        <v>0</v>
      </c>
      <c r="AC360">
        <v>0</v>
      </c>
      <c r="AD360">
        <v>0</v>
      </c>
      <c r="AE360">
        <v>0</v>
      </c>
      <c r="AF360">
        <v>0</v>
      </c>
      <c r="AG360">
        <v>1</v>
      </c>
      <c r="AH360">
        <v>0</v>
      </c>
      <c r="AI360">
        <v>1</v>
      </c>
      <c r="AJ360">
        <v>1</v>
      </c>
      <c r="AK360">
        <v>1</v>
      </c>
      <c r="AL360">
        <v>0</v>
      </c>
      <c r="AM360">
        <v>0</v>
      </c>
      <c r="AN360">
        <v>0</v>
      </c>
      <c r="AO360">
        <v>0</v>
      </c>
      <c r="AP360">
        <v>0</v>
      </c>
      <c r="AQ360">
        <v>0</v>
      </c>
      <c r="AR360">
        <v>0</v>
      </c>
      <c r="AS360">
        <f t="shared" si="73"/>
        <v>3</v>
      </c>
      <c r="AT360">
        <f t="shared" si="74"/>
        <v>5</v>
      </c>
      <c r="AU360" s="3" t="s">
        <v>1255</v>
      </c>
      <c r="AV360">
        <f t="shared" si="75"/>
        <v>1</v>
      </c>
      <c r="AW360">
        <f t="shared" si="76"/>
        <v>0</v>
      </c>
      <c r="AX360">
        <f t="shared" si="77"/>
        <v>0</v>
      </c>
      <c r="AY360">
        <v>2</v>
      </c>
      <c r="AZ360" t="s">
        <v>60</v>
      </c>
      <c r="BA360" t="s">
        <v>61</v>
      </c>
      <c r="BB360" t="s">
        <v>8</v>
      </c>
    </row>
    <row r="361" ht="387" spans="1:54">
      <c r="A361" t="s">
        <v>1256</v>
      </c>
      <c r="B361" t="s">
        <v>1041</v>
      </c>
      <c r="C361" t="s">
        <v>56</v>
      </c>
      <c r="D361">
        <v>9</v>
      </c>
      <c r="E361">
        <v>0</v>
      </c>
      <c r="F361">
        <v>14.5</v>
      </c>
      <c r="G361" t="s">
        <v>106</v>
      </c>
      <c r="H361" s="3" t="s">
        <v>1257</v>
      </c>
      <c r="I361" s="3" t="s">
        <v>1258</v>
      </c>
      <c r="J361">
        <f t="shared" si="65"/>
        <v>1</v>
      </c>
      <c r="K361">
        <f t="shared" si="66"/>
        <v>0</v>
      </c>
      <c r="L361">
        <f t="shared" si="67"/>
        <v>0</v>
      </c>
      <c r="M361">
        <f t="shared" si="68"/>
        <v>0</v>
      </c>
      <c r="N361">
        <f t="shared" si="69"/>
        <v>0</v>
      </c>
      <c r="O361">
        <f t="shared" si="70"/>
        <v>1</v>
      </c>
      <c r="P361">
        <f t="shared" si="71"/>
        <v>0</v>
      </c>
      <c r="Q361">
        <f t="shared" si="72"/>
        <v>0</v>
      </c>
      <c r="R361">
        <v>0</v>
      </c>
      <c r="S361">
        <v>1</v>
      </c>
      <c r="T361">
        <v>0</v>
      </c>
      <c r="U361">
        <v>0</v>
      </c>
      <c r="V361">
        <v>0</v>
      </c>
      <c r="W361">
        <v>0</v>
      </c>
      <c r="X361">
        <v>0</v>
      </c>
      <c r="Y361">
        <v>0</v>
      </c>
      <c r="Z361">
        <v>0</v>
      </c>
      <c r="AA361">
        <v>0</v>
      </c>
      <c r="AB361">
        <v>0</v>
      </c>
      <c r="AC361">
        <v>0</v>
      </c>
      <c r="AD361">
        <v>0</v>
      </c>
      <c r="AE361">
        <v>0</v>
      </c>
      <c r="AF361">
        <v>0</v>
      </c>
      <c r="AG361">
        <v>0</v>
      </c>
      <c r="AH361">
        <v>0</v>
      </c>
      <c r="AI361">
        <v>0</v>
      </c>
      <c r="AJ361">
        <v>0</v>
      </c>
      <c r="AK361">
        <v>0</v>
      </c>
      <c r="AL361">
        <v>1</v>
      </c>
      <c r="AM361">
        <v>0</v>
      </c>
      <c r="AN361">
        <v>0</v>
      </c>
      <c r="AO361">
        <v>0</v>
      </c>
      <c r="AP361">
        <v>0</v>
      </c>
      <c r="AQ361">
        <v>0</v>
      </c>
      <c r="AR361">
        <v>0</v>
      </c>
      <c r="AS361">
        <f t="shared" si="73"/>
        <v>2</v>
      </c>
      <c r="AT361">
        <f t="shared" si="74"/>
        <v>2</v>
      </c>
      <c r="AU361" s="3" t="s">
        <v>1259</v>
      </c>
      <c r="AV361">
        <f t="shared" si="75"/>
        <v>1</v>
      </c>
      <c r="AW361">
        <f t="shared" si="76"/>
        <v>0</v>
      </c>
      <c r="AX361">
        <f t="shared" si="77"/>
        <v>0</v>
      </c>
      <c r="AY361">
        <v>3.5</v>
      </c>
      <c r="AZ361" t="s">
        <v>60</v>
      </c>
      <c r="BA361" t="s">
        <v>61</v>
      </c>
      <c r="BB361" t="s">
        <v>8</v>
      </c>
    </row>
    <row r="362" ht="17" spans="1:54">
      <c r="A362" t="s">
        <v>1260</v>
      </c>
      <c r="B362" t="s">
        <v>1041</v>
      </c>
      <c r="C362" t="s">
        <v>56</v>
      </c>
      <c r="D362">
        <v>0</v>
      </c>
      <c r="E362">
        <v>0</v>
      </c>
      <c r="F362">
        <v>28.2</v>
      </c>
      <c r="G362" t="s">
        <v>1261</v>
      </c>
      <c r="H362" s="3" t="s">
        <v>1262</v>
      </c>
      <c r="I362" s="3" t="s">
        <v>1263</v>
      </c>
      <c r="J362">
        <f t="shared" si="65"/>
        <v>0</v>
      </c>
      <c r="K362">
        <f t="shared" si="66"/>
        <v>1</v>
      </c>
      <c r="L362">
        <f t="shared" si="67"/>
        <v>0</v>
      </c>
      <c r="M362">
        <f t="shared" si="68"/>
        <v>0</v>
      </c>
      <c r="N362">
        <f t="shared" si="69"/>
        <v>0</v>
      </c>
      <c r="O362">
        <f t="shared" si="70"/>
        <v>0</v>
      </c>
      <c r="P362">
        <f t="shared" si="71"/>
        <v>0</v>
      </c>
      <c r="Q362">
        <f t="shared" si="72"/>
        <v>0</v>
      </c>
      <c r="R362">
        <v>0</v>
      </c>
      <c r="S362">
        <v>0</v>
      </c>
      <c r="T362">
        <v>0</v>
      </c>
      <c r="U362">
        <v>0</v>
      </c>
      <c r="V362">
        <v>0</v>
      </c>
      <c r="W362">
        <v>1</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f t="shared" si="73"/>
        <v>1</v>
      </c>
      <c r="AT362">
        <f t="shared" si="74"/>
        <v>1</v>
      </c>
      <c r="AU362" s="3" t="s">
        <v>271</v>
      </c>
      <c r="AV362">
        <f t="shared" si="75"/>
        <v>1</v>
      </c>
      <c r="AW362">
        <f t="shared" si="76"/>
        <v>0</v>
      </c>
      <c r="AX362">
        <f t="shared" si="77"/>
        <v>0</v>
      </c>
      <c r="AY362">
        <v>-2</v>
      </c>
      <c r="AZ362" t="s">
        <v>133</v>
      </c>
      <c r="BA362" t="s">
        <v>134</v>
      </c>
      <c r="BB362" t="s">
        <v>8</v>
      </c>
    </row>
    <row r="363" ht="17" spans="1:54">
      <c r="A363" t="s">
        <v>1264</v>
      </c>
      <c r="B363" t="s">
        <v>1041</v>
      </c>
      <c r="C363" t="s">
        <v>56</v>
      </c>
      <c r="D363">
        <v>0</v>
      </c>
      <c r="E363">
        <v>0</v>
      </c>
      <c r="F363">
        <v>32.3</v>
      </c>
      <c r="G363" t="s">
        <v>324</v>
      </c>
      <c r="H363" s="3" t="s">
        <v>1265</v>
      </c>
      <c r="I363" s="3" t="s">
        <v>1265</v>
      </c>
      <c r="J363">
        <f t="shared" si="65"/>
        <v>0</v>
      </c>
      <c r="K363">
        <f t="shared" si="66"/>
        <v>0</v>
      </c>
      <c r="L363">
        <f t="shared" si="67"/>
        <v>0</v>
      </c>
      <c r="M363">
        <f t="shared" si="68"/>
        <v>0</v>
      </c>
      <c r="N363">
        <f t="shared" si="69"/>
        <v>0</v>
      </c>
      <c r="O363">
        <f t="shared" si="70"/>
        <v>0</v>
      </c>
      <c r="P363">
        <f t="shared" si="71"/>
        <v>0</v>
      </c>
      <c r="Q363">
        <f t="shared" si="72"/>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f t="shared" si="73"/>
        <v>0</v>
      </c>
      <c r="AT363">
        <f t="shared" si="74"/>
        <v>0</v>
      </c>
      <c r="AU363" s="3" t="s">
        <v>118</v>
      </c>
      <c r="AV363">
        <f t="shared" si="75"/>
        <v>0</v>
      </c>
      <c r="AW363">
        <f t="shared" si="76"/>
        <v>1</v>
      </c>
      <c r="AX363">
        <f t="shared" si="77"/>
        <v>0</v>
      </c>
      <c r="AY363">
        <v>0</v>
      </c>
      <c r="AZ363" t="s">
        <v>147</v>
      </c>
      <c r="BA363" t="s">
        <v>148</v>
      </c>
      <c r="BB363" t="s">
        <v>8</v>
      </c>
    </row>
    <row r="364" ht="202" spans="1:54">
      <c r="A364" t="s">
        <v>1266</v>
      </c>
      <c r="B364" t="s">
        <v>1041</v>
      </c>
      <c r="C364" t="s">
        <v>56</v>
      </c>
      <c r="D364">
        <v>4</v>
      </c>
      <c r="E364">
        <v>0</v>
      </c>
      <c r="F364">
        <v>273.8</v>
      </c>
      <c r="G364" t="s">
        <v>324</v>
      </c>
      <c r="H364" s="3" t="s">
        <v>1267</v>
      </c>
      <c r="I364" s="3" t="s">
        <v>1268</v>
      </c>
      <c r="J364">
        <f t="shared" si="65"/>
        <v>1</v>
      </c>
      <c r="K364">
        <f t="shared" si="66"/>
        <v>1</v>
      </c>
      <c r="L364">
        <f t="shared" si="67"/>
        <v>0</v>
      </c>
      <c r="M364">
        <f t="shared" si="68"/>
        <v>0</v>
      </c>
      <c r="N364">
        <f t="shared" si="69"/>
        <v>1</v>
      </c>
      <c r="O364">
        <f t="shared" si="70"/>
        <v>0</v>
      </c>
      <c r="P364">
        <f t="shared" si="71"/>
        <v>0</v>
      </c>
      <c r="Q364">
        <f t="shared" si="72"/>
        <v>0</v>
      </c>
      <c r="R364">
        <v>1</v>
      </c>
      <c r="S364">
        <v>0</v>
      </c>
      <c r="T364">
        <v>0</v>
      </c>
      <c r="U364">
        <v>1</v>
      </c>
      <c r="V364">
        <v>0</v>
      </c>
      <c r="W364">
        <v>0</v>
      </c>
      <c r="X364">
        <v>0</v>
      </c>
      <c r="Y364">
        <v>0</v>
      </c>
      <c r="Z364">
        <v>0</v>
      </c>
      <c r="AA364">
        <v>0</v>
      </c>
      <c r="AB364">
        <v>0</v>
      </c>
      <c r="AC364">
        <v>0</v>
      </c>
      <c r="AD364">
        <v>0</v>
      </c>
      <c r="AE364">
        <v>0</v>
      </c>
      <c r="AF364">
        <v>0</v>
      </c>
      <c r="AG364">
        <v>0</v>
      </c>
      <c r="AH364">
        <v>1</v>
      </c>
      <c r="AI364">
        <v>0</v>
      </c>
      <c r="AJ364">
        <v>0</v>
      </c>
      <c r="AK364">
        <v>0</v>
      </c>
      <c r="AL364">
        <v>0</v>
      </c>
      <c r="AM364">
        <v>0</v>
      </c>
      <c r="AN364">
        <v>0</v>
      </c>
      <c r="AO364">
        <v>0</v>
      </c>
      <c r="AP364">
        <v>0</v>
      </c>
      <c r="AQ364">
        <v>0</v>
      </c>
      <c r="AR364">
        <v>0</v>
      </c>
      <c r="AS364">
        <f t="shared" si="73"/>
        <v>3</v>
      </c>
      <c r="AT364">
        <f t="shared" si="74"/>
        <v>3</v>
      </c>
      <c r="AU364" s="3" t="s">
        <v>1054</v>
      </c>
      <c r="AV364">
        <f t="shared" si="75"/>
        <v>1</v>
      </c>
      <c r="AW364">
        <f t="shared" si="76"/>
        <v>0</v>
      </c>
      <c r="AX364">
        <f t="shared" si="77"/>
        <v>0</v>
      </c>
      <c r="AY364">
        <v>5.5</v>
      </c>
      <c r="AZ364" t="s">
        <v>60</v>
      </c>
      <c r="BA364" t="s">
        <v>61</v>
      </c>
      <c r="BB364" t="s">
        <v>8</v>
      </c>
    </row>
    <row r="365" ht="185" spans="1:54">
      <c r="A365" t="s">
        <v>1269</v>
      </c>
      <c r="B365" t="s">
        <v>1041</v>
      </c>
      <c r="C365" t="s">
        <v>116</v>
      </c>
      <c r="D365">
        <v>58</v>
      </c>
      <c r="E365">
        <v>3</v>
      </c>
      <c r="F365">
        <v>23.5</v>
      </c>
      <c r="G365" t="s">
        <v>324</v>
      </c>
      <c r="H365" s="3" t="s">
        <v>1270</v>
      </c>
      <c r="I365" s="3" t="s">
        <v>1271</v>
      </c>
      <c r="J365">
        <f t="shared" si="65"/>
        <v>0</v>
      </c>
      <c r="K365">
        <f t="shared" si="66"/>
        <v>1</v>
      </c>
      <c r="L365">
        <f t="shared" si="67"/>
        <v>0</v>
      </c>
      <c r="M365">
        <f t="shared" si="68"/>
        <v>0</v>
      </c>
      <c r="N365">
        <f t="shared" si="69"/>
        <v>0</v>
      </c>
      <c r="O365">
        <f t="shared" si="70"/>
        <v>0</v>
      </c>
      <c r="P365">
        <f t="shared" si="71"/>
        <v>0</v>
      </c>
      <c r="Q365">
        <f t="shared" si="72"/>
        <v>0</v>
      </c>
      <c r="R365">
        <v>0</v>
      </c>
      <c r="S365">
        <v>0</v>
      </c>
      <c r="T365">
        <v>0</v>
      </c>
      <c r="U365">
        <v>1</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f t="shared" si="73"/>
        <v>1</v>
      </c>
      <c r="AT365">
        <f t="shared" si="74"/>
        <v>1</v>
      </c>
      <c r="AU365" s="3" t="s">
        <v>123</v>
      </c>
      <c r="AV365">
        <f t="shared" si="75"/>
        <v>1</v>
      </c>
      <c r="AW365">
        <f t="shared" si="76"/>
        <v>0</v>
      </c>
      <c r="AX365">
        <f t="shared" si="77"/>
        <v>0</v>
      </c>
      <c r="AY365">
        <v>-5.5</v>
      </c>
      <c r="AZ365" t="s">
        <v>133</v>
      </c>
      <c r="BA365" t="s">
        <v>134</v>
      </c>
      <c r="BB365" t="s">
        <v>8</v>
      </c>
    </row>
    <row r="366" ht="118" spans="1:54">
      <c r="A366" t="s">
        <v>1272</v>
      </c>
      <c r="B366" t="s">
        <v>1041</v>
      </c>
      <c r="C366" t="s">
        <v>56</v>
      </c>
      <c r="D366">
        <v>0</v>
      </c>
      <c r="E366">
        <v>0</v>
      </c>
      <c r="F366">
        <v>8.7</v>
      </c>
      <c r="G366" t="s">
        <v>324</v>
      </c>
      <c r="H366" s="3" t="s">
        <v>1273</v>
      </c>
      <c r="I366" s="3" t="s">
        <v>1274</v>
      </c>
      <c r="J366">
        <f t="shared" si="65"/>
        <v>1</v>
      </c>
      <c r="K366">
        <f t="shared" si="66"/>
        <v>1</v>
      </c>
      <c r="L366">
        <f t="shared" si="67"/>
        <v>0</v>
      </c>
      <c r="M366">
        <f t="shared" si="68"/>
        <v>1</v>
      </c>
      <c r="N366">
        <f t="shared" si="69"/>
        <v>1</v>
      </c>
      <c r="O366">
        <f t="shared" si="70"/>
        <v>1</v>
      </c>
      <c r="P366">
        <f t="shared" si="71"/>
        <v>0</v>
      </c>
      <c r="Q366">
        <f t="shared" si="72"/>
        <v>0</v>
      </c>
      <c r="R366">
        <v>1</v>
      </c>
      <c r="S366">
        <v>0</v>
      </c>
      <c r="T366">
        <v>1</v>
      </c>
      <c r="U366">
        <v>1</v>
      </c>
      <c r="V366">
        <v>0</v>
      </c>
      <c r="W366">
        <v>0</v>
      </c>
      <c r="X366">
        <v>0</v>
      </c>
      <c r="Y366">
        <v>0</v>
      </c>
      <c r="Z366">
        <v>0</v>
      </c>
      <c r="AA366">
        <v>0</v>
      </c>
      <c r="AB366">
        <v>0</v>
      </c>
      <c r="AC366">
        <v>0</v>
      </c>
      <c r="AD366">
        <v>0</v>
      </c>
      <c r="AE366">
        <v>1</v>
      </c>
      <c r="AF366">
        <v>1</v>
      </c>
      <c r="AG366">
        <v>0</v>
      </c>
      <c r="AH366">
        <v>1</v>
      </c>
      <c r="AI366">
        <v>1</v>
      </c>
      <c r="AJ366">
        <v>0</v>
      </c>
      <c r="AK366">
        <v>0</v>
      </c>
      <c r="AL366">
        <v>0</v>
      </c>
      <c r="AM366">
        <v>0</v>
      </c>
      <c r="AN366">
        <v>0</v>
      </c>
      <c r="AO366">
        <v>0</v>
      </c>
      <c r="AP366">
        <v>0</v>
      </c>
      <c r="AQ366">
        <v>0</v>
      </c>
      <c r="AR366">
        <v>0</v>
      </c>
      <c r="AS366">
        <f t="shared" si="73"/>
        <v>5</v>
      </c>
      <c r="AT366">
        <f t="shared" si="74"/>
        <v>7</v>
      </c>
      <c r="AU366" s="3" t="s">
        <v>1275</v>
      </c>
      <c r="AV366">
        <f t="shared" si="75"/>
        <v>1</v>
      </c>
      <c r="AW366">
        <f t="shared" si="76"/>
        <v>0</v>
      </c>
      <c r="AX366">
        <f t="shared" si="77"/>
        <v>0</v>
      </c>
      <c r="AY366">
        <v>4</v>
      </c>
      <c r="AZ366" t="s">
        <v>60</v>
      </c>
      <c r="BA366" t="s">
        <v>61</v>
      </c>
      <c r="BB366" t="s">
        <v>8</v>
      </c>
    </row>
    <row r="367" ht="168" spans="1:54">
      <c r="A367" t="s">
        <v>1276</v>
      </c>
      <c r="B367" t="s">
        <v>1041</v>
      </c>
      <c r="C367" t="s">
        <v>56</v>
      </c>
      <c r="D367">
        <v>0</v>
      </c>
      <c r="E367">
        <v>0</v>
      </c>
      <c r="F367">
        <v>37</v>
      </c>
      <c r="G367" t="s">
        <v>324</v>
      </c>
      <c r="H367" s="3" t="s">
        <v>1277</v>
      </c>
      <c r="I367" s="3" t="s">
        <v>1278</v>
      </c>
      <c r="J367">
        <f t="shared" si="65"/>
        <v>0</v>
      </c>
      <c r="K367">
        <f t="shared" si="66"/>
        <v>1</v>
      </c>
      <c r="L367">
        <f t="shared" si="67"/>
        <v>0</v>
      </c>
      <c r="M367">
        <f t="shared" si="68"/>
        <v>1</v>
      </c>
      <c r="N367">
        <f t="shared" si="69"/>
        <v>1</v>
      </c>
      <c r="O367">
        <f t="shared" si="70"/>
        <v>0</v>
      </c>
      <c r="P367">
        <f t="shared" si="71"/>
        <v>0</v>
      </c>
      <c r="Q367">
        <f t="shared" si="72"/>
        <v>0</v>
      </c>
      <c r="R367">
        <v>0</v>
      </c>
      <c r="S367">
        <v>0</v>
      </c>
      <c r="T367">
        <v>0</v>
      </c>
      <c r="U367">
        <v>0</v>
      </c>
      <c r="V367">
        <v>1</v>
      </c>
      <c r="W367">
        <v>0</v>
      </c>
      <c r="X367">
        <v>0</v>
      </c>
      <c r="Y367">
        <v>0</v>
      </c>
      <c r="Z367">
        <v>0</v>
      </c>
      <c r="AA367">
        <v>0</v>
      </c>
      <c r="AB367">
        <v>0</v>
      </c>
      <c r="AC367">
        <v>0</v>
      </c>
      <c r="AD367">
        <v>0</v>
      </c>
      <c r="AE367">
        <v>0</v>
      </c>
      <c r="AF367">
        <v>1</v>
      </c>
      <c r="AG367">
        <v>0</v>
      </c>
      <c r="AH367">
        <v>1</v>
      </c>
      <c r="AI367">
        <v>0</v>
      </c>
      <c r="AJ367">
        <v>0</v>
      </c>
      <c r="AK367">
        <v>0</v>
      </c>
      <c r="AL367">
        <v>0</v>
      </c>
      <c r="AM367">
        <v>0</v>
      </c>
      <c r="AN367">
        <v>0</v>
      </c>
      <c r="AO367">
        <v>0</v>
      </c>
      <c r="AP367">
        <v>0</v>
      </c>
      <c r="AQ367">
        <v>0</v>
      </c>
      <c r="AR367">
        <v>0</v>
      </c>
      <c r="AS367">
        <f t="shared" si="73"/>
        <v>3</v>
      </c>
      <c r="AT367">
        <f t="shared" si="74"/>
        <v>3</v>
      </c>
      <c r="AU367" s="3" t="s">
        <v>587</v>
      </c>
      <c r="AV367">
        <f t="shared" si="75"/>
        <v>1</v>
      </c>
      <c r="AW367">
        <f t="shared" si="76"/>
        <v>0</v>
      </c>
      <c r="AX367">
        <f t="shared" si="77"/>
        <v>0</v>
      </c>
      <c r="AY367">
        <v>-0.5</v>
      </c>
      <c r="AZ367" t="s">
        <v>133</v>
      </c>
      <c r="BA367" t="s">
        <v>134</v>
      </c>
      <c r="BB367" t="s">
        <v>8</v>
      </c>
    </row>
    <row r="368" ht="118" spans="1:54">
      <c r="A368" t="s">
        <v>1279</v>
      </c>
      <c r="B368" t="s">
        <v>1041</v>
      </c>
      <c r="C368" t="s">
        <v>56</v>
      </c>
      <c r="D368">
        <v>2</v>
      </c>
      <c r="E368">
        <v>1</v>
      </c>
      <c r="F368">
        <v>84.2</v>
      </c>
      <c r="G368" t="s">
        <v>324</v>
      </c>
      <c r="H368" s="3" t="s">
        <v>1280</v>
      </c>
      <c r="I368" s="3" t="s">
        <v>1281</v>
      </c>
      <c r="J368">
        <f t="shared" si="65"/>
        <v>1</v>
      </c>
      <c r="K368">
        <f t="shared" si="66"/>
        <v>1</v>
      </c>
      <c r="L368">
        <f t="shared" si="67"/>
        <v>0</v>
      </c>
      <c r="M368">
        <f t="shared" si="68"/>
        <v>0</v>
      </c>
      <c r="N368">
        <f t="shared" si="69"/>
        <v>1</v>
      </c>
      <c r="O368">
        <f t="shared" si="70"/>
        <v>0</v>
      </c>
      <c r="P368">
        <f t="shared" si="71"/>
        <v>0</v>
      </c>
      <c r="Q368">
        <f t="shared" si="72"/>
        <v>0</v>
      </c>
      <c r="R368">
        <v>1</v>
      </c>
      <c r="S368">
        <v>0</v>
      </c>
      <c r="T368">
        <v>0</v>
      </c>
      <c r="U368">
        <v>1</v>
      </c>
      <c r="V368">
        <v>1</v>
      </c>
      <c r="W368">
        <v>1</v>
      </c>
      <c r="X368">
        <v>0</v>
      </c>
      <c r="Y368">
        <v>0</v>
      </c>
      <c r="Z368">
        <v>0</v>
      </c>
      <c r="AA368">
        <v>0</v>
      </c>
      <c r="AB368">
        <v>0</v>
      </c>
      <c r="AC368">
        <v>0</v>
      </c>
      <c r="AD368">
        <v>0</v>
      </c>
      <c r="AE368">
        <v>0</v>
      </c>
      <c r="AF368">
        <v>0</v>
      </c>
      <c r="AG368">
        <v>0</v>
      </c>
      <c r="AH368">
        <v>1</v>
      </c>
      <c r="AI368">
        <v>0</v>
      </c>
      <c r="AJ368">
        <v>0</v>
      </c>
      <c r="AK368">
        <v>0</v>
      </c>
      <c r="AL368">
        <v>0</v>
      </c>
      <c r="AM368">
        <v>0</v>
      </c>
      <c r="AN368">
        <v>0</v>
      </c>
      <c r="AO368">
        <v>0</v>
      </c>
      <c r="AP368">
        <v>0</v>
      </c>
      <c r="AQ368">
        <v>0</v>
      </c>
      <c r="AR368">
        <v>0</v>
      </c>
      <c r="AS368">
        <f t="shared" si="73"/>
        <v>3</v>
      </c>
      <c r="AT368">
        <f t="shared" si="74"/>
        <v>5</v>
      </c>
      <c r="AU368" s="3" t="s">
        <v>1282</v>
      </c>
      <c r="AV368">
        <f t="shared" si="75"/>
        <v>1</v>
      </c>
      <c r="AW368">
        <f t="shared" si="76"/>
        <v>0</v>
      </c>
      <c r="AX368">
        <f t="shared" si="77"/>
        <v>0</v>
      </c>
      <c r="AY368">
        <v>2</v>
      </c>
      <c r="AZ368" t="s">
        <v>60</v>
      </c>
      <c r="BA368" t="s">
        <v>61</v>
      </c>
      <c r="BB368" t="s">
        <v>8</v>
      </c>
    </row>
    <row r="369" ht="219" spans="1:54">
      <c r="A369" t="s">
        <v>1283</v>
      </c>
      <c r="B369" t="s">
        <v>1041</v>
      </c>
      <c r="C369" t="s">
        <v>56</v>
      </c>
      <c r="D369">
        <v>0</v>
      </c>
      <c r="E369">
        <v>0</v>
      </c>
      <c r="F369">
        <v>10.1</v>
      </c>
      <c r="G369" t="s">
        <v>324</v>
      </c>
      <c r="H369" s="3" t="s">
        <v>1284</v>
      </c>
      <c r="I369" s="3" t="s">
        <v>1285</v>
      </c>
      <c r="J369">
        <f t="shared" si="65"/>
        <v>1</v>
      </c>
      <c r="K369">
        <f t="shared" si="66"/>
        <v>1</v>
      </c>
      <c r="L369">
        <f t="shared" si="67"/>
        <v>1</v>
      </c>
      <c r="M369">
        <f t="shared" si="68"/>
        <v>0</v>
      </c>
      <c r="N369">
        <f t="shared" si="69"/>
        <v>1</v>
      </c>
      <c r="O369">
        <f t="shared" si="70"/>
        <v>1</v>
      </c>
      <c r="P369">
        <f t="shared" si="71"/>
        <v>0</v>
      </c>
      <c r="Q369">
        <f t="shared" si="72"/>
        <v>1</v>
      </c>
      <c r="R369">
        <v>1</v>
      </c>
      <c r="S369">
        <v>0</v>
      </c>
      <c r="T369">
        <v>1</v>
      </c>
      <c r="U369">
        <v>1</v>
      </c>
      <c r="V369">
        <v>0</v>
      </c>
      <c r="W369">
        <v>1</v>
      </c>
      <c r="X369">
        <v>0</v>
      </c>
      <c r="Y369">
        <v>1</v>
      </c>
      <c r="Z369">
        <v>1</v>
      </c>
      <c r="AA369">
        <v>0</v>
      </c>
      <c r="AB369">
        <v>0</v>
      </c>
      <c r="AC369">
        <v>1</v>
      </c>
      <c r="AD369">
        <v>0</v>
      </c>
      <c r="AE369">
        <v>0</v>
      </c>
      <c r="AF369">
        <v>0</v>
      </c>
      <c r="AG369">
        <v>0</v>
      </c>
      <c r="AH369">
        <v>1</v>
      </c>
      <c r="AI369">
        <v>0</v>
      </c>
      <c r="AJ369">
        <v>0</v>
      </c>
      <c r="AK369">
        <v>1</v>
      </c>
      <c r="AL369">
        <v>1</v>
      </c>
      <c r="AM369">
        <v>0</v>
      </c>
      <c r="AN369">
        <v>0</v>
      </c>
      <c r="AO369">
        <v>0</v>
      </c>
      <c r="AP369">
        <v>0</v>
      </c>
      <c r="AQ369">
        <v>0</v>
      </c>
      <c r="AR369">
        <v>1</v>
      </c>
      <c r="AS369">
        <f t="shared" si="73"/>
        <v>6</v>
      </c>
      <c r="AT369">
        <f t="shared" si="74"/>
        <v>11</v>
      </c>
      <c r="AU369" s="3" t="s">
        <v>1286</v>
      </c>
      <c r="AV369">
        <f t="shared" si="75"/>
        <v>1</v>
      </c>
      <c r="AW369">
        <f t="shared" si="76"/>
        <v>0</v>
      </c>
      <c r="AX369">
        <f t="shared" si="77"/>
        <v>1</v>
      </c>
      <c r="AY369">
        <v>15.5</v>
      </c>
      <c r="AZ369" t="s">
        <v>60</v>
      </c>
      <c r="BA369" t="s">
        <v>61</v>
      </c>
      <c r="BB369" t="s">
        <v>8</v>
      </c>
    </row>
    <row r="370" ht="152" spans="1:54">
      <c r="A370" t="s">
        <v>1287</v>
      </c>
      <c r="B370" t="s">
        <v>1041</v>
      </c>
      <c r="C370" t="s">
        <v>56</v>
      </c>
      <c r="D370">
        <v>0</v>
      </c>
      <c r="E370">
        <v>0</v>
      </c>
      <c r="F370">
        <v>219</v>
      </c>
      <c r="G370" t="s">
        <v>324</v>
      </c>
      <c r="H370" s="3" t="s">
        <v>1288</v>
      </c>
      <c r="I370" s="3" t="s">
        <v>1289</v>
      </c>
      <c r="J370">
        <f t="shared" si="65"/>
        <v>0</v>
      </c>
      <c r="K370">
        <f t="shared" si="66"/>
        <v>1</v>
      </c>
      <c r="L370">
        <f t="shared" si="67"/>
        <v>0</v>
      </c>
      <c r="M370">
        <f t="shared" si="68"/>
        <v>0</v>
      </c>
      <c r="N370">
        <f t="shared" si="69"/>
        <v>1</v>
      </c>
      <c r="O370">
        <f t="shared" si="70"/>
        <v>0</v>
      </c>
      <c r="P370">
        <f t="shared" si="71"/>
        <v>0</v>
      </c>
      <c r="Q370">
        <f t="shared" si="72"/>
        <v>0</v>
      </c>
      <c r="R370">
        <v>0</v>
      </c>
      <c r="S370">
        <v>0</v>
      </c>
      <c r="T370">
        <v>0</v>
      </c>
      <c r="U370">
        <v>1</v>
      </c>
      <c r="V370">
        <v>1</v>
      </c>
      <c r="W370">
        <v>0</v>
      </c>
      <c r="X370">
        <v>0</v>
      </c>
      <c r="Y370">
        <v>0</v>
      </c>
      <c r="Z370">
        <v>0</v>
      </c>
      <c r="AA370">
        <v>0</v>
      </c>
      <c r="AB370">
        <v>0</v>
      </c>
      <c r="AC370">
        <v>0</v>
      </c>
      <c r="AD370">
        <v>0</v>
      </c>
      <c r="AE370">
        <v>0</v>
      </c>
      <c r="AF370">
        <v>0</v>
      </c>
      <c r="AG370">
        <v>0</v>
      </c>
      <c r="AH370">
        <v>1</v>
      </c>
      <c r="AI370">
        <v>0</v>
      </c>
      <c r="AJ370">
        <v>0</v>
      </c>
      <c r="AK370">
        <v>0</v>
      </c>
      <c r="AL370">
        <v>0</v>
      </c>
      <c r="AM370">
        <v>0</v>
      </c>
      <c r="AN370">
        <v>0</v>
      </c>
      <c r="AO370">
        <v>0</v>
      </c>
      <c r="AP370">
        <v>0</v>
      </c>
      <c r="AQ370">
        <v>0</v>
      </c>
      <c r="AR370">
        <v>0</v>
      </c>
      <c r="AS370">
        <f t="shared" si="73"/>
        <v>2</v>
      </c>
      <c r="AT370">
        <f t="shared" si="74"/>
        <v>3</v>
      </c>
      <c r="AU370" s="3" t="s">
        <v>489</v>
      </c>
      <c r="AV370">
        <f t="shared" si="75"/>
        <v>1</v>
      </c>
      <c r="AW370">
        <f t="shared" si="76"/>
        <v>0</v>
      </c>
      <c r="AX370">
        <f t="shared" si="77"/>
        <v>0</v>
      </c>
      <c r="AY370">
        <v>6.5</v>
      </c>
      <c r="AZ370" t="s">
        <v>60</v>
      </c>
      <c r="BA370" t="s">
        <v>61</v>
      </c>
      <c r="BB370" t="s">
        <v>8</v>
      </c>
    </row>
    <row r="371" ht="152" spans="1:54">
      <c r="A371" t="s">
        <v>1290</v>
      </c>
      <c r="B371" t="s">
        <v>1041</v>
      </c>
      <c r="C371" t="s">
        <v>56</v>
      </c>
      <c r="D371">
        <v>8</v>
      </c>
      <c r="E371">
        <v>0</v>
      </c>
      <c r="F371">
        <v>4.2</v>
      </c>
      <c r="G371" t="s">
        <v>324</v>
      </c>
      <c r="H371" s="3" t="s">
        <v>1291</v>
      </c>
      <c r="I371" s="3" t="s">
        <v>1292</v>
      </c>
      <c r="J371">
        <f t="shared" si="65"/>
        <v>1</v>
      </c>
      <c r="K371">
        <f t="shared" si="66"/>
        <v>0</v>
      </c>
      <c r="L371">
        <f t="shared" si="67"/>
        <v>0</v>
      </c>
      <c r="M371">
        <f t="shared" si="68"/>
        <v>0</v>
      </c>
      <c r="N371">
        <f t="shared" si="69"/>
        <v>0</v>
      </c>
      <c r="O371">
        <f t="shared" si="70"/>
        <v>1</v>
      </c>
      <c r="P371">
        <f t="shared" si="71"/>
        <v>0</v>
      </c>
      <c r="Q371">
        <f t="shared" si="72"/>
        <v>0</v>
      </c>
      <c r="R371">
        <v>1</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1</v>
      </c>
      <c r="AM371">
        <v>0</v>
      </c>
      <c r="AN371">
        <v>0</v>
      </c>
      <c r="AO371">
        <v>0</v>
      </c>
      <c r="AP371">
        <v>0</v>
      </c>
      <c r="AQ371">
        <v>0</v>
      </c>
      <c r="AR371">
        <v>0</v>
      </c>
      <c r="AS371">
        <f t="shared" si="73"/>
        <v>2</v>
      </c>
      <c r="AT371">
        <f t="shared" si="74"/>
        <v>2</v>
      </c>
      <c r="AU371" s="3" t="s">
        <v>1293</v>
      </c>
      <c r="AV371">
        <f t="shared" si="75"/>
        <v>1</v>
      </c>
      <c r="AW371">
        <f t="shared" si="76"/>
        <v>0</v>
      </c>
      <c r="AX371">
        <f t="shared" si="77"/>
        <v>0</v>
      </c>
      <c r="AY371">
        <v>4</v>
      </c>
      <c r="AZ371" t="s">
        <v>60</v>
      </c>
      <c r="BA371" t="s">
        <v>61</v>
      </c>
      <c r="BB371" t="s">
        <v>8</v>
      </c>
    </row>
    <row r="372" ht="409.5" spans="1:54">
      <c r="A372" t="s">
        <v>1294</v>
      </c>
      <c r="B372" t="s">
        <v>1041</v>
      </c>
      <c r="C372" t="s">
        <v>56</v>
      </c>
      <c r="D372">
        <v>11</v>
      </c>
      <c r="E372">
        <v>0</v>
      </c>
      <c r="F372">
        <v>81.3</v>
      </c>
      <c r="G372" t="s">
        <v>324</v>
      </c>
      <c r="H372" s="3" t="s">
        <v>1295</v>
      </c>
      <c r="I372" s="3" t="s">
        <v>1296</v>
      </c>
      <c r="J372">
        <f t="shared" si="65"/>
        <v>1</v>
      </c>
      <c r="K372">
        <f t="shared" si="66"/>
        <v>1</v>
      </c>
      <c r="L372">
        <f t="shared" si="67"/>
        <v>0</v>
      </c>
      <c r="M372">
        <f t="shared" si="68"/>
        <v>1</v>
      </c>
      <c r="N372">
        <f t="shared" si="69"/>
        <v>0</v>
      </c>
      <c r="O372">
        <f t="shared" si="70"/>
        <v>0</v>
      </c>
      <c r="P372">
        <f t="shared" si="71"/>
        <v>0</v>
      </c>
      <c r="Q372">
        <f t="shared" si="72"/>
        <v>0</v>
      </c>
      <c r="R372">
        <v>0</v>
      </c>
      <c r="S372">
        <v>0</v>
      </c>
      <c r="T372">
        <v>1</v>
      </c>
      <c r="U372">
        <v>1</v>
      </c>
      <c r="V372">
        <v>1</v>
      </c>
      <c r="W372">
        <v>0</v>
      </c>
      <c r="X372">
        <v>0</v>
      </c>
      <c r="Y372">
        <v>0</v>
      </c>
      <c r="Z372">
        <v>0</v>
      </c>
      <c r="AA372">
        <v>0</v>
      </c>
      <c r="AB372">
        <v>0</v>
      </c>
      <c r="AC372">
        <v>0</v>
      </c>
      <c r="AD372">
        <v>0</v>
      </c>
      <c r="AE372">
        <v>0</v>
      </c>
      <c r="AF372">
        <v>1</v>
      </c>
      <c r="AG372">
        <v>0</v>
      </c>
      <c r="AH372">
        <v>0</v>
      </c>
      <c r="AI372">
        <v>0</v>
      </c>
      <c r="AJ372">
        <v>0</v>
      </c>
      <c r="AK372">
        <v>0</v>
      </c>
      <c r="AL372">
        <v>0</v>
      </c>
      <c r="AM372">
        <v>0</v>
      </c>
      <c r="AN372">
        <v>0</v>
      </c>
      <c r="AO372">
        <v>0</v>
      </c>
      <c r="AP372">
        <v>0</v>
      </c>
      <c r="AQ372">
        <v>0</v>
      </c>
      <c r="AR372">
        <v>0</v>
      </c>
      <c r="AS372">
        <f t="shared" si="73"/>
        <v>3</v>
      </c>
      <c r="AT372">
        <f t="shared" si="74"/>
        <v>4</v>
      </c>
      <c r="AU372" s="3" t="s">
        <v>1297</v>
      </c>
      <c r="AV372">
        <f t="shared" si="75"/>
        <v>1</v>
      </c>
      <c r="AW372">
        <f t="shared" si="76"/>
        <v>0</v>
      </c>
      <c r="AX372">
        <f t="shared" si="77"/>
        <v>0</v>
      </c>
      <c r="AY372">
        <v>4</v>
      </c>
      <c r="AZ372" t="s">
        <v>60</v>
      </c>
      <c r="BA372" t="s">
        <v>61</v>
      </c>
      <c r="BB372" t="s">
        <v>8</v>
      </c>
    </row>
    <row r="373" ht="202" spans="1:54">
      <c r="A373" t="s">
        <v>1298</v>
      </c>
      <c r="B373" t="s">
        <v>1041</v>
      </c>
      <c r="C373" t="s">
        <v>56</v>
      </c>
      <c r="D373">
        <v>0</v>
      </c>
      <c r="E373">
        <v>0</v>
      </c>
      <c r="F373">
        <v>31.9</v>
      </c>
      <c r="G373" t="s">
        <v>324</v>
      </c>
      <c r="H373" s="3" t="s">
        <v>1299</v>
      </c>
      <c r="I373" s="3" t="s">
        <v>1299</v>
      </c>
      <c r="J373">
        <f t="shared" si="65"/>
        <v>1</v>
      </c>
      <c r="K373">
        <f t="shared" si="66"/>
        <v>1</v>
      </c>
      <c r="L373">
        <f t="shared" si="67"/>
        <v>1</v>
      </c>
      <c r="M373">
        <f t="shared" si="68"/>
        <v>1</v>
      </c>
      <c r="N373">
        <f t="shared" si="69"/>
        <v>0</v>
      </c>
      <c r="O373">
        <f t="shared" si="70"/>
        <v>1</v>
      </c>
      <c r="P373">
        <f t="shared" si="71"/>
        <v>0</v>
      </c>
      <c r="Q373">
        <f t="shared" si="72"/>
        <v>0</v>
      </c>
      <c r="R373">
        <v>1</v>
      </c>
      <c r="S373">
        <v>0</v>
      </c>
      <c r="T373">
        <v>0</v>
      </c>
      <c r="U373">
        <v>1</v>
      </c>
      <c r="V373">
        <v>1</v>
      </c>
      <c r="W373">
        <v>1</v>
      </c>
      <c r="X373">
        <v>1</v>
      </c>
      <c r="Y373">
        <v>0</v>
      </c>
      <c r="Z373">
        <v>1</v>
      </c>
      <c r="AA373">
        <v>0</v>
      </c>
      <c r="AB373">
        <v>1</v>
      </c>
      <c r="AC373">
        <v>0</v>
      </c>
      <c r="AD373">
        <v>1</v>
      </c>
      <c r="AE373">
        <v>0</v>
      </c>
      <c r="AF373">
        <v>0</v>
      </c>
      <c r="AG373">
        <v>0</v>
      </c>
      <c r="AH373">
        <v>0</v>
      </c>
      <c r="AI373">
        <v>1</v>
      </c>
      <c r="AJ373">
        <v>0</v>
      </c>
      <c r="AK373">
        <v>0</v>
      </c>
      <c r="AL373">
        <v>0</v>
      </c>
      <c r="AM373">
        <v>0</v>
      </c>
      <c r="AN373">
        <v>0</v>
      </c>
      <c r="AO373">
        <v>0</v>
      </c>
      <c r="AP373">
        <v>0</v>
      </c>
      <c r="AQ373">
        <v>0</v>
      </c>
      <c r="AR373">
        <v>0</v>
      </c>
      <c r="AS373">
        <f t="shared" si="73"/>
        <v>5</v>
      </c>
      <c r="AT373">
        <f t="shared" si="74"/>
        <v>9</v>
      </c>
      <c r="AU373" s="3" t="s">
        <v>1300</v>
      </c>
      <c r="AV373">
        <f t="shared" si="75"/>
        <v>1</v>
      </c>
      <c r="AW373">
        <f t="shared" si="76"/>
        <v>0</v>
      </c>
      <c r="AX373">
        <f t="shared" si="77"/>
        <v>1</v>
      </c>
      <c r="AY373">
        <v>6</v>
      </c>
      <c r="AZ373" t="s">
        <v>60</v>
      </c>
      <c r="BA373" t="s">
        <v>61</v>
      </c>
      <c r="BB373" t="s">
        <v>8</v>
      </c>
    </row>
    <row r="374" ht="84" spans="1:54">
      <c r="A374" t="s">
        <v>1301</v>
      </c>
      <c r="B374" t="s">
        <v>1041</v>
      </c>
      <c r="C374" t="s">
        <v>56</v>
      </c>
      <c r="D374">
        <v>64</v>
      </c>
      <c r="E374">
        <v>2</v>
      </c>
      <c r="F374">
        <v>94.4</v>
      </c>
      <c r="G374" t="s">
        <v>324</v>
      </c>
      <c r="H374" s="3" t="s">
        <v>1302</v>
      </c>
      <c r="I374" s="3" t="s">
        <v>1303</v>
      </c>
      <c r="J374">
        <f t="shared" si="65"/>
        <v>1</v>
      </c>
      <c r="K374">
        <f t="shared" si="66"/>
        <v>1</v>
      </c>
      <c r="L374">
        <f t="shared" si="67"/>
        <v>1</v>
      </c>
      <c r="M374">
        <f t="shared" si="68"/>
        <v>0</v>
      </c>
      <c r="N374">
        <f t="shared" si="69"/>
        <v>0</v>
      </c>
      <c r="O374">
        <f t="shared" si="70"/>
        <v>0</v>
      </c>
      <c r="P374">
        <f t="shared" si="71"/>
        <v>0</v>
      </c>
      <c r="Q374">
        <f t="shared" si="72"/>
        <v>0</v>
      </c>
      <c r="R374">
        <v>0</v>
      </c>
      <c r="S374">
        <v>0</v>
      </c>
      <c r="T374">
        <v>1</v>
      </c>
      <c r="U374">
        <v>1</v>
      </c>
      <c r="V374">
        <v>1</v>
      </c>
      <c r="W374">
        <v>0</v>
      </c>
      <c r="X374">
        <v>0</v>
      </c>
      <c r="Y374">
        <v>0</v>
      </c>
      <c r="Z374">
        <v>1</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f t="shared" si="73"/>
        <v>3</v>
      </c>
      <c r="AT374">
        <f t="shared" si="74"/>
        <v>4</v>
      </c>
      <c r="AU374" s="3" t="s">
        <v>1304</v>
      </c>
      <c r="AV374">
        <f t="shared" si="75"/>
        <v>1</v>
      </c>
      <c r="AW374">
        <f t="shared" si="76"/>
        <v>0</v>
      </c>
      <c r="AX374">
        <f t="shared" si="77"/>
        <v>0</v>
      </c>
      <c r="AY374">
        <v>3</v>
      </c>
      <c r="AZ374" t="s">
        <v>60</v>
      </c>
      <c r="BA374" t="s">
        <v>61</v>
      </c>
      <c r="BB374" t="s">
        <v>8</v>
      </c>
    </row>
    <row r="375" ht="336" spans="1:54">
      <c r="A375" t="s">
        <v>1305</v>
      </c>
      <c r="B375" t="s">
        <v>1041</v>
      </c>
      <c r="C375" t="s">
        <v>56</v>
      </c>
      <c r="D375">
        <v>24</v>
      </c>
      <c r="E375">
        <v>1</v>
      </c>
      <c r="F375">
        <v>16.6</v>
      </c>
      <c r="G375" t="s">
        <v>324</v>
      </c>
      <c r="H375" s="3" t="s">
        <v>1306</v>
      </c>
      <c r="I375" s="3" t="s">
        <v>1307</v>
      </c>
      <c r="J375">
        <f t="shared" si="65"/>
        <v>0</v>
      </c>
      <c r="K375">
        <f t="shared" si="66"/>
        <v>1</v>
      </c>
      <c r="L375">
        <f t="shared" si="67"/>
        <v>0</v>
      </c>
      <c r="M375">
        <f t="shared" si="68"/>
        <v>0</v>
      </c>
      <c r="N375">
        <f t="shared" si="69"/>
        <v>1</v>
      </c>
      <c r="O375">
        <f t="shared" si="70"/>
        <v>0</v>
      </c>
      <c r="P375">
        <f t="shared" si="71"/>
        <v>0</v>
      </c>
      <c r="Q375">
        <f t="shared" si="72"/>
        <v>0</v>
      </c>
      <c r="R375">
        <v>0</v>
      </c>
      <c r="S375">
        <v>0</v>
      </c>
      <c r="T375">
        <v>0</v>
      </c>
      <c r="U375">
        <v>1</v>
      </c>
      <c r="V375">
        <v>0</v>
      </c>
      <c r="W375">
        <v>0</v>
      </c>
      <c r="X375">
        <v>0</v>
      </c>
      <c r="Y375">
        <v>0</v>
      </c>
      <c r="Z375">
        <v>0</v>
      </c>
      <c r="AA375">
        <v>0</v>
      </c>
      <c r="AB375">
        <v>0</v>
      </c>
      <c r="AC375">
        <v>0</v>
      </c>
      <c r="AD375">
        <v>0</v>
      </c>
      <c r="AE375">
        <v>0</v>
      </c>
      <c r="AF375">
        <v>0</v>
      </c>
      <c r="AG375">
        <v>0</v>
      </c>
      <c r="AH375">
        <v>1</v>
      </c>
      <c r="AI375">
        <v>0</v>
      </c>
      <c r="AJ375">
        <v>0</v>
      </c>
      <c r="AK375">
        <v>0</v>
      </c>
      <c r="AL375">
        <v>0</v>
      </c>
      <c r="AM375">
        <v>0</v>
      </c>
      <c r="AN375">
        <v>0</v>
      </c>
      <c r="AO375">
        <v>0</v>
      </c>
      <c r="AP375">
        <v>0</v>
      </c>
      <c r="AQ375">
        <v>0</v>
      </c>
      <c r="AR375">
        <v>0</v>
      </c>
      <c r="AS375">
        <f t="shared" si="73"/>
        <v>2</v>
      </c>
      <c r="AT375">
        <f t="shared" si="74"/>
        <v>2</v>
      </c>
      <c r="AU375" s="3" t="s">
        <v>685</v>
      </c>
      <c r="AV375">
        <f t="shared" si="75"/>
        <v>1</v>
      </c>
      <c r="AW375">
        <f t="shared" si="76"/>
        <v>0</v>
      </c>
      <c r="AX375">
        <f t="shared" si="77"/>
        <v>0</v>
      </c>
      <c r="AY375">
        <v>6.5</v>
      </c>
      <c r="AZ375" t="s">
        <v>60</v>
      </c>
      <c r="BA375" t="s">
        <v>61</v>
      </c>
      <c r="BB375" t="s">
        <v>8</v>
      </c>
    </row>
    <row r="376" ht="34" spans="1:54">
      <c r="A376" t="s">
        <v>1308</v>
      </c>
      <c r="B376" t="s">
        <v>1041</v>
      </c>
      <c r="C376" t="s">
        <v>56</v>
      </c>
      <c r="D376">
        <v>6</v>
      </c>
      <c r="E376">
        <v>0</v>
      </c>
      <c r="F376">
        <v>4.1</v>
      </c>
      <c r="G376" t="s">
        <v>324</v>
      </c>
      <c r="H376" s="3" t="s">
        <v>1309</v>
      </c>
      <c r="I376" s="3" t="s">
        <v>1310</v>
      </c>
      <c r="J376">
        <f t="shared" si="65"/>
        <v>1</v>
      </c>
      <c r="K376">
        <f t="shared" si="66"/>
        <v>0</v>
      </c>
      <c r="L376">
        <f t="shared" si="67"/>
        <v>0</v>
      </c>
      <c r="M376">
        <f t="shared" si="68"/>
        <v>0</v>
      </c>
      <c r="N376">
        <f t="shared" si="69"/>
        <v>0</v>
      </c>
      <c r="O376">
        <f t="shared" si="70"/>
        <v>1</v>
      </c>
      <c r="P376">
        <f t="shared" si="71"/>
        <v>0</v>
      </c>
      <c r="Q376">
        <f t="shared" si="72"/>
        <v>0</v>
      </c>
      <c r="R376">
        <v>0</v>
      </c>
      <c r="S376">
        <v>1</v>
      </c>
      <c r="T376">
        <v>0</v>
      </c>
      <c r="U376">
        <v>0</v>
      </c>
      <c r="V376">
        <v>0</v>
      </c>
      <c r="W376">
        <v>0</v>
      </c>
      <c r="X376">
        <v>0</v>
      </c>
      <c r="Y376">
        <v>0</v>
      </c>
      <c r="Z376">
        <v>0</v>
      </c>
      <c r="AA376">
        <v>0</v>
      </c>
      <c r="AB376">
        <v>0</v>
      </c>
      <c r="AC376">
        <v>0</v>
      </c>
      <c r="AD376">
        <v>0</v>
      </c>
      <c r="AE376">
        <v>0</v>
      </c>
      <c r="AF376">
        <v>0</v>
      </c>
      <c r="AG376">
        <v>0</v>
      </c>
      <c r="AH376">
        <v>0</v>
      </c>
      <c r="AI376">
        <v>0</v>
      </c>
      <c r="AJ376">
        <v>0</v>
      </c>
      <c r="AK376">
        <v>0</v>
      </c>
      <c r="AL376">
        <v>1</v>
      </c>
      <c r="AM376">
        <v>0</v>
      </c>
      <c r="AN376">
        <v>0</v>
      </c>
      <c r="AO376">
        <v>0</v>
      </c>
      <c r="AP376">
        <v>0</v>
      </c>
      <c r="AQ376">
        <v>0</v>
      </c>
      <c r="AR376">
        <v>0</v>
      </c>
      <c r="AS376">
        <f t="shared" si="73"/>
        <v>2</v>
      </c>
      <c r="AT376">
        <f t="shared" si="74"/>
        <v>2</v>
      </c>
      <c r="AU376" s="3" t="s">
        <v>1259</v>
      </c>
      <c r="AV376">
        <f t="shared" si="75"/>
        <v>1</v>
      </c>
      <c r="AW376">
        <f t="shared" si="76"/>
        <v>0</v>
      </c>
      <c r="AX376">
        <f t="shared" si="77"/>
        <v>0</v>
      </c>
      <c r="AY376">
        <v>1</v>
      </c>
      <c r="AZ376" t="s">
        <v>60</v>
      </c>
      <c r="BA376" t="s">
        <v>61</v>
      </c>
      <c r="BB376" t="s">
        <v>8</v>
      </c>
    </row>
    <row r="377" ht="118" spans="1:54">
      <c r="A377" t="s">
        <v>1311</v>
      </c>
      <c r="B377" t="s">
        <v>1041</v>
      </c>
      <c r="C377" t="s">
        <v>56</v>
      </c>
      <c r="D377">
        <v>0</v>
      </c>
      <c r="E377">
        <v>1</v>
      </c>
      <c r="F377">
        <v>35</v>
      </c>
      <c r="G377" t="s">
        <v>324</v>
      </c>
      <c r="H377" s="3" t="s">
        <v>1312</v>
      </c>
      <c r="I377" s="3" t="s">
        <v>1313</v>
      </c>
      <c r="J377">
        <f t="shared" si="65"/>
        <v>0</v>
      </c>
      <c r="K377">
        <f t="shared" si="66"/>
        <v>1</v>
      </c>
      <c r="L377">
        <f t="shared" si="67"/>
        <v>1</v>
      </c>
      <c r="M377">
        <f t="shared" si="68"/>
        <v>1</v>
      </c>
      <c r="N377">
        <f t="shared" si="69"/>
        <v>1</v>
      </c>
      <c r="O377">
        <f t="shared" si="70"/>
        <v>0</v>
      </c>
      <c r="P377">
        <f t="shared" si="71"/>
        <v>0</v>
      </c>
      <c r="Q377">
        <f t="shared" si="72"/>
        <v>0</v>
      </c>
      <c r="R377">
        <v>0</v>
      </c>
      <c r="S377">
        <v>0</v>
      </c>
      <c r="T377">
        <v>0</v>
      </c>
      <c r="U377">
        <v>0</v>
      </c>
      <c r="V377">
        <v>0</v>
      </c>
      <c r="W377">
        <v>0</v>
      </c>
      <c r="X377">
        <v>0</v>
      </c>
      <c r="Y377">
        <v>1</v>
      </c>
      <c r="Z377">
        <v>1</v>
      </c>
      <c r="AA377">
        <v>0</v>
      </c>
      <c r="AB377">
        <v>1</v>
      </c>
      <c r="AC377">
        <v>0</v>
      </c>
      <c r="AD377">
        <v>1</v>
      </c>
      <c r="AE377">
        <v>0</v>
      </c>
      <c r="AF377">
        <v>0</v>
      </c>
      <c r="AG377">
        <v>0</v>
      </c>
      <c r="AH377">
        <v>1</v>
      </c>
      <c r="AI377">
        <v>0</v>
      </c>
      <c r="AJ377">
        <v>0</v>
      </c>
      <c r="AK377">
        <v>0</v>
      </c>
      <c r="AL377">
        <v>0</v>
      </c>
      <c r="AM377">
        <v>0</v>
      </c>
      <c r="AN377">
        <v>0</v>
      </c>
      <c r="AO377">
        <v>0</v>
      </c>
      <c r="AP377">
        <v>0</v>
      </c>
      <c r="AQ377">
        <v>0</v>
      </c>
      <c r="AR377">
        <v>0</v>
      </c>
      <c r="AS377">
        <f t="shared" si="73"/>
        <v>4</v>
      </c>
      <c r="AT377">
        <f t="shared" si="74"/>
        <v>5</v>
      </c>
      <c r="AU377" s="3" t="s">
        <v>1314</v>
      </c>
      <c r="AV377">
        <f t="shared" si="75"/>
        <v>1</v>
      </c>
      <c r="AW377">
        <f t="shared" si="76"/>
        <v>0</v>
      </c>
      <c r="AX377">
        <f t="shared" si="77"/>
        <v>0</v>
      </c>
      <c r="AY377">
        <v>5.5</v>
      </c>
      <c r="AZ377" t="s">
        <v>60</v>
      </c>
      <c r="BA377" t="s">
        <v>61</v>
      </c>
      <c r="BB377" t="s">
        <v>8</v>
      </c>
    </row>
    <row r="378" ht="320" spans="1:54">
      <c r="A378" t="s">
        <v>1315</v>
      </c>
      <c r="B378" t="s">
        <v>1041</v>
      </c>
      <c r="C378" t="s">
        <v>56</v>
      </c>
      <c r="D378">
        <v>14</v>
      </c>
      <c r="E378">
        <v>2</v>
      </c>
      <c r="F378">
        <v>36.2</v>
      </c>
      <c r="G378" t="s">
        <v>324</v>
      </c>
      <c r="H378" s="3" t="s">
        <v>1316</v>
      </c>
      <c r="I378" s="3" t="s">
        <v>1317</v>
      </c>
      <c r="J378">
        <f t="shared" si="65"/>
        <v>1</v>
      </c>
      <c r="K378">
        <f t="shared" si="66"/>
        <v>1</v>
      </c>
      <c r="L378">
        <f t="shared" si="67"/>
        <v>1</v>
      </c>
      <c r="M378">
        <f t="shared" si="68"/>
        <v>0</v>
      </c>
      <c r="N378">
        <f t="shared" si="69"/>
        <v>0</v>
      </c>
      <c r="O378">
        <f t="shared" si="70"/>
        <v>0</v>
      </c>
      <c r="P378">
        <f t="shared" si="71"/>
        <v>0</v>
      </c>
      <c r="Q378">
        <f t="shared" si="72"/>
        <v>0</v>
      </c>
      <c r="R378">
        <v>1</v>
      </c>
      <c r="S378">
        <v>0</v>
      </c>
      <c r="T378">
        <v>0</v>
      </c>
      <c r="U378">
        <v>1</v>
      </c>
      <c r="V378">
        <v>0</v>
      </c>
      <c r="W378">
        <v>0</v>
      </c>
      <c r="X378">
        <v>0</v>
      </c>
      <c r="Y378">
        <v>0</v>
      </c>
      <c r="Z378">
        <v>1</v>
      </c>
      <c r="AA378">
        <v>0</v>
      </c>
      <c r="AB378">
        <v>0</v>
      </c>
      <c r="AC378">
        <v>1</v>
      </c>
      <c r="AD378">
        <v>0</v>
      </c>
      <c r="AE378">
        <v>0</v>
      </c>
      <c r="AF378">
        <v>0</v>
      </c>
      <c r="AG378">
        <v>0</v>
      </c>
      <c r="AH378">
        <v>0</v>
      </c>
      <c r="AI378">
        <v>0</v>
      </c>
      <c r="AJ378">
        <v>0</v>
      </c>
      <c r="AK378">
        <v>0</v>
      </c>
      <c r="AL378">
        <v>0</v>
      </c>
      <c r="AM378">
        <v>0</v>
      </c>
      <c r="AN378">
        <v>0</v>
      </c>
      <c r="AO378">
        <v>0</v>
      </c>
      <c r="AP378">
        <v>0</v>
      </c>
      <c r="AQ378">
        <v>0</v>
      </c>
      <c r="AR378">
        <v>0</v>
      </c>
      <c r="AS378">
        <f t="shared" si="73"/>
        <v>3</v>
      </c>
      <c r="AT378">
        <f t="shared" si="74"/>
        <v>4</v>
      </c>
      <c r="AU378" s="3" t="s">
        <v>1318</v>
      </c>
      <c r="AV378">
        <f t="shared" si="75"/>
        <v>1</v>
      </c>
      <c r="AW378">
        <f t="shared" si="76"/>
        <v>0</v>
      </c>
      <c r="AX378">
        <f t="shared" si="77"/>
        <v>0</v>
      </c>
      <c r="AY378">
        <v>5</v>
      </c>
      <c r="AZ378" t="s">
        <v>60</v>
      </c>
      <c r="BA378" t="s">
        <v>61</v>
      </c>
      <c r="BB378" t="s">
        <v>8</v>
      </c>
    </row>
    <row r="379" ht="51" spans="1:54">
      <c r="A379" t="s">
        <v>1319</v>
      </c>
      <c r="B379" t="s">
        <v>1041</v>
      </c>
      <c r="C379" t="s">
        <v>116</v>
      </c>
      <c r="D379">
        <v>2</v>
      </c>
      <c r="E379">
        <v>0</v>
      </c>
      <c r="F379">
        <v>139.9</v>
      </c>
      <c r="G379" t="s">
        <v>324</v>
      </c>
      <c r="H379" s="3" t="s">
        <v>1320</v>
      </c>
      <c r="I379" s="3" t="s">
        <v>1321</v>
      </c>
      <c r="J379">
        <f t="shared" si="65"/>
        <v>0</v>
      </c>
      <c r="K379">
        <f t="shared" si="66"/>
        <v>0</v>
      </c>
      <c r="L379">
        <f t="shared" si="67"/>
        <v>0</v>
      </c>
      <c r="M379">
        <f t="shared" si="68"/>
        <v>1</v>
      </c>
      <c r="N379">
        <f t="shared" si="69"/>
        <v>1</v>
      </c>
      <c r="O379">
        <f t="shared" si="70"/>
        <v>0</v>
      </c>
      <c r="P379">
        <f t="shared" si="71"/>
        <v>0</v>
      </c>
      <c r="Q379">
        <f t="shared" si="72"/>
        <v>0</v>
      </c>
      <c r="R379">
        <v>0</v>
      </c>
      <c r="S379">
        <v>0</v>
      </c>
      <c r="T379">
        <v>0</v>
      </c>
      <c r="U379">
        <v>0</v>
      </c>
      <c r="V379">
        <v>0</v>
      </c>
      <c r="W379">
        <v>0</v>
      </c>
      <c r="X379">
        <v>0</v>
      </c>
      <c r="Y379">
        <v>0</v>
      </c>
      <c r="Z379">
        <v>0</v>
      </c>
      <c r="AA379">
        <v>0</v>
      </c>
      <c r="AB379">
        <v>0</v>
      </c>
      <c r="AC379">
        <v>0</v>
      </c>
      <c r="AD379">
        <v>1</v>
      </c>
      <c r="AE379">
        <v>0</v>
      </c>
      <c r="AF379">
        <v>0</v>
      </c>
      <c r="AG379">
        <v>0</v>
      </c>
      <c r="AH379">
        <v>1</v>
      </c>
      <c r="AI379">
        <v>0</v>
      </c>
      <c r="AJ379">
        <v>0</v>
      </c>
      <c r="AK379">
        <v>0</v>
      </c>
      <c r="AL379">
        <v>0</v>
      </c>
      <c r="AM379">
        <v>0</v>
      </c>
      <c r="AN379">
        <v>0</v>
      </c>
      <c r="AO379">
        <v>0</v>
      </c>
      <c r="AP379">
        <v>0</v>
      </c>
      <c r="AQ379">
        <v>0</v>
      </c>
      <c r="AR379">
        <v>0</v>
      </c>
      <c r="AS379">
        <f t="shared" si="73"/>
        <v>2</v>
      </c>
      <c r="AT379">
        <f t="shared" si="74"/>
        <v>2</v>
      </c>
      <c r="AU379" s="3" t="s">
        <v>1322</v>
      </c>
      <c r="AV379">
        <f t="shared" si="75"/>
        <v>1</v>
      </c>
      <c r="AW379">
        <f t="shared" si="76"/>
        <v>0</v>
      </c>
      <c r="AX379">
        <f t="shared" si="77"/>
        <v>0</v>
      </c>
      <c r="AY379">
        <v>1</v>
      </c>
      <c r="AZ379" t="s">
        <v>60</v>
      </c>
      <c r="BA379" t="s">
        <v>61</v>
      </c>
      <c r="BB379" t="s">
        <v>8</v>
      </c>
    </row>
    <row r="380" ht="34" spans="1:54">
      <c r="A380" t="s">
        <v>1323</v>
      </c>
      <c r="B380" t="s">
        <v>1041</v>
      </c>
      <c r="C380" t="s">
        <v>56</v>
      </c>
      <c r="D380">
        <v>3</v>
      </c>
      <c r="E380">
        <v>0</v>
      </c>
      <c r="F380">
        <v>57.8</v>
      </c>
      <c r="G380" t="s">
        <v>346</v>
      </c>
      <c r="H380" s="3" t="s">
        <v>1324</v>
      </c>
      <c r="I380" s="3" t="s">
        <v>1325</v>
      </c>
      <c r="J380">
        <f t="shared" si="65"/>
        <v>0</v>
      </c>
      <c r="K380">
        <f t="shared" si="66"/>
        <v>0</v>
      </c>
      <c r="L380">
        <f t="shared" si="67"/>
        <v>0</v>
      </c>
      <c r="M380">
        <f t="shared" si="68"/>
        <v>0</v>
      </c>
      <c r="N380">
        <f t="shared" si="69"/>
        <v>1</v>
      </c>
      <c r="O380">
        <f t="shared" si="70"/>
        <v>0</v>
      </c>
      <c r="P380">
        <f t="shared" si="71"/>
        <v>0</v>
      </c>
      <c r="Q380">
        <f t="shared" si="72"/>
        <v>0</v>
      </c>
      <c r="R380">
        <v>0</v>
      </c>
      <c r="S380">
        <v>0</v>
      </c>
      <c r="T380">
        <v>0</v>
      </c>
      <c r="U380">
        <v>0</v>
      </c>
      <c r="V380">
        <v>0</v>
      </c>
      <c r="W380">
        <v>0</v>
      </c>
      <c r="X380">
        <v>0</v>
      </c>
      <c r="Y380">
        <v>0</v>
      </c>
      <c r="Z380">
        <v>0</v>
      </c>
      <c r="AA380">
        <v>0</v>
      </c>
      <c r="AB380">
        <v>0</v>
      </c>
      <c r="AC380">
        <v>0</v>
      </c>
      <c r="AD380">
        <v>0</v>
      </c>
      <c r="AE380">
        <v>0</v>
      </c>
      <c r="AF380">
        <v>0</v>
      </c>
      <c r="AG380">
        <v>0</v>
      </c>
      <c r="AH380">
        <v>1</v>
      </c>
      <c r="AI380">
        <v>0</v>
      </c>
      <c r="AJ380">
        <v>0</v>
      </c>
      <c r="AK380">
        <v>0</v>
      </c>
      <c r="AL380">
        <v>0</v>
      </c>
      <c r="AM380">
        <v>0</v>
      </c>
      <c r="AN380">
        <v>0</v>
      </c>
      <c r="AO380">
        <v>0</v>
      </c>
      <c r="AP380">
        <v>0</v>
      </c>
      <c r="AQ380">
        <v>0</v>
      </c>
      <c r="AR380">
        <v>0</v>
      </c>
      <c r="AS380">
        <f t="shared" si="73"/>
        <v>1</v>
      </c>
      <c r="AT380">
        <f t="shared" si="74"/>
        <v>1</v>
      </c>
      <c r="AU380" s="3" t="s">
        <v>129</v>
      </c>
      <c r="AV380">
        <f t="shared" si="75"/>
        <v>1</v>
      </c>
      <c r="AW380">
        <f t="shared" si="76"/>
        <v>0</v>
      </c>
      <c r="AX380">
        <f t="shared" si="77"/>
        <v>0</v>
      </c>
      <c r="AY380">
        <v>2</v>
      </c>
      <c r="AZ380" t="s">
        <v>60</v>
      </c>
      <c r="BA380" t="s">
        <v>61</v>
      </c>
      <c r="BB380" t="s">
        <v>8</v>
      </c>
    </row>
    <row r="381" ht="202" spans="1:54">
      <c r="A381" t="s">
        <v>1326</v>
      </c>
      <c r="B381" t="s">
        <v>1041</v>
      </c>
      <c r="C381" t="s">
        <v>56</v>
      </c>
      <c r="D381">
        <v>4</v>
      </c>
      <c r="E381">
        <v>0</v>
      </c>
      <c r="F381">
        <v>56.9</v>
      </c>
      <c r="G381" t="s">
        <v>346</v>
      </c>
      <c r="H381" s="3" t="s">
        <v>1327</v>
      </c>
      <c r="I381" s="3" t="s">
        <v>1328</v>
      </c>
      <c r="J381">
        <f t="shared" si="65"/>
        <v>0</v>
      </c>
      <c r="K381">
        <f t="shared" si="66"/>
        <v>1</v>
      </c>
      <c r="L381">
        <f t="shared" si="67"/>
        <v>0</v>
      </c>
      <c r="M381">
        <f t="shared" si="68"/>
        <v>0</v>
      </c>
      <c r="N381">
        <f t="shared" si="69"/>
        <v>1</v>
      </c>
      <c r="O381">
        <f t="shared" si="70"/>
        <v>0</v>
      </c>
      <c r="P381">
        <f t="shared" si="71"/>
        <v>0</v>
      </c>
      <c r="Q381">
        <f t="shared" si="72"/>
        <v>0</v>
      </c>
      <c r="R381">
        <v>0</v>
      </c>
      <c r="S381">
        <v>0</v>
      </c>
      <c r="T381">
        <v>0</v>
      </c>
      <c r="U381">
        <v>1</v>
      </c>
      <c r="V381">
        <v>0</v>
      </c>
      <c r="W381">
        <v>1</v>
      </c>
      <c r="X381">
        <v>0</v>
      </c>
      <c r="Y381">
        <v>0</v>
      </c>
      <c r="Z381">
        <v>0</v>
      </c>
      <c r="AA381">
        <v>0</v>
      </c>
      <c r="AB381">
        <v>0</v>
      </c>
      <c r="AC381">
        <v>0</v>
      </c>
      <c r="AD381">
        <v>0</v>
      </c>
      <c r="AE381">
        <v>0</v>
      </c>
      <c r="AF381">
        <v>0</v>
      </c>
      <c r="AG381">
        <v>1</v>
      </c>
      <c r="AH381">
        <v>1</v>
      </c>
      <c r="AI381">
        <v>0</v>
      </c>
      <c r="AJ381">
        <v>0</v>
      </c>
      <c r="AK381">
        <v>0</v>
      </c>
      <c r="AL381">
        <v>0</v>
      </c>
      <c r="AM381">
        <v>0</v>
      </c>
      <c r="AN381">
        <v>0</v>
      </c>
      <c r="AO381">
        <v>0</v>
      </c>
      <c r="AP381">
        <v>0</v>
      </c>
      <c r="AQ381">
        <v>0</v>
      </c>
      <c r="AR381">
        <v>0</v>
      </c>
      <c r="AS381">
        <f t="shared" si="73"/>
        <v>2</v>
      </c>
      <c r="AT381">
        <f t="shared" si="74"/>
        <v>4</v>
      </c>
      <c r="AU381" s="3" t="s">
        <v>1329</v>
      </c>
      <c r="AV381">
        <f t="shared" si="75"/>
        <v>1</v>
      </c>
      <c r="AW381">
        <f t="shared" si="76"/>
        <v>0</v>
      </c>
      <c r="AX381">
        <f t="shared" si="77"/>
        <v>0</v>
      </c>
      <c r="AY381">
        <v>1</v>
      </c>
      <c r="AZ381" t="s">
        <v>60</v>
      </c>
      <c r="BA381" t="s">
        <v>61</v>
      </c>
      <c r="BB381" t="s">
        <v>8</v>
      </c>
    </row>
    <row r="382" ht="17" spans="1:54">
      <c r="A382" t="s">
        <v>1330</v>
      </c>
      <c r="B382" t="s">
        <v>1041</v>
      </c>
      <c r="C382" t="s">
        <v>116</v>
      </c>
      <c r="D382">
        <v>6</v>
      </c>
      <c r="E382">
        <v>1</v>
      </c>
      <c r="F382">
        <v>0.5</v>
      </c>
      <c r="G382" t="s">
        <v>346</v>
      </c>
      <c r="H382" s="3" t="s">
        <v>1331</v>
      </c>
      <c r="I382" s="3" t="s">
        <v>1332</v>
      </c>
      <c r="J382">
        <f t="shared" si="65"/>
        <v>0</v>
      </c>
      <c r="K382">
        <f t="shared" si="66"/>
        <v>0</v>
      </c>
      <c r="L382">
        <f t="shared" si="67"/>
        <v>0</v>
      </c>
      <c r="M382">
        <f t="shared" si="68"/>
        <v>1</v>
      </c>
      <c r="N382">
        <f t="shared" si="69"/>
        <v>0</v>
      </c>
      <c r="O382">
        <f t="shared" si="70"/>
        <v>0</v>
      </c>
      <c r="P382">
        <f t="shared" si="71"/>
        <v>0</v>
      </c>
      <c r="Q382">
        <f t="shared" si="72"/>
        <v>0</v>
      </c>
      <c r="R382">
        <v>0</v>
      </c>
      <c r="S382">
        <v>0</v>
      </c>
      <c r="T382">
        <v>0</v>
      </c>
      <c r="U382">
        <v>0</v>
      </c>
      <c r="V382">
        <v>0</v>
      </c>
      <c r="W382">
        <v>0</v>
      </c>
      <c r="X382">
        <v>0</v>
      </c>
      <c r="Y382">
        <v>0</v>
      </c>
      <c r="Z382">
        <v>0</v>
      </c>
      <c r="AA382">
        <v>0</v>
      </c>
      <c r="AB382">
        <v>0</v>
      </c>
      <c r="AC382">
        <v>0</v>
      </c>
      <c r="AD382">
        <v>0</v>
      </c>
      <c r="AE382">
        <v>1</v>
      </c>
      <c r="AF382">
        <v>0</v>
      </c>
      <c r="AG382">
        <v>0</v>
      </c>
      <c r="AH382">
        <v>0</v>
      </c>
      <c r="AI382">
        <v>0</v>
      </c>
      <c r="AJ382">
        <v>0</v>
      </c>
      <c r="AK382">
        <v>0</v>
      </c>
      <c r="AL382">
        <v>0</v>
      </c>
      <c r="AM382">
        <v>0</v>
      </c>
      <c r="AN382">
        <v>0</v>
      </c>
      <c r="AO382">
        <v>0</v>
      </c>
      <c r="AP382">
        <v>0</v>
      </c>
      <c r="AQ382">
        <v>0</v>
      </c>
      <c r="AR382">
        <v>0</v>
      </c>
      <c r="AS382">
        <f t="shared" si="73"/>
        <v>1</v>
      </c>
      <c r="AT382">
        <f t="shared" si="74"/>
        <v>1</v>
      </c>
      <c r="AU382" s="3" t="s">
        <v>1333</v>
      </c>
      <c r="AV382">
        <f t="shared" si="75"/>
        <v>1</v>
      </c>
      <c r="AW382">
        <f t="shared" si="76"/>
        <v>0</v>
      </c>
      <c r="AX382">
        <f t="shared" si="77"/>
        <v>0</v>
      </c>
      <c r="AY382">
        <v>-3</v>
      </c>
      <c r="AZ382" t="s">
        <v>133</v>
      </c>
      <c r="BA382" t="s">
        <v>134</v>
      </c>
      <c r="BB382" t="s">
        <v>8</v>
      </c>
    </row>
    <row r="383" ht="409.5" spans="1:54">
      <c r="A383" t="s">
        <v>1334</v>
      </c>
      <c r="B383" t="s">
        <v>1041</v>
      </c>
      <c r="C383" t="s">
        <v>56</v>
      </c>
      <c r="D383">
        <v>35</v>
      </c>
      <c r="E383">
        <v>4</v>
      </c>
      <c r="F383">
        <v>15</v>
      </c>
      <c r="G383" t="s">
        <v>346</v>
      </c>
      <c r="H383" s="3" t="s">
        <v>1335</v>
      </c>
      <c r="I383" s="3" t="s">
        <v>1336</v>
      </c>
      <c r="J383">
        <f t="shared" si="65"/>
        <v>1</v>
      </c>
      <c r="K383">
        <f t="shared" si="66"/>
        <v>1</v>
      </c>
      <c r="L383">
        <f t="shared" si="67"/>
        <v>1</v>
      </c>
      <c r="M383">
        <f t="shared" si="68"/>
        <v>0</v>
      </c>
      <c r="N383">
        <f t="shared" si="69"/>
        <v>0</v>
      </c>
      <c r="O383">
        <f t="shared" si="70"/>
        <v>0</v>
      </c>
      <c r="P383">
        <f t="shared" si="71"/>
        <v>0</v>
      </c>
      <c r="Q383">
        <f t="shared" si="72"/>
        <v>1</v>
      </c>
      <c r="R383">
        <v>1</v>
      </c>
      <c r="S383">
        <v>0</v>
      </c>
      <c r="T383">
        <v>0</v>
      </c>
      <c r="U383">
        <v>1</v>
      </c>
      <c r="V383">
        <v>0</v>
      </c>
      <c r="W383">
        <v>1</v>
      </c>
      <c r="X383">
        <v>0</v>
      </c>
      <c r="Y383">
        <v>0</v>
      </c>
      <c r="Z383">
        <v>0</v>
      </c>
      <c r="AA383">
        <v>1</v>
      </c>
      <c r="AB383">
        <v>0</v>
      </c>
      <c r="AC383">
        <v>0</v>
      </c>
      <c r="AD383">
        <v>0</v>
      </c>
      <c r="AE383">
        <v>0</v>
      </c>
      <c r="AF383">
        <v>0</v>
      </c>
      <c r="AG383">
        <v>0</v>
      </c>
      <c r="AH383">
        <v>0</v>
      </c>
      <c r="AI383">
        <v>0</v>
      </c>
      <c r="AJ383">
        <v>0</v>
      </c>
      <c r="AK383">
        <v>0</v>
      </c>
      <c r="AL383">
        <v>0</v>
      </c>
      <c r="AM383">
        <v>0</v>
      </c>
      <c r="AN383">
        <v>0</v>
      </c>
      <c r="AO383">
        <v>0</v>
      </c>
      <c r="AP383">
        <v>0</v>
      </c>
      <c r="AQ383">
        <v>0</v>
      </c>
      <c r="AR383">
        <v>1</v>
      </c>
      <c r="AS383">
        <f t="shared" si="73"/>
        <v>4</v>
      </c>
      <c r="AT383">
        <f t="shared" si="74"/>
        <v>5</v>
      </c>
      <c r="AU383" s="3" t="s">
        <v>1337</v>
      </c>
      <c r="AV383">
        <f t="shared" si="75"/>
        <v>1</v>
      </c>
      <c r="AW383">
        <f t="shared" si="76"/>
        <v>0</v>
      </c>
      <c r="AX383">
        <f t="shared" si="77"/>
        <v>0</v>
      </c>
      <c r="AY383">
        <v>5.5</v>
      </c>
      <c r="AZ383" t="s">
        <v>60</v>
      </c>
      <c r="BA383" t="s">
        <v>61</v>
      </c>
      <c r="BB383" t="s">
        <v>8</v>
      </c>
    </row>
    <row r="384" ht="409.5" spans="1:54">
      <c r="A384" t="s">
        <v>1338</v>
      </c>
      <c r="B384" t="s">
        <v>1041</v>
      </c>
      <c r="C384" t="s">
        <v>116</v>
      </c>
      <c r="D384">
        <v>0</v>
      </c>
      <c r="E384">
        <v>0</v>
      </c>
      <c r="F384">
        <v>46.2</v>
      </c>
      <c r="G384" t="s">
        <v>346</v>
      </c>
      <c r="H384" s="3" t="s">
        <v>1339</v>
      </c>
      <c r="I384" s="3" t="s">
        <v>1339</v>
      </c>
      <c r="J384">
        <f t="shared" si="65"/>
        <v>1</v>
      </c>
      <c r="K384">
        <f t="shared" si="66"/>
        <v>1</v>
      </c>
      <c r="L384">
        <f t="shared" si="67"/>
        <v>1</v>
      </c>
      <c r="M384">
        <f t="shared" si="68"/>
        <v>0</v>
      </c>
      <c r="N384">
        <f t="shared" si="69"/>
        <v>1</v>
      </c>
      <c r="O384">
        <f t="shared" si="70"/>
        <v>1</v>
      </c>
      <c r="P384">
        <f t="shared" si="71"/>
        <v>0</v>
      </c>
      <c r="Q384">
        <f t="shared" si="72"/>
        <v>0</v>
      </c>
      <c r="R384">
        <v>0</v>
      </c>
      <c r="S384">
        <v>1</v>
      </c>
      <c r="T384">
        <v>1</v>
      </c>
      <c r="U384">
        <v>1</v>
      </c>
      <c r="V384">
        <v>1</v>
      </c>
      <c r="W384">
        <v>0</v>
      </c>
      <c r="X384">
        <v>0</v>
      </c>
      <c r="Y384">
        <v>0</v>
      </c>
      <c r="Z384">
        <v>1</v>
      </c>
      <c r="AA384">
        <v>1</v>
      </c>
      <c r="AB384">
        <v>0</v>
      </c>
      <c r="AC384">
        <v>1</v>
      </c>
      <c r="AD384">
        <v>0</v>
      </c>
      <c r="AE384">
        <v>0</v>
      </c>
      <c r="AF384">
        <v>0</v>
      </c>
      <c r="AG384">
        <v>0</v>
      </c>
      <c r="AH384">
        <v>1</v>
      </c>
      <c r="AI384">
        <v>1</v>
      </c>
      <c r="AJ384">
        <v>1</v>
      </c>
      <c r="AK384">
        <v>1</v>
      </c>
      <c r="AL384">
        <v>1</v>
      </c>
      <c r="AM384">
        <v>0</v>
      </c>
      <c r="AN384">
        <v>0</v>
      </c>
      <c r="AO384">
        <v>0</v>
      </c>
      <c r="AP384">
        <v>0</v>
      </c>
      <c r="AQ384">
        <v>0</v>
      </c>
      <c r="AR384">
        <v>0</v>
      </c>
      <c r="AS384">
        <f t="shared" si="73"/>
        <v>5</v>
      </c>
      <c r="AT384">
        <f t="shared" si="74"/>
        <v>12</v>
      </c>
      <c r="AU384" s="3" t="s">
        <v>1340</v>
      </c>
      <c r="AV384">
        <f t="shared" si="75"/>
        <v>1</v>
      </c>
      <c r="AW384">
        <f t="shared" si="76"/>
        <v>0</v>
      </c>
      <c r="AX384">
        <f t="shared" si="77"/>
        <v>1</v>
      </c>
      <c r="AY384">
        <v>-5.5</v>
      </c>
      <c r="AZ384" t="s">
        <v>133</v>
      </c>
      <c r="BA384" t="s">
        <v>134</v>
      </c>
      <c r="BB384" t="s">
        <v>8</v>
      </c>
    </row>
    <row r="385" ht="409.5" spans="1:54">
      <c r="A385" t="s">
        <v>1341</v>
      </c>
      <c r="B385" t="s">
        <v>1041</v>
      </c>
      <c r="C385" t="s">
        <v>56</v>
      </c>
      <c r="D385">
        <v>13</v>
      </c>
      <c r="E385">
        <v>1</v>
      </c>
      <c r="F385">
        <v>88.3</v>
      </c>
      <c r="G385" t="s">
        <v>346</v>
      </c>
      <c r="H385" s="3" t="s">
        <v>1342</v>
      </c>
      <c r="I385" s="3" t="s">
        <v>1343</v>
      </c>
      <c r="J385">
        <f t="shared" si="65"/>
        <v>0</v>
      </c>
      <c r="K385">
        <f t="shared" si="66"/>
        <v>1</v>
      </c>
      <c r="L385">
        <f t="shared" si="67"/>
        <v>1</v>
      </c>
      <c r="M385">
        <f t="shared" si="68"/>
        <v>0</v>
      </c>
      <c r="N385">
        <f t="shared" si="69"/>
        <v>0</v>
      </c>
      <c r="O385">
        <f t="shared" si="70"/>
        <v>0</v>
      </c>
      <c r="P385">
        <f t="shared" si="71"/>
        <v>0</v>
      </c>
      <c r="Q385">
        <f t="shared" si="72"/>
        <v>0</v>
      </c>
      <c r="R385">
        <v>0</v>
      </c>
      <c r="S385">
        <v>0</v>
      </c>
      <c r="T385">
        <v>0</v>
      </c>
      <c r="U385">
        <v>0</v>
      </c>
      <c r="V385">
        <v>1</v>
      </c>
      <c r="W385">
        <v>0</v>
      </c>
      <c r="X385">
        <v>0</v>
      </c>
      <c r="Y385">
        <v>0</v>
      </c>
      <c r="Z385">
        <v>1</v>
      </c>
      <c r="AA385">
        <v>0</v>
      </c>
      <c r="AB385">
        <v>0</v>
      </c>
      <c r="AC385">
        <v>1</v>
      </c>
      <c r="AD385">
        <v>0</v>
      </c>
      <c r="AE385">
        <v>0</v>
      </c>
      <c r="AF385">
        <v>0</v>
      </c>
      <c r="AG385">
        <v>0</v>
      </c>
      <c r="AH385">
        <v>0</v>
      </c>
      <c r="AI385">
        <v>0</v>
      </c>
      <c r="AJ385">
        <v>0</v>
      </c>
      <c r="AK385">
        <v>0</v>
      </c>
      <c r="AL385">
        <v>0</v>
      </c>
      <c r="AM385">
        <v>0</v>
      </c>
      <c r="AN385">
        <v>0</v>
      </c>
      <c r="AO385">
        <v>0</v>
      </c>
      <c r="AP385">
        <v>0</v>
      </c>
      <c r="AQ385">
        <v>0</v>
      </c>
      <c r="AR385">
        <v>0</v>
      </c>
      <c r="AS385">
        <f t="shared" si="73"/>
        <v>2</v>
      </c>
      <c r="AT385">
        <f t="shared" si="74"/>
        <v>3</v>
      </c>
      <c r="AU385" s="3" t="s">
        <v>1344</v>
      </c>
      <c r="AV385">
        <f t="shared" si="75"/>
        <v>1</v>
      </c>
      <c r="AW385">
        <f t="shared" si="76"/>
        <v>0</v>
      </c>
      <c r="AX385">
        <f t="shared" si="77"/>
        <v>0</v>
      </c>
      <c r="AY385">
        <v>2.5</v>
      </c>
      <c r="AZ385" t="s">
        <v>60</v>
      </c>
      <c r="BA385" t="s">
        <v>61</v>
      </c>
      <c r="BB385" t="s">
        <v>8</v>
      </c>
    </row>
    <row r="386" ht="168" spans="1:54">
      <c r="A386" t="s">
        <v>1345</v>
      </c>
      <c r="B386" t="s">
        <v>1041</v>
      </c>
      <c r="C386" t="s">
        <v>56</v>
      </c>
      <c r="D386">
        <v>2</v>
      </c>
      <c r="E386">
        <v>0</v>
      </c>
      <c r="F386">
        <v>47.1</v>
      </c>
      <c r="G386" t="s">
        <v>346</v>
      </c>
      <c r="H386" s="3" t="s">
        <v>1346</v>
      </c>
      <c r="I386" s="3" t="s">
        <v>1347</v>
      </c>
      <c r="J386">
        <f t="shared" ref="J386:J449" si="78">IF(SUM(R386:T386)&gt;0,1,0)</f>
        <v>1</v>
      </c>
      <c r="K386">
        <f t="shared" ref="K386:K449" si="79">IF(SUM(U386:Y386)&gt;0,1,0)</f>
        <v>1</v>
      </c>
      <c r="L386">
        <f t="shared" ref="L386:L449" si="80">IF(SUM(Z386:AC386)&gt;0,1,0)</f>
        <v>1</v>
      </c>
      <c r="M386">
        <f t="shared" ref="M386:M449" si="81">IF(SUM(AD386:AF386)&gt;0,1,0)</f>
        <v>0</v>
      </c>
      <c r="N386">
        <f t="shared" ref="N386:N449" si="82">IF(SUM(AG386:AH386)&gt;0,1,0)</f>
        <v>1</v>
      </c>
      <c r="O386">
        <f t="shared" ref="O386:O449" si="83">IF(SUM(AI386:AL386)&gt;0,1,0)</f>
        <v>0</v>
      </c>
      <c r="P386">
        <f t="shared" ref="P386:P449" si="84">IF(SUM(AM386:AQ386)&gt;0,1,0)</f>
        <v>1</v>
      </c>
      <c r="Q386">
        <f t="shared" ref="Q386:Q449" si="85">IF(AR386&gt;0,1,0)</f>
        <v>0</v>
      </c>
      <c r="R386">
        <v>1</v>
      </c>
      <c r="S386">
        <v>0</v>
      </c>
      <c r="T386">
        <v>0</v>
      </c>
      <c r="U386">
        <v>0</v>
      </c>
      <c r="V386">
        <v>0</v>
      </c>
      <c r="W386">
        <v>1</v>
      </c>
      <c r="X386">
        <v>0</v>
      </c>
      <c r="Y386">
        <v>0</v>
      </c>
      <c r="Z386">
        <v>0</v>
      </c>
      <c r="AA386">
        <v>0</v>
      </c>
      <c r="AB386">
        <v>0</v>
      </c>
      <c r="AC386">
        <v>1</v>
      </c>
      <c r="AD386">
        <v>0</v>
      </c>
      <c r="AE386">
        <v>0</v>
      </c>
      <c r="AF386">
        <v>0</v>
      </c>
      <c r="AG386">
        <v>0</v>
      </c>
      <c r="AH386">
        <v>1</v>
      </c>
      <c r="AI386">
        <v>0</v>
      </c>
      <c r="AJ386">
        <v>0</v>
      </c>
      <c r="AK386">
        <v>0</v>
      </c>
      <c r="AL386">
        <v>0</v>
      </c>
      <c r="AM386">
        <v>0</v>
      </c>
      <c r="AN386">
        <v>0</v>
      </c>
      <c r="AO386">
        <v>0</v>
      </c>
      <c r="AP386">
        <v>1</v>
      </c>
      <c r="AQ386">
        <v>0</v>
      </c>
      <c r="AR386">
        <v>0</v>
      </c>
      <c r="AS386">
        <f t="shared" ref="AS386:AS449" si="86">SUM(J386:Q386)</f>
        <v>5</v>
      </c>
      <c r="AT386">
        <f t="shared" ref="AT386:AT449" si="87">SUM(R386:AR386)</f>
        <v>5</v>
      </c>
      <c r="AU386" s="3" t="s">
        <v>1348</v>
      </c>
      <c r="AV386">
        <f t="shared" ref="AV386:AV449" si="88">IF(AT386&gt;0,1,0)</f>
        <v>1</v>
      </c>
      <c r="AW386">
        <f t="shared" ref="AW386:AW449" si="89">IF(AT386=0,1,0)</f>
        <v>0</v>
      </c>
      <c r="AX386">
        <f t="shared" ref="AX386:AX449" si="90">IF(AT386&gt;=8,1,0)</f>
        <v>0</v>
      </c>
      <c r="AY386">
        <v>5</v>
      </c>
      <c r="AZ386" t="s">
        <v>60</v>
      </c>
      <c r="BA386" t="s">
        <v>61</v>
      </c>
      <c r="BB386" t="s">
        <v>8</v>
      </c>
    </row>
    <row r="387" ht="168" spans="1:54">
      <c r="A387" t="s">
        <v>1349</v>
      </c>
      <c r="B387" t="s">
        <v>1041</v>
      </c>
      <c r="C387" t="s">
        <v>56</v>
      </c>
      <c r="D387">
        <v>7</v>
      </c>
      <c r="E387">
        <v>0</v>
      </c>
      <c r="F387">
        <v>47.9</v>
      </c>
      <c r="G387" t="s">
        <v>346</v>
      </c>
      <c r="H387" s="3" t="s">
        <v>1350</v>
      </c>
      <c r="I387" s="3" t="s">
        <v>1351</v>
      </c>
      <c r="J387">
        <f t="shared" si="78"/>
        <v>1</v>
      </c>
      <c r="K387">
        <f t="shared" si="79"/>
        <v>1</v>
      </c>
      <c r="L387">
        <f t="shared" si="80"/>
        <v>0</v>
      </c>
      <c r="M387">
        <f t="shared" si="81"/>
        <v>0</v>
      </c>
      <c r="N387">
        <f t="shared" si="82"/>
        <v>1</v>
      </c>
      <c r="O387">
        <f t="shared" si="83"/>
        <v>0</v>
      </c>
      <c r="P387">
        <f t="shared" si="84"/>
        <v>0</v>
      </c>
      <c r="Q387">
        <f t="shared" si="85"/>
        <v>0</v>
      </c>
      <c r="R387">
        <v>1</v>
      </c>
      <c r="S387">
        <v>1</v>
      </c>
      <c r="T387">
        <v>0</v>
      </c>
      <c r="U387">
        <v>1</v>
      </c>
      <c r="V387">
        <v>1</v>
      </c>
      <c r="W387">
        <v>0</v>
      </c>
      <c r="X387">
        <v>0</v>
      </c>
      <c r="Y387">
        <v>0</v>
      </c>
      <c r="Z387">
        <v>0</v>
      </c>
      <c r="AA387">
        <v>0</v>
      </c>
      <c r="AB387">
        <v>0</v>
      </c>
      <c r="AC387">
        <v>0</v>
      </c>
      <c r="AD387">
        <v>0</v>
      </c>
      <c r="AE387">
        <v>0</v>
      </c>
      <c r="AF387">
        <v>0</v>
      </c>
      <c r="AG387">
        <v>0</v>
      </c>
      <c r="AH387">
        <v>1</v>
      </c>
      <c r="AI387">
        <v>0</v>
      </c>
      <c r="AJ387">
        <v>0</v>
      </c>
      <c r="AK387">
        <v>0</v>
      </c>
      <c r="AL387">
        <v>0</v>
      </c>
      <c r="AM387">
        <v>0</v>
      </c>
      <c r="AN387">
        <v>0</v>
      </c>
      <c r="AO387">
        <v>0</v>
      </c>
      <c r="AP387">
        <v>0</v>
      </c>
      <c r="AQ387">
        <v>0</v>
      </c>
      <c r="AR387">
        <v>0</v>
      </c>
      <c r="AS387">
        <f t="shared" si="86"/>
        <v>3</v>
      </c>
      <c r="AT387">
        <f t="shared" si="87"/>
        <v>5</v>
      </c>
      <c r="AU387" s="3" t="s">
        <v>1352</v>
      </c>
      <c r="AV387">
        <f t="shared" si="88"/>
        <v>1</v>
      </c>
      <c r="AW387">
        <f t="shared" si="89"/>
        <v>0</v>
      </c>
      <c r="AX387">
        <f t="shared" si="90"/>
        <v>0</v>
      </c>
      <c r="AY387">
        <v>8</v>
      </c>
      <c r="AZ387" t="s">
        <v>60</v>
      </c>
      <c r="BA387" t="s">
        <v>61</v>
      </c>
      <c r="BB387" t="s">
        <v>8</v>
      </c>
    </row>
    <row r="388" ht="409.5" spans="1:54">
      <c r="A388" t="s">
        <v>1353</v>
      </c>
      <c r="B388" t="s">
        <v>1041</v>
      </c>
      <c r="C388" t="s">
        <v>56</v>
      </c>
      <c r="D388">
        <v>144</v>
      </c>
      <c r="E388">
        <v>18</v>
      </c>
      <c r="F388">
        <v>25.3</v>
      </c>
      <c r="G388" t="s">
        <v>346</v>
      </c>
      <c r="H388" s="3" t="s">
        <v>1354</v>
      </c>
      <c r="I388" s="3" t="s">
        <v>1355</v>
      </c>
      <c r="J388">
        <f t="shared" si="78"/>
        <v>0</v>
      </c>
      <c r="K388">
        <f t="shared" si="79"/>
        <v>0</v>
      </c>
      <c r="L388">
        <f t="shared" si="80"/>
        <v>0</v>
      </c>
      <c r="M388">
        <f t="shared" si="81"/>
        <v>0</v>
      </c>
      <c r="N388">
        <f t="shared" si="82"/>
        <v>1</v>
      </c>
      <c r="O388">
        <f t="shared" si="83"/>
        <v>0</v>
      </c>
      <c r="P388">
        <f t="shared" si="84"/>
        <v>0</v>
      </c>
      <c r="Q388">
        <f t="shared" si="85"/>
        <v>1</v>
      </c>
      <c r="R388">
        <v>0</v>
      </c>
      <c r="S388">
        <v>0</v>
      </c>
      <c r="T388">
        <v>0</v>
      </c>
      <c r="U388">
        <v>0</v>
      </c>
      <c r="V388">
        <v>0</v>
      </c>
      <c r="W388">
        <v>0</v>
      </c>
      <c r="X388">
        <v>0</v>
      </c>
      <c r="Y388">
        <v>0</v>
      </c>
      <c r="Z388">
        <v>0</v>
      </c>
      <c r="AA388">
        <v>0</v>
      </c>
      <c r="AB388">
        <v>0</v>
      </c>
      <c r="AC388">
        <v>0</v>
      </c>
      <c r="AD388">
        <v>0</v>
      </c>
      <c r="AE388">
        <v>0</v>
      </c>
      <c r="AF388">
        <v>0</v>
      </c>
      <c r="AG388">
        <v>0</v>
      </c>
      <c r="AH388">
        <v>1</v>
      </c>
      <c r="AI388">
        <v>0</v>
      </c>
      <c r="AJ388">
        <v>0</v>
      </c>
      <c r="AK388">
        <v>0</v>
      </c>
      <c r="AL388">
        <v>0</v>
      </c>
      <c r="AM388">
        <v>0</v>
      </c>
      <c r="AN388">
        <v>0</v>
      </c>
      <c r="AO388">
        <v>0</v>
      </c>
      <c r="AP388">
        <v>0</v>
      </c>
      <c r="AQ388">
        <v>0</v>
      </c>
      <c r="AR388">
        <v>1</v>
      </c>
      <c r="AS388">
        <f t="shared" si="86"/>
        <v>2</v>
      </c>
      <c r="AT388">
        <f t="shared" si="87"/>
        <v>2</v>
      </c>
      <c r="AU388" s="3" t="s">
        <v>612</v>
      </c>
      <c r="AV388">
        <f t="shared" si="88"/>
        <v>1</v>
      </c>
      <c r="AW388">
        <f t="shared" si="89"/>
        <v>0</v>
      </c>
      <c r="AX388">
        <f t="shared" si="90"/>
        <v>0</v>
      </c>
      <c r="AY388">
        <v>3</v>
      </c>
      <c r="AZ388" t="s">
        <v>60</v>
      </c>
      <c r="BA388" t="s">
        <v>61</v>
      </c>
      <c r="BB388" t="s">
        <v>8</v>
      </c>
    </row>
    <row r="389" ht="34" spans="1:54">
      <c r="A389" t="s">
        <v>1356</v>
      </c>
      <c r="B389" t="s">
        <v>1041</v>
      </c>
      <c r="C389" t="s">
        <v>116</v>
      </c>
      <c r="D389">
        <v>0</v>
      </c>
      <c r="E389">
        <v>0</v>
      </c>
      <c r="F389">
        <v>66.4</v>
      </c>
      <c r="G389" t="s">
        <v>346</v>
      </c>
      <c r="H389" s="3" t="s">
        <v>1357</v>
      </c>
      <c r="I389" s="3" t="s">
        <v>1358</v>
      </c>
      <c r="J389">
        <f t="shared" si="78"/>
        <v>0</v>
      </c>
      <c r="K389">
        <f t="shared" si="79"/>
        <v>0</v>
      </c>
      <c r="L389">
        <f t="shared" si="80"/>
        <v>0</v>
      </c>
      <c r="M389">
        <f t="shared" si="81"/>
        <v>1</v>
      </c>
      <c r="N389">
        <f t="shared" si="82"/>
        <v>0</v>
      </c>
      <c r="O389">
        <f t="shared" si="83"/>
        <v>0</v>
      </c>
      <c r="P389">
        <f t="shared" si="84"/>
        <v>0</v>
      </c>
      <c r="Q389">
        <f t="shared" si="85"/>
        <v>0</v>
      </c>
      <c r="R389">
        <v>0</v>
      </c>
      <c r="S389">
        <v>0</v>
      </c>
      <c r="T389">
        <v>0</v>
      </c>
      <c r="U389">
        <v>0</v>
      </c>
      <c r="V389">
        <v>0</v>
      </c>
      <c r="W389">
        <v>0</v>
      </c>
      <c r="X389">
        <v>0</v>
      </c>
      <c r="Y389">
        <v>0</v>
      </c>
      <c r="Z389">
        <v>0</v>
      </c>
      <c r="AA389">
        <v>0</v>
      </c>
      <c r="AB389">
        <v>0</v>
      </c>
      <c r="AC389">
        <v>0</v>
      </c>
      <c r="AD389">
        <v>0</v>
      </c>
      <c r="AE389">
        <v>0</v>
      </c>
      <c r="AF389">
        <v>1</v>
      </c>
      <c r="AG389">
        <v>0</v>
      </c>
      <c r="AH389">
        <v>0</v>
      </c>
      <c r="AI389">
        <v>0</v>
      </c>
      <c r="AJ389">
        <v>0</v>
      </c>
      <c r="AK389">
        <v>0</v>
      </c>
      <c r="AL389">
        <v>0</v>
      </c>
      <c r="AM389">
        <v>0</v>
      </c>
      <c r="AN389">
        <v>0</v>
      </c>
      <c r="AO389">
        <v>0</v>
      </c>
      <c r="AP389">
        <v>0</v>
      </c>
      <c r="AQ389">
        <v>0</v>
      </c>
      <c r="AR389">
        <v>0</v>
      </c>
      <c r="AS389">
        <f t="shared" si="86"/>
        <v>1</v>
      </c>
      <c r="AT389">
        <f t="shared" si="87"/>
        <v>1</v>
      </c>
      <c r="AU389" s="3" t="s">
        <v>1359</v>
      </c>
      <c r="AV389">
        <f t="shared" si="88"/>
        <v>1</v>
      </c>
      <c r="AW389">
        <f t="shared" si="89"/>
        <v>0</v>
      </c>
      <c r="AX389">
        <f t="shared" si="90"/>
        <v>0</v>
      </c>
      <c r="AY389">
        <v>1</v>
      </c>
      <c r="AZ389" t="s">
        <v>60</v>
      </c>
      <c r="BA389" t="s">
        <v>61</v>
      </c>
      <c r="BB389" t="s">
        <v>8</v>
      </c>
    </row>
    <row r="390" ht="51" spans="1:54">
      <c r="A390" t="s">
        <v>1360</v>
      </c>
      <c r="B390" t="s">
        <v>1041</v>
      </c>
      <c r="C390" t="s">
        <v>56</v>
      </c>
      <c r="D390">
        <v>2</v>
      </c>
      <c r="E390">
        <v>0</v>
      </c>
      <c r="F390">
        <v>16.1</v>
      </c>
      <c r="G390" t="s">
        <v>346</v>
      </c>
      <c r="H390" s="3" t="s">
        <v>1361</v>
      </c>
      <c r="I390" s="3" t="s">
        <v>1362</v>
      </c>
      <c r="J390">
        <f t="shared" si="78"/>
        <v>0</v>
      </c>
      <c r="K390">
        <f t="shared" si="79"/>
        <v>0</v>
      </c>
      <c r="L390">
        <f t="shared" si="80"/>
        <v>0</v>
      </c>
      <c r="M390">
        <f t="shared" si="81"/>
        <v>0</v>
      </c>
      <c r="N390">
        <f t="shared" si="82"/>
        <v>0</v>
      </c>
      <c r="O390">
        <f t="shared" si="83"/>
        <v>0</v>
      </c>
      <c r="P390">
        <f t="shared" si="84"/>
        <v>0</v>
      </c>
      <c r="Q390">
        <f t="shared" si="85"/>
        <v>1</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1</v>
      </c>
      <c r="AS390">
        <f t="shared" si="86"/>
        <v>1</v>
      </c>
      <c r="AT390">
        <f t="shared" si="87"/>
        <v>1</v>
      </c>
      <c r="AU390" s="3" t="s">
        <v>157</v>
      </c>
      <c r="AV390">
        <f t="shared" si="88"/>
        <v>1</v>
      </c>
      <c r="AW390">
        <f t="shared" si="89"/>
        <v>0</v>
      </c>
      <c r="AX390">
        <f t="shared" si="90"/>
        <v>0</v>
      </c>
      <c r="AY390">
        <v>3</v>
      </c>
      <c r="AZ390" t="s">
        <v>60</v>
      </c>
      <c r="BA390" t="s">
        <v>61</v>
      </c>
      <c r="BB390" t="s">
        <v>8</v>
      </c>
    </row>
    <row r="391" ht="409.5" spans="1:54">
      <c r="A391" t="s">
        <v>1363</v>
      </c>
      <c r="B391" t="s">
        <v>1041</v>
      </c>
      <c r="C391" t="s">
        <v>56</v>
      </c>
      <c r="D391">
        <v>324</v>
      </c>
      <c r="E391">
        <v>5</v>
      </c>
      <c r="F391">
        <v>104.4</v>
      </c>
      <c r="G391" t="s">
        <v>346</v>
      </c>
      <c r="H391" s="3" t="s">
        <v>1364</v>
      </c>
      <c r="I391" s="3" t="s">
        <v>1365</v>
      </c>
      <c r="J391">
        <f t="shared" si="78"/>
        <v>0</v>
      </c>
      <c r="K391">
        <f t="shared" si="79"/>
        <v>0</v>
      </c>
      <c r="L391">
        <f t="shared" si="80"/>
        <v>0</v>
      </c>
      <c r="M391">
        <f t="shared" si="81"/>
        <v>0</v>
      </c>
      <c r="N391">
        <f t="shared" si="82"/>
        <v>0</v>
      </c>
      <c r="O391">
        <f t="shared" si="83"/>
        <v>1</v>
      </c>
      <c r="P391">
        <f t="shared" si="84"/>
        <v>1</v>
      </c>
      <c r="Q391">
        <f t="shared" si="85"/>
        <v>0</v>
      </c>
      <c r="R391">
        <v>0</v>
      </c>
      <c r="S391">
        <v>0</v>
      </c>
      <c r="T391">
        <v>0</v>
      </c>
      <c r="U391">
        <v>0</v>
      </c>
      <c r="V391">
        <v>0</v>
      </c>
      <c r="W391">
        <v>0</v>
      </c>
      <c r="X391">
        <v>0</v>
      </c>
      <c r="Y391">
        <v>0</v>
      </c>
      <c r="Z391">
        <v>0</v>
      </c>
      <c r="AA391">
        <v>0</v>
      </c>
      <c r="AB391">
        <v>0</v>
      </c>
      <c r="AC391">
        <v>0</v>
      </c>
      <c r="AD391">
        <v>0</v>
      </c>
      <c r="AE391">
        <v>0</v>
      </c>
      <c r="AF391">
        <v>0</v>
      </c>
      <c r="AG391">
        <v>0</v>
      </c>
      <c r="AH391">
        <v>0</v>
      </c>
      <c r="AI391">
        <v>1</v>
      </c>
      <c r="AJ391">
        <v>0</v>
      </c>
      <c r="AK391">
        <v>0</v>
      </c>
      <c r="AL391">
        <v>0</v>
      </c>
      <c r="AM391">
        <v>0</v>
      </c>
      <c r="AN391">
        <v>0</v>
      </c>
      <c r="AO391">
        <v>0</v>
      </c>
      <c r="AP391">
        <v>1</v>
      </c>
      <c r="AQ391">
        <v>0</v>
      </c>
      <c r="AR391">
        <v>0</v>
      </c>
      <c r="AS391">
        <f t="shared" si="86"/>
        <v>2</v>
      </c>
      <c r="AT391">
        <f t="shared" si="87"/>
        <v>2</v>
      </c>
      <c r="AU391" s="3" t="s">
        <v>1366</v>
      </c>
      <c r="AV391">
        <f t="shared" si="88"/>
        <v>1</v>
      </c>
      <c r="AW391">
        <f t="shared" si="89"/>
        <v>0</v>
      </c>
      <c r="AX391">
        <f t="shared" si="90"/>
        <v>0</v>
      </c>
      <c r="AY391">
        <v>3</v>
      </c>
      <c r="AZ391" t="s">
        <v>60</v>
      </c>
      <c r="BA391" t="s">
        <v>61</v>
      </c>
      <c r="BB391" t="s">
        <v>8</v>
      </c>
    </row>
    <row r="392" ht="84" spans="1:54">
      <c r="A392" t="s">
        <v>1367</v>
      </c>
      <c r="B392" t="s">
        <v>1041</v>
      </c>
      <c r="C392" t="s">
        <v>116</v>
      </c>
      <c r="D392">
        <v>23</v>
      </c>
      <c r="E392">
        <v>0</v>
      </c>
      <c r="F392">
        <v>54.3</v>
      </c>
      <c r="G392" t="s">
        <v>346</v>
      </c>
      <c r="H392" s="3" t="s">
        <v>1368</v>
      </c>
      <c r="I392" s="3" t="s">
        <v>1369</v>
      </c>
      <c r="J392">
        <f t="shared" si="78"/>
        <v>1</v>
      </c>
      <c r="K392">
        <f t="shared" si="79"/>
        <v>1</v>
      </c>
      <c r="L392">
        <f t="shared" si="80"/>
        <v>1</v>
      </c>
      <c r="M392">
        <f t="shared" si="81"/>
        <v>0</v>
      </c>
      <c r="N392">
        <f t="shared" si="82"/>
        <v>1</v>
      </c>
      <c r="O392">
        <f t="shared" si="83"/>
        <v>0</v>
      </c>
      <c r="P392">
        <f t="shared" si="84"/>
        <v>1</v>
      </c>
      <c r="Q392">
        <f t="shared" si="85"/>
        <v>0</v>
      </c>
      <c r="R392">
        <v>1</v>
      </c>
      <c r="S392">
        <v>0</v>
      </c>
      <c r="T392">
        <v>0</v>
      </c>
      <c r="U392">
        <v>1</v>
      </c>
      <c r="V392">
        <v>1</v>
      </c>
      <c r="W392">
        <v>0</v>
      </c>
      <c r="X392">
        <v>0</v>
      </c>
      <c r="Y392">
        <v>0</v>
      </c>
      <c r="Z392">
        <v>0</v>
      </c>
      <c r="AA392">
        <v>1</v>
      </c>
      <c r="AB392">
        <v>1</v>
      </c>
      <c r="AC392">
        <v>0</v>
      </c>
      <c r="AD392">
        <v>0</v>
      </c>
      <c r="AE392">
        <v>0</v>
      </c>
      <c r="AF392">
        <v>0</v>
      </c>
      <c r="AG392">
        <v>0</v>
      </c>
      <c r="AH392">
        <v>1</v>
      </c>
      <c r="AI392">
        <v>0</v>
      </c>
      <c r="AJ392">
        <v>0</v>
      </c>
      <c r="AK392">
        <v>0</v>
      </c>
      <c r="AL392">
        <v>0</v>
      </c>
      <c r="AM392">
        <v>0</v>
      </c>
      <c r="AN392">
        <v>0</v>
      </c>
      <c r="AO392">
        <v>0</v>
      </c>
      <c r="AP392">
        <v>1</v>
      </c>
      <c r="AQ392">
        <v>0</v>
      </c>
      <c r="AR392">
        <v>0</v>
      </c>
      <c r="AS392">
        <f t="shared" si="86"/>
        <v>5</v>
      </c>
      <c r="AT392">
        <f t="shared" si="87"/>
        <v>7</v>
      </c>
      <c r="AU392" s="3" t="s">
        <v>1370</v>
      </c>
      <c r="AV392">
        <f t="shared" si="88"/>
        <v>1</v>
      </c>
      <c r="AW392">
        <f t="shared" si="89"/>
        <v>0</v>
      </c>
      <c r="AX392">
        <f t="shared" si="90"/>
        <v>0</v>
      </c>
      <c r="AY392">
        <v>3</v>
      </c>
      <c r="AZ392" t="s">
        <v>60</v>
      </c>
      <c r="BA392" t="s">
        <v>61</v>
      </c>
      <c r="BB392" t="s">
        <v>8</v>
      </c>
    </row>
    <row r="393" ht="236" spans="1:54">
      <c r="A393" t="s">
        <v>1371</v>
      </c>
      <c r="B393" t="s">
        <v>1041</v>
      </c>
      <c r="C393" t="s">
        <v>56</v>
      </c>
      <c r="D393">
        <v>4</v>
      </c>
      <c r="E393">
        <v>0</v>
      </c>
      <c r="F393">
        <v>67.3</v>
      </c>
      <c r="G393" t="s">
        <v>346</v>
      </c>
      <c r="H393" s="3" t="s">
        <v>1372</v>
      </c>
      <c r="I393" s="3" t="s">
        <v>1373</v>
      </c>
      <c r="J393">
        <f t="shared" si="78"/>
        <v>0</v>
      </c>
      <c r="K393">
        <f t="shared" si="79"/>
        <v>1</v>
      </c>
      <c r="L393">
        <f t="shared" si="80"/>
        <v>0</v>
      </c>
      <c r="M393">
        <f t="shared" si="81"/>
        <v>0</v>
      </c>
      <c r="N393">
        <f t="shared" si="82"/>
        <v>1</v>
      </c>
      <c r="O393">
        <f t="shared" si="83"/>
        <v>1</v>
      </c>
      <c r="P393">
        <f t="shared" si="84"/>
        <v>0</v>
      </c>
      <c r="Q393">
        <f t="shared" si="85"/>
        <v>0</v>
      </c>
      <c r="R393">
        <v>0</v>
      </c>
      <c r="S393">
        <v>0</v>
      </c>
      <c r="T393">
        <v>0</v>
      </c>
      <c r="U393">
        <v>1</v>
      </c>
      <c r="V393">
        <v>0</v>
      </c>
      <c r="W393">
        <v>0</v>
      </c>
      <c r="X393">
        <v>0</v>
      </c>
      <c r="Y393">
        <v>0</v>
      </c>
      <c r="Z393">
        <v>0</v>
      </c>
      <c r="AA393">
        <v>0</v>
      </c>
      <c r="AB393">
        <v>0</v>
      </c>
      <c r="AC393">
        <v>0</v>
      </c>
      <c r="AD393">
        <v>0</v>
      </c>
      <c r="AE393">
        <v>0</v>
      </c>
      <c r="AF393">
        <v>0</v>
      </c>
      <c r="AG393">
        <v>0</v>
      </c>
      <c r="AH393">
        <v>1</v>
      </c>
      <c r="AI393">
        <v>1</v>
      </c>
      <c r="AJ393">
        <v>0</v>
      </c>
      <c r="AK393">
        <v>0</v>
      </c>
      <c r="AL393">
        <v>0</v>
      </c>
      <c r="AM393">
        <v>0</v>
      </c>
      <c r="AN393">
        <v>0</v>
      </c>
      <c r="AO393">
        <v>0</v>
      </c>
      <c r="AP393">
        <v>0</v>
      </c>
      <c r="AQ393">
        <v>0</v>
      </c>
      <c r="AR393">
        <v>0</v>
      </c>
      <c r="AS393">
        <f t="shared" si="86"/>
        <v>3</v>
      </c>
      <c r="AT393">
        <f t="shared" si="87"/>
        <v>3</v>
      </c>
      <c r="AU393" s="3" t="s">
        <v>1199</v>
      </c>
      <c r="AV393">
        <f t="shared" si="88"/>
        <v>1</v>
      </c>
      <c r="AW393">
        <f t="shared" si="89"/>
        <v>0</v>
      </c>
      <c r="AX393">
        <f t="shared" si="90"/>
        <v>0</v>
      </c>
      <c r="AY393">
        <v>8.5</v>
      </c>
      <c r="AZ393" t="s">
        <v>60</v>
      </c>
      <c r="BA393" t="s">
        <v>61</v>
      </c>
      <c r="BB393" t="s">
        <v>8</v>
      </c>
    </row>
    <row r="394" ht="152" spans="1:54">
      <c r="A394" t="s">
        <v>1374</v>
      </c>
      <c r="B394" t="s">
        <v>1041</v>
      </c>
      <c r="C394" t="s">
        <v>56</v>
      </c>
      <c r="D394">
        <v>9</v>
      </c>
      <c r="E394">
        <v>2</v>
      </c>
      <c r="F394">
        <v>42.7</v>
      </c>
      <c r="G394" t="s">
        <v>346</v>
      </c>
      <c r="H394" s="3" t="s">
        <v>1375</v>
      </c>
      <c r="I394" s="3" t="s">
        <v>1376</v>
      </c>
      <c r="J394">
        <f t="shared" si="78"/>
        <v>0</v>
      </c>
      <c r="K394">
        <f t="shared" si="79"/>
        <v>1</v>
      </c>
      <c r="L394">
        <f t="shared" si="80"/>
        <v>0</v>
      </c>
      <c r="M394">
        <f t="shared" si="81"/>
        <v>0</v>
      </c>
      <c r="N394">
        <f t="shared" si="82"/>
        <v>1</v>
      </c>
      <c r="O394">
        <f t="shared" si="83"/>
        <v>0</v>
      </c>
      <c r="P394">
        <f t="shared" si="84"/>
        <v>0</v>
      </c>
      <c r="Q394">
        <f t="shared" si="85"/>
        <v>0</v>
      </c>
      <c r="R394">
        <v>0</v>
      </c>
      <c r="S394">
        <v>0</v>
      </c>
      <c r="T394">
        <v>0</v>
      </c>
      <c r="U394">
        <v>1</v>
      </c>
      <c r="V394">
        <v>0</v>
      </c>
      <c r="W394">
        <v>0</v>
      </c>
      <c r="X394">
        <v>0</v>
      </c>
      <c r="Y394">
        <v>0</v>
      </c>
      <c r="Z394">
        <v>0</v>
      </c>
      <c r="AA394">
        <v>0</v>
      </c>
      <c r="AB394">
        <v>0</v>
      </c>
      <c r="AC394">
        <v>0</v>
      </c>
      <c r="AD394">
        <v>0</v>
      </c>
      <c r="AE394">
        <v>0</v>
      </c>
      <c r="AF394">
        <v>0</v>
      </c>
      <c r="AG394">
        <v>0</v>
      </c>
      <c r="AH394">
        <v>1</v>
      </c>
      <c r="AI394">
        <v>0</v>
      </c>
      <c r="AJ394">
        <v>0</v>
      </c>
      <c r="AK394">
        <v>0</v>
      </c>
      <c r="AL394">
        <v>0</v>
      </c>
      <c r="AM394">
        <v>0</v>
      </c>
      <c r="AN394">
        <v>0</v>
      </c>
      <c r="AO394">
        <v>0</v>
      </c>
      <c r="AP394">
        <v>0</v>
      </c>
      <c r="AQ394">
        <v>0</v>
      </c>
      <c r="AR394">
        <v>0</v>
      </c>
      <c r="AS394">
        <f t="shared" si="86"/>
        <v>2</v>
      </c>
      <c r="AT394">
        <f t="shared" si="87"/>
        <v>2</v>
      </c>
      <c r="AU394" s="3" t="s">
        <v>685</v>
      </c>
      <c r="AV394">
        <f t="shared" si="88"/>
        <v>1</v>
      </c>
      <c r="AW394">
        <f t="shared" si="89"/>
        <v>0</v>
      </c>
      <c r="AX394">
        <f t="shared" si="90"/>
        <v>0</v>
      </c>
      <c r="AY394">
        <v>4.5</v>
      </c>
      <c r="AZ394" t="s">
        <v>60</v>
      </c>
      <c r="BA394" t="s">
        <v>61</v>
      </c>
      <c r="BB394" t="s">
        <v>8</v>
      </c>
    </row>
    <row r="395" ht="409.5" spans="1:54">
      <c r="A395" t="s">
        <v>1377</v>
      </c>
      <c r="B395" t="s">
        <v>1041</v>
      </c>
      <c r="C395" t="s">
        <v>116</v>
      </c>
      <c r="D395">
        <v>25</v>
      </c>
      <c r="E395">
        <v>1</v>
      </c>
      <c r="F395">
        <v>2.5</v>
      </c>
      <c r="G395" t="s">
        <v>346</v>
      </c>
      <c r="H395" s="3" t="s">
        <v>1378</v>
      </c>
      <c r="I395" s="3" t="s">
        <v>1379</v>
      </c>
      <c r="J395">
        <f t="shared" si="78"/>
        <v>1</v>
      </c>
      <c r="K395">
        <f t="shared" si="79"/>
        <v>1</v>
      </c>
      <c r="L395">
        <f t="shared" si="80"/>
        <v>0</v>
      </c>
      <c r="M395">
        <f t="shared" si="81"/>
        <v>0</v>
      </c>
      <c r="N395">
        <f t="shared" si="82"/>
        <v>1</v>
      </c>
      <c r="O395">
        <f t="shared" si="83"/>
        <v>1</v>
      </c>
      <c r="P395">
        <f t="shared" si="84"/>
        <v>0</v>
      </c>
      <c r="Q395">
        <f t="shared" si="85"/>
        <v>0</v>
      </c>
      <c r="R395">
        <v>0</v>
      </c>
      <c r="S395">
        <v>0</v>
      </c>
      <c r="T395">
        <v>1</v>
      </c>
      <c r="U395">
        <v>0</v>
      </c>
      <c r="V395">
        <v>1</v>
      </c>
      <c r="W395">
        <v>0</v>
      </c>
      <c r="X395">
        <v>0</v>
      </c>
      <c r="Y395">
        <v>0</v>
      </c>
      <c r="Z395">
        <v>0</v>
      </c>
      <c r="AA395">
        <v>0</v>
      </c>
      <c r="AB395">
        <v>0</v>
      </c>
      <c r="AC395">
        <v>0</v>
      </c>
      <c r="AD395">
        <v>0</v>
      </c>
      <c r="AE395">
        <v>0</v>
      </c>
      <c r="AF395">
        <v>0</v>
      </c>
      <c r="AG395">
        <v>0</v>
      </c>
      <c r="AH395">
        <v>1</v>
      </c>
      <c r="AI395">
        <v>0</v>
      </c>
      <c r="AJ395">
        <v>0</v>
      </c>
      <c r="AK395">
        <v>1</v>
      </c>
      <c r="AL395">
        <v>0</v>
      </c>
      <c r="AM395">
        <v>0</v>
      </c>
      <c r="AN395">
        <v>0</v>
      </c>
      <c r="AO395">
        <v>0</v>
      </c>
      <c r="AP395">
        <v>0</v>
      </c>
      <c r="AQ395">
        <v>0</v>
      </c>
      <c r="AR395">
        <v>0</v>
      </c>
      <c r="AS395">
        <f t="shared" si="86"/>
        <v>4</v>
      </c>
      <c r="AT395">
        <f t="shared" si="87"/>
        <v>4</v>
      </c>
      <c r="AU395" s="3" t="s">
        <v>1380</v>
      </c>
      <c r="AV395">
        <f t="shared" si="88"/>
        <v>1</v>
      </c>
      <c r="AW395">
        <f t="shared" si="89"/>
        <v>0</v>
      </c>
      <c r="AX395">
        <f t="shared" si="90"/>
        <v>0</v>
      </c>
      <c r="AY395">
        <v>0</v>
      </c>
      <c r="AZ395" t="s">
        <v>147</v>
      </c>
      <c r="BA395" t="s">
        <v>148</v>
      </c>
      <c r="BB395" t="s">
        <v>8</v>
      </c>
    </row>
    <row r="396" ht="409.5" spans="1:54">
      <c r="A396" t="s">
        <v>1381</v>
      </c>
      <c r="B396" t="s">
        <v>1041</v>
      </c>
      <c r="C396" t="s">
        <v>56</v>
      </c>
      <c r="D396">
        <v>3</v>
      </c>
      <c r="E396">
        <v>1</v>
      </c>
      <c r="F396">
        <v>92.8</v>
      </c>
      <c r="G396" t="s">
        <v>346</v>
      </c>
      <c r="H396" s="3" t="s">
        <v>1382</v>
      </c>
      <c r="I396" s="3" t="s">
        <v>1383</v>
      </c>
      <c r="J396">
        <f t="shared" si="78"/>
        <v>0</v>
      </c>
      <c r="K396">
        <f t="shared" si="79"/>
        <v>0</v>
      </c>
      <c r="L396">
        <f t="shared" si="80"/>
        <v>1</v>
      </c>
      <c r="M396">
        <f t="shared" si="81"/>
        <v>0</v>
      </c>
      <c r="N396">
        <f t="shared" si="82"/>
        <v>1</v>
      </c>
      <c r="O396">
        <f t="shared" si="83"/>
        <v>0</v>
      </c>
      <c r="P396">
        <f t="shared" si="84"/>
        <v>0</v>
      </c>
      <c r="Q396">
        <f t="shared" si="85"/>
        <v>0</v>
      </c>
      <c r="R396">
        <v>0</v>
      </c>
      <c r="S396">
        <v>0</v>
      </c>
      <c r="T396">
        <v>0</v>
      </c>
      <c r="U396">
        <v>0</v>
      </c>
      <c r="V396">
        <v>0</v>
      </c>
      <c r="W396">
        <v>0</v>
      </c>
      <c r="X396">
        <v>0</v>
      </c>
      <c r="Y396">
        <v>0</v>
      </c>
      <c r="Z396">
        <v>0</v>
      </c>
      <c r="AA396">
        <v>0</v>
      </c>
      <c r="AB396">
        <v>1</v>
      </c>
      <c r="AC396">
        <v>0</v>
      </c>
      <c r="AD396">
        <v>0</v>
      </c>
      <c r="AE396">
        <v>0</v>
      </c>
      <c r="AF396">
        <v>0</v>
      </c>
      <c r="AG396">
        <v>0</v>
      </c>
      <c r="AH396">
        <v>1</v>
      </c>
      <c r="AI396">
        <v>0</v>
      </c>
      <c r="AJ396">
        <v>0</v>
      </c>
      <c r="AK396">
        <v>0</v>
      </c>
      <c r="AL396">
        <v>0</v>
      </c>
      <c r="AM396">
        <v>0</v>
      </c>
      <c r="AN396">
        <v>0</v>
      </c>
      <c r="AO396">
        <v>0</v>
      </c>
      <c r="AP396">
        <v>0</v>
      </c>
      <c r="AQ396">
        <v>0</v>
      </c>
      <c r="AR396">
        <v>0</v>
      </c>
      <c r="AS396">
        <f t="shared" si="86"/>
        <v>2</v>
      </c>
      <c r="AT396">
        <f t="shared" si="87"/>
        <v>2</v>
      </c>
      <c r="AU396" s="3" t="s">
        <v>1384</v>
      </c>
      <c r="AV396">
        <f t="shared" si="88"/>
        <v>1</v>
      </c>
      <c r="AW396">
        <f t="shared" si="89"/>
        <v>0</v>
      </c>
      <c r="AX396">
        <f t="shared" si="90"/>
        <v>0</v>
      </c>
      <c r="AY396">
        <v>2</v>
      </c>
      <c r="AZ396" t="s">
        <v>60</v>
      </c>
      <c r="BA396" t="s">
        <v>61</v>
      </c>
      <c r="BB396" t="s">
        <v>8</v>
      </c>
    </row>
    <row r="397" ht="84" spans="1:54">
      <c r="A397" t="s">
        <v>1385</v>
      </c>
      <c r="B397" t="s">
        <v>1041</v>
      </c>
      <c r="C397" t="s">
        <v>116</v>
      </c>
      <c r="D397">
        <v>10</v>
      </c>
      <c r="E397">
        <v>0</v>
      </c>
      <c r="F397">
        <v>5</v>
      </c>
      <c r="G397" t="s">
        <v>346</v>
      </c>
      <c r="H397" s="3" t="s">
        <v>1386</v>
      </c>
      <c r="I397" s="3" t="s">
        <v>1387</v>
      </c>
      <c r="J397">
        <f t="shared" si="78"/>
        <v>1</v>
      </c>
      <c r="K397">
        <f t="shared" si="79"/>
        <v>0</v>
      </c>
      <c r="L397">
        <f t="shared" si="80"/>
        <v>0</v>
      </c>
      <c r="M397">
        <f t="shared" si="81"/>
        <v>1</v>
      </c>
      <c r="N397">
        <f t="shared" si="82"/>
        <v>1</v>
      </c>
      <c r="O397">
        <f t="shared" si="83"/>
        <v>0</v>
      </c>
      <c r="P397">
        <f t="shared" si="84"/>
        <v>0</v>
      </c>
      <c r="Q397">
        <f t="shared" si="85"/>
        <v>0</v>
      </c>
      <c r="R397">
        <v>1</v>
      </c>
      <c r="S397">
        <v>0</v>
      </c>
      <c r="T397">
        <v>0</v>
      </c>
      <c r="U397">
        <v>0</v>
      </c>
      <c r="V397">
        <v>0</v>
      </c>
      <c r="W397">
        <v>0</v>
      </c>
      <c r="X397">
        <v>0</v>
      </c>
      <c r="Y397">
        <v>0</v>
      </c>
      <c r="Z397">
        <v>0</v>
      </c>
      <c r="AA397">
        <v>0</v>
      </c>
      <c r="AB397">
        <v>0</v>
      </c>
      <c r="AC397">
        <v>0</v>
      </c>
      <c r="AD397">
        <v>1</v>
      </c>
      <c r="AE397">
        <v>0</v>
      </c>
      <c r="AF397">
        <v>1</v>
      </c>
      <c r="AG397">
        <v>0</v>
      </c>
      <c r="AH397">
        <v>1</v>
      </c>
      <c r="AI397">
        <v>0</v>
      </c>
      <c r="AJ397">
        <v>0</v>
      </c>
      <c r="AK397">
        <v>0</v>
      </c>
      <c r="AL397">
        <v>0</v>
      </c>
      <c r="AM397">
        <v>0</v>
      </c>
      <c r="AN397">
        <v>0</v>
      </c>
      <c r="AO397">
        <v>0</v>
      </c>
      <c r="AP397">
        <v>0</v>
      </c>
      <c r="AQ397">
        <v>0</v>
      </c>
      <c r="AR397">
        <v>0</v>
      </c>
      <c r="AS397">
        <f t="shared" si="86"/>
        <v>3</v>
      </c>
      <c r="AT397">
        <f t="shared" si="87"/>
        <v>4</v>
      </c>
      <c r="AU397" s="3" t="s">
        <v>1191</v>
      </c>
      <c r="AV397">
        <f t="shared" si="88"/>
        <v>1</v>
      </c>
      <c r="AW397">
        <f t="shared" si="89"/>
        <v>0</v>
      </c>
      <c r="AX397">
        <f t="shared" si="90"/>
        <v>0</v>
      </c>
      <c r="AY397">
        <v>1</v>
      </c>
      <c r="AZ397" t="s">
        <v>60</v>
      </c>
      <c r="BA397" t="s">
        <v>61</v>
      </c>
      <c r="BB397" t="s">
        <v>8</v>
      </c>
    </row>
    <row r="398" ht="84" spans="1:54">
      <c r="A398" t="s">
        <v>1388</v>
      </c>
      <c r="B398" t="s">
        <v>1041</v>
      </c>
      <c r="C398" t="s">
        <v>56</v>
      </c>
      <c r="D398">
        <v>0</v>
      </c>
      <c r="E398">
        <v>0</v>
      </c>
      <c r="F398">
        <v>54.2</v>
      </c>
      <c r="G398" t="s">
        <v>346</v>
      </c>
      <c r="H398" s="3" t="s">
        <v>1389</v>
      </c>
      <c r="I398" s="3" t="s">
        <v>1390</v>
      </c>
      <c r="J398">
        <f t="shared" si="78"/>
        <v>0</v>
      </c>
      <c r="K398">
        <f t="shared" si="79"/>
        <v>0</v>
      </c>
      <c r="L398">
        <f t="shared" si="80"/>
        <v>0</v>
      </c>
      <c r="M398">
        <f t="shared" si="81"/>
        <v>0</v>
      </c>
      <c r="N398">
        <f t="shared" si="82"/>
        <v>0</v>
      </c>
      <c r="O398">
        <f t="shared" si="83"/>
        <v>1</v>
      </c>
      <c r="P398">
        <f t="shared" si="84"/>
        <v>0</v>
      </c>
      <c r="Q398">
        <f t="shared" si="85"/>
        <v>0</v>
      </c>
      <c r="R398">
        <v>0</v>
      </c>
      <c r="S398">
        <v>0</v>
      </c>
      <c r="T398">
        <v>0</v>
      </c>
      <c r="U398">
        <v>0</v>
      </c>
      <c r="V398">
        <v>0</v>
      </c>
      <c r="W398">
        <v>0</v>
      </c>
      <c r="X398">
        <v>0</v>
      </c>
      <c r="Y398">
        <v>0</v>
      </c>
      <c r="Z398">
        <v>0</v>
      </c>
      <c r="AA398">
        <v>0</v>
      </c>
      <c r="AB398">
        <v>0</v>
      </c>
      <c r="AC398">
        <v>0</v>
      </c>
      <c r="AD398">
        <v>0</v>
      </c>
      <c r="AE398">
        <v>0</v>
      </c>
      <c r="AF398">
        <v>0</v>
      </c>
      <c r="AG398">
        <v>0</v>
      </c>
      <c r="AH398">
        <v>0</v>
      </c>
      <c r="AI398">
        <v>0</v>
      </c>
      <c r="AJ398">
        <v>1</v>
      </c>
      <c r="AK398">
        <v>0</v>
      </c>
      <c r="AL398">
        <v>0</v>
      </c>
      <c r="AM398">
        <v>0</v>
      </c>
      <c r="AN398">
        <v>0</v>
      </c>
      <c r="AO398">
        <v>0</v>
      </c>
      <c r="AP398">
        <v>0</v>
      </c>
      <c r="AQ398">
        <v>0</v>
      </c>
      <c r="AR398">
        <v>0</v>
      </c>
      <c r="AS398">
        <f t="shared" si="86"/>
        <v>1</v>
      </c>
      <c r="AT398">
        <f t="shared" si="87"/>
        <v>1</v>
      </c>
      <c r="AU398" s="3" t="s">
        <v>1391</v>
      </c>
      <c r="AV398">
        <f t="shared" si="88"/>
        <v>1</v>
      </c>
      <c r="AW398">
        <f t="shared" si="89"/>
        <v>0</v>
      </c>
      <c r="AX398">
        <f t="shared" si="90"/>
        <v>0</v>
      </c>
      <c r="AY398">
        <v>0</v>
      </c>
      <c r="AZ398" t="s">
        <v>147</v>
      </c>
      <c r="BA398" t="s">
        <v>148</v>
      </c>
      <c r="BB398" t="s">
        <v>8</v>
      </c>
    </row>
    <row r="399" ht="409.5" spans="1:54">
      <c r="A399" t="s">
        <v>1392</v>
      </c>
      <c r="B399" t="s">
        <v>1041</v>
      </c>
      <c r="C399" t="s">
        <v>116</v>
      </c>
      <c r="D399">
        <v>9</v>
      </c>
      <c r="E399">
        <v>1</v>
      </c>
      <c r="F399">
        <v>23.1</v>
      </c>
      <c r="G399" t="s">
        <v>346</v>
      </c>
      <c r="H399" s="3" t="s">
        <v>1393</v>
      </c>
      <c r="I399" s="3" t="s">
        <v>1394</v>
      </c>
      <c r="J399">
        <f t="shared" si="78"/>
        <v>0</v>
      </c>
      <c r="K399">
        <f t="shared" si="79"/>
        <v>1</v>
      </c>
      <c r="L399">
        <f t="shared" si="80"/>
        <v>0</v>
      </c>
      <c r="M399">
        <f t="shared" si="81"/>
        <v>0</v>
      </c>
      <c r="N399">
        <f t="shared" si="82"/>
        <v>0</v>
      </c>
      <c r="O399">
        <f t="shared" si="83"/>
        <v>0</v>
      </c>
      <c r="P399">
        <f t="shared" si="84"/>
        <v>0</v>
      </c>
      <c r="Q399">
        <f t="shared" si="85"/>
        <v>0</v>
      </c>
      <c r="R399">
        <v>0</v>
      </c>
      <c r="S399">
        <v>0</v>
      </c>
      <c r="T399">
        <v>0</v>
      </c>
      <c r="U399">
        <v>0</v>
      </c>
      <c r="V399">
        <v>1</v>
      </c>
      <c r="W399">
        <v>1</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f t="shared" si="86"/>
        <v>1</v>
      </c>
      <c r="AT399">
        <f t="shared" si="87"/>
        <v>2</v>
      </c>
      <c r="AU399" s="3" t="s">
        <v>1395</v>
      </c>
      <c r="AV399">
        <f t="shared" si="88"/>
        <v>1</v>
      </c>
      <c r="AW399">
        <f t="shared" si="89"/>
        <v>0</v>
      </c>
      <c r="AX399">
        <f t="shared" si="90"/>
        <v>0</v>
      </c>
      <c r="AY399">
        <v>4.5</v>
      </c>
      <c r="AZ399" t="s">
        <v>60</v>
      </c>
      <c r="BA399" t="s">
        <v>61</v>
      </c>
      <c r="BB399" t="s">
        <v>8</v>
      </c>
    </row>
    <row r="400" ht="168" spans="1:54">
      <c r="A400" t="s">
        <v>1396</v>
      </c>
      <c r="B400" t="s">
        <v>1041</v>
      </c>
      <c r="C400" t="s">
        <v>56</v>
      </c>
      <c r="D400">
        <v>0</v>
      </c>
      <c r="E400">
        <v>0</v>
      </c>
      <c r="F400">
        <v>52.1</v>
      </c>
      <c r="G400" t="s">
        <v>346</v>
      </c>
      <c r="H400" s="3" t="s">
        <v>1397</v>
      </c>
      <c r="I400" s="3" t="s">
        <v>1397</v>
      </c>
      <c r="J400">
        <f t="shared" si="78"/>
        <v>1</v>
      </c>
      <c r="K400">
        <f t="shared" si="79"/>
        <v>1</v>
      </c>
      <c r="L400">
        <f t="shared" si="80"/>
        <v>1</v>
      </c>
      <c r="M400">
        <f t="shared" si="81"/>
        <v>0</v>
      </c>
      <c r="N400">
        <f t="shared" si="82"/>
        <v>1</v>
      </c>
      <c r="O400">
        <f t="shared" si="83"/>
        <v>1</v>
      </c>
      <c r="P400">
        <f t="shared" si="84"/>
        <v>1</v>
      </c>
      <c r="Q400">
        <f t="shared" si="85"/>
        <v>0</v>
      </c>
      <c r="R400">
        <v>1</v>
      </c>
      <c r="S400">
        <v>1</v>
      </c>
      <c r="T400">
        <v>0</v>
      </c>
      <c r="U400">
        <v>1</v>
      </c>
      <c r="V400">
        <v>1</v>
      </c>
      <c r="W400">
        <v>0</v>
      </c>
      <c r="X400">
        <v>0</v>
      </c>
      <c r="Y400">
        <v>0</v>
      </c>
      <c r="Z400">
        <v>1</v>
      </c>
      <c r="AA400">
        <v>1</v>
      </c>
      <c r="AB400">
        <v>1</v>
      </c>
      <c r="AC400">
        <v>0</v>
      </c>
      <c r="AD400">
        <v>0</v>
      </c>
      <c r="AE400">
        <v>0</v>
      </c>
      <c r="AF400">
        <v>0</v>
      </c>
      <c r="AG400">
        <v>0</v>
      </c>
      <c r="AH400">
        <v>1</v>
      </c>
      <c r="AI400">
        <v>1</v>
      </c>
      <c r="AJ400">
        <v>0</v>
      </c>
      <c r="AK400">
        <v>0</v>
      </c>
      <c r="AL400">
        <v>1</v>
      </c>
      <c r="AM400">
        <v>0</v>
      </c>
      <c r="AN400">
        <v>0</v>
      </c>
      <c r="AO400">
        <v>0</v>
      </c>
      <c r="AP400">
        <v>1</v>
      </c>
      <c r="AQ400">
        <v>0</v>
      </c>
      <c r="AR400">
        <v>0</v>
      </c>
      <c r="AS400">
        <f t="shared" si="86"/>
        <v>6</v>
      </c>
      <c r="AT400">
        <f t="shared" si="87"/>
        <v>11</v>
      </c>
      <c r="AU400" s="3" t="s">
        <v>1398</v>
      </c>
      <c r="AV400">
        <f t="shared" si="88"/>
        <v>1</v>
      </c>
      <c r="AW400">
        <f t="shared" si="89"/>
        <v>0</v>
      </c>
      <c r="AX400">
        <f t="shared" si="90"/>
        <v>1</v>
      </c>
      <c r="AY400">
        <v>15.5</v>
      </c>
      <c r="AZ400" t="s">
        <v>60</v>
      </c>
      <c r="BA400" t="s">
        <v>61</v>
      </c>
      <c r="BB400" t="s">
        <v>8</v>
      </c>
    </row>
    <row r="401" ht="219" spans="1:54">
      <c r="A401" t="s">
        <v>1399</v>
      </c>
      <c r="B401" t="s">
        <v>1041</v>
      </c>
      <c r="C401" t="s">
        <v>116</v>
      </c>
      <c r="D401">
        <v>58</v>
      </c>
      <c r="E401">
        <v>8</v>
      </c>
      <c r="F401">
        <v>22.9</v>
      </c>
      <c r="G401" t="s">
        <v>375</v>
      </c>
      <c r="H401" s="3" t="s">
        <v>1400</v>
      </c>
      <c r="I401" s="3" t="s">
        <v>1401</v>
      </c>
      <c r="J401">
        <f t="shared" si="78"/>
        <v>1</v>
      </c>
      <c r="K401">
        <f t="shared" si="79"/>
        <v>1</v>
      </c>
      <c r="L401">
        <f t="shared" si="80"/>
        <v>0</v>
      </c>
      <c r="M401">
        <f t="shared" si="81"/>
        <v>0</v>
      </c>
      <c r="N401">
        <f t="shared" si="82"/>
        <v>1</v>
      </c>
      <c r="O401">
        <f t="shared" si="83"/>
        <v>0</v>
      </c>
      <c r="P401">
        <f t="shared" si="84"/>
        <v>0</v>
      </c>
      <c r="Q401">
        <f t="shared" si="85"/>
        <v>0</v>
      </c>
      <c r="R401">
        <v>0</v>
      </c>
      <c r="S401">
        <v>0</v>
      </c>
      <c r="T401">
        <v>1</v>
      </c>
      <c r="U401">
        <v>1</v>
      </c>
      <c r="V401">
        <v>1</v>
      </c>
      <c r="W401">
        <v>1</v>
      </c>
      <c r="X401">
        <v>0</v>
      </c>
      <c r="Y401">
        <v>0</v>
      </c>
      <c r="Z401">
        <v>0</v>
      </c>
      <c r="AA401">
        <v>0</v>
      </c>
      <c r="AB401">
        <v>0</v>
      </c>
      <c r="AC401">
        <v>0</v>
      </c>
      <c r="AD401">
        <v>0</v>
      </c>
      <c r="AE401">
        <v>0</v>
      </c>
      <c r="AF401">
        <v>0</v>
      </c>
      <c r="AG401">
        <v>0</v>
      </c>
      <c r="AH401">
        <v>1</v>
      </c>
      <c r="AI401">
        <v>0</v>
      </c>
      <c r="AJ401">
        <v>0</v>
      </c>
      <c r="AK401">
        <v>0</v>
      </c>
      <c r="AL401">
        <v>0</v>
      </c>
      <c r="AM401">
        <v>0</v>
      </c>
      <c r="AN401">
        <v>0</v>
      </c>
      <c r="AO401">
        <v>0</v>
      </c>
      <c r="AP401">
        <v>0</v>
      </c>
      <c r="AQ401">
        <v>0</v>
      </c>
      <c r="AR401">
        <v>0</v>
      </c>
      <c r="AS401">
        <f t="shared" si="86"/>
        <v>3</v>
      </c>
      <c r="AT401">
        <f t="shared" si="87"/>
        <v>5</v>
      </c>
      <c r="AU401" s="3" t="s">
        <v>1402</v>
      </c>
      <c r="AV401">
        <f t="shared" si="88"/>
        <v>1</v>
      </c>
      <c r="AW401">
        <f t="shared" si="89"/>
        <v>0</v>
      </c>
      <c r="AX401">
        <f t="shared" si="90"/>
        <v>0</v>
      </c>
      <c r="AY401">
        <v>-3.5</v>
      </c>
      <c r="AZ401" t="s">
        <v>133</v>
      </c>
      <c r="BA401" t="s">
        <v>134</v>
      </c>
      <c r="BB401" t="s">
        <v>8</v>
      </c>
    </row>
    <row r="402" ht="409.5" spans="1:54">
      <c r="A402" t="s">
        <v>1403</v>
      </c>
      <c r="B402" t="s">
        <v>1041</v>
      </c>
      <c r="C402" t="s">
        <v>56</v>
      </c>
      <c r="D402">
        <v>13</v>
      </c>
      <c r="E402">
        <v>0</v>
      </c>
      <c r="F402">
        <v>98.7</v>
      </c>
      <c r="G402" t="s">
        <v>375</v>
      </c>
      <c r="H402" s="3" t="s">
        <v>1404</v>
      </c>
      <c r="I402" s="3" t="s">
        <v>1405</v>
      </c>
      <c r="J402">
        <f t="shared" si="78"/>
        <v>0</v>
      </c>
      <c r="K402">
        <f t="shared" si="79"/>
        <v>0</v>
      </c>
      <c r="L402">
        <f t="shared" si="80"/>
        <v>0</v>
      </c>
      <c r="M402">
        <f t="shared" si="81"/>
        <v>0</v>
      </c>
      <c r="N402">
        <f t="shared" si="82"/>
        <v>1</v>
      </c>
      <c r="O402">
        <f t="shared" si="83"/>
        <v>0</v>
      </c>
      <c r="P402">
        <f t="shared" si="84"/>
        <v>0</v>
      </c>
      <c r="Q402">
        <f t="shared" si="85"/>
        <v>0</v>
      </c>
      <c r="R402">
        <v>0</v>
      </c>
      <c r="S402">
        <v>0</v>
      </c>
      <c r="T402">
        <v>0</v>
      </c>
      <c r="U402">
        <v>0</v>
      </c>
      <c r="V402">
        <v>0</v>
      </c>
      <c r="W402">
        <v>0</v>
      </c>
      <c r="X402">
        <v>0</v>
      </c>
      <c r="Y402">
        <v>0</v>
      </c>
      <c r="Z402">
        <v>0</v>
      </c>
      <c r="AA402">
        <v>0</v>
      </c>
      <c r="AB402">
        <v>0</v>
      </c>
      <c r="AC402">
        <v>0</v>
      </c>
      <c r="AD402">
        <v>0</v>
      </c>
      <c r="AE402">
        <v>0</v>
      </c>
      <c r="AF402">
        <v>0</v>
      </c>
      <c r="AG402">
        <v>0</v>
      </c>
      <c r="AH402">
        <v>1</v>
      </c>
      <c r="AI402">
        <v>0</v>
      </c>
      <c r="AJ402">
        <v>0</v>
      </c>
      <c r="AK402">
        <v>0</v>
      </c>
      <c r="AL402">
        <v>0</v>
      </c>
      <c r="AM402">
        <v>0</v>
      </c>
      <c r="AN402">
        <v>0</v>
      </c>
      <c r="AO402">
        <v>0</v>
      </c>
      <c r="AP402">
        <v>0</v>
      </c>
      <c r="AQ402">
        <v>0</v>
      </c>
      <c r="AR402">
        <v>0</v>
      </c>
      <c r="AS402">
        <f t="shared" si="86"/>
        <v>1</v>
      </c>
      <c r="AT402">
        <f t="shared" si="87"/>
        <v>1</v>
      </c>
      <c r="AU402" s="3" t="s">
        <v>129</v>
      </c>
      <c r="AV402">
        <f t="shared" si="88"/>
        <v>1</v>
      </c>
      <c r="AW402">
        <f t="shared" si="89"/>
        <v>0</v>
      </c>
      <c r="AX402">
        <f t="shared" si="90"/>
        <v>0</v>
      </c>
      <c r="AY402">
        <v>8.5</v>
      </c>
      <c r="AZ402" t="s">
        <v>60</v>
      </c>
      <c r="BA402" t="s">
        <v>61</v>
      </c>
      <c r="BB402" t="s">
        <v>8</v>
      </c>
    </row>
    <row r="403" ht="68" spans="1:54">
      <c r="A403" t="s">
        <v>1406</v>
      </c>
      <c r="B403" t="s">
        <v>1041</v>
      </c>
      <c r="C403" t="s">
        <v>56</v>
      </c>
      <c r="D403">
        <v>0</v>
      </c>
      <c r="E403">
        <v>0</v>
      </c>
      <c r="F403">
        <v>70.8</v>
      </c>
      <c r="G403" t="s">
        <v>375</v>
      </c>
      <c r="H403" s="3" t="s">
        <v>1407</v>
      </c>
      <c r="I403" s="3" t="s">
        <v>1407</v>
      </c>
      <c r="J403">
        <f t="shared" si="78"/>
        <v>1</v>
      </c>
      <c r="K403">
        <f t="shared" si="79"/>
        <v>0</v>
      </c>
      <c r="L403">
        <f t="shared" si="80"/>
        <v>1</v>
      </c>
      <c r="M403">
        <f t="shared" si="81"/>
        <v>1</v>
      </c>
      <c r="N403">
        <f t="shared" si="82"/>
        <v>1</v>
      </c>
      <c r="O403">
        <f t="shared" si="83"/>
        <v>0</v>
      </c>
      <c r="P403">
        <f t="shared" si="84"/>
        <v>0</v>
      </c>
      <c r="Q403">
        <f t="shared" si="85"/>
        <v>0</v>
      </c>
      <c r="R403">
        <v>1</v>
      </c>
      <c r="S403">
        <v>0</v>
      </c>
      <c r="T403">
        <v>0</v>
      </c>
      <c r="U403">
        <v>0</v>
      </c>
      <c r="V403">
        <v>0</v>
      </c>
      <c r="W403">
        <v>0</v>
      </c>
      <c r="X403">
        <v>0</v>
      </c>
      <c r="Y403">
        <v>0</v>
      </c>
      <c r="Z403">
        <v>0</v>
      </c>
      <c r="AA403">
        <v>1</v>
      </c>
      <c r="AB403">
        <v>0</v>
      </c>
      <c r="AC403">
        <v>0</v>
      </c>
      <c r="AD403">
        <v>0</v>
      </c>
      <c r="AE403">
        <v>1</v>
      </c>
      <c r="AF403">
        <v>1</v>
      </c>
      <c r="AG403">
        <v>1</v>
      </c>
      <c r="AH403">
        <v>1</v>
      </c>
      <c r="AI403">
        <v>0</v>
      </c>
      <c r="AJ403">
        <v>0</v>
      </c>
      <c r="AK403">
        <v>0</v>
      </c>
      <c r="AL403">
        <v>0</v>
      </c>
      <c r="AM403">
        <v>0</v>
      </c>
      <c r="AN403">
        <v>0</v>
      </c>
      <c r="AO403">
        <v>0</v>
      </c>
      <c r="AP403">
        <v>0</v>
      </c>
      <c r="AQ403">
        <v>0</v>
      </c>
      <c r="AR403">
        <v>0</v>
      </c>
      <c r="AS403">
        <f t="shared" si="86"/>
        <v>4</v>
      </c>
      <c r="AT403">
        <f t="shared" si="87"/>
        <v>6</v>
      </c>
      <c r="AU403" s="3" t="s">
        <v>1408</v>
      </c>
      <c r="AV403">
        <f t="shared" si="88"/>
        <v>1</v>
      </c>
      <c r="AW403">
        <f t="shared" si="89"/>
        <v>0</v>
      </c>
      <c r="AX403">
        <f t="shared" si="90"/>
        <v>0</v>
      </c>
      <c r="AY403">
        <v>1.5</v>
      </c>
      <c r="AZ403" t="s">
        <v>60</v>
      </c>
      <c r="BA403" t="s">
        <v>61</v>
      </c>
      <c r="BB403" t="s">
        <v>8</v>
      </c>
    </row>
    <row r="404" ht="370" spans="1:54">
      <c r="A404" t="s">
        <v>1409</v>
      </c>
      <c r="B404" t="s">
        <v>1041</v>
      </c>
      <c r="C404" t="s">
        <v>116</v>
      </c>
      <c r="D404">
        <v>0</v>
      </c>
      <c r="E404">
        <v>0</v>
      </c>
      <c r="F404">
        <v>33.5</v>
      </c>
      <c r="G404" t="s">
        <v>375</v>
      </c>
      <c r="H404" s="3" t="s">
        <v>1410</v>
      </c>
      <c r="I404" s="3" t="s">
        <v>1411</v>
      </c>
      <c r="J404">
        <f t="shared" si="78"/>
        <v>1</v>
      </c>
      <c r="K404">
        <f t="shared" si="79"/>
        <v>1</v>
      </c>
      <c r="L404">
        <f t="shared" si="80"/>
        <v>0</v>
      </c>
      <c r="M404">
        <f t="shared" si="81"/>
        <v>0</v>
      </c>
      <c r="N404">
        <f t="shared" si="82"/>
        <v>0</v>
      </c>
      <c r="O404">
        <f t="shared" si="83"/>
        <v>1</v>
      </c>
      <c r="P404">
        <f t="shared" si="84"/>
        <v>1</v>
      </c>
      <c r="Q404">
        <f t="shared" si="85"/>
        <v>0</v>
      </c>
      <c r="R404">
        <v>1</v>
      </c>
      <c r="S404">
        <v>0</v>
      </c>
      <c r="T404">
        <v>0</v>
      </c>
      <c r="U404">
        <v>0</v>
      </c>
      <c r="V404">
        <v>0</v>
      </c>
      <c r="W404">
        <v>1</v>
      </c>
      <c r="X404">
        <v>0</v>
      </c>
      <c r="Y404">
        <v>0</v>
      </c>
      <c r="Z404">
        <v>0</v>
      </c>
      <c r="AA404">
        <v>0</v>
      </c>
      <c r="AB404">
        <v>0</v>
      </c>
      <c r="AC404">
        <v>0</v>
      </c>
      <c r="AD404">
        <v>0</v>
      </c>
      <c r="AE404">
        <v>0</v>
      </c>
      <c r="AF404">
        <v>0</v>
      </c>
      <c r="AG404">
        <v>0</v>
      </c>
      <c r="AH404">
        <v>0</v>
      </c>
      <c r="AI404">
        <v>1</v>
      </c>
      <c r="AJ404">
        <v>0</v>
      </c>
      <c r="AK404">
        <v>0</v>
      </c>
      <c r="AL404">
        <v>1</v>
      </c>
      <c r="AM404">
        <v>0</v>
      </c>
      <c r="AN404">
        <v>0</v>
      </c>
      <c r="AO404">
        <v>0</v>
      </c>
      <c r="AP404">
        <v>0</v>
      </c>
      <c r="AQ404">
        <v>1</v>
      </c>
      <c r="AR404">
        <v>0</v>
      </c>
      <c r="AS404">
        <f t="shared" si="86"/>
        <v>4</v>
      </c>
      <c r="AT404">
        <f t="shared" si="87"/>
        <v>5</v>
      </c>
      <c r="AU404" s="3" t="s">
        <v>1412</v>
      </c>
      <c r="AV404">
        <f t="shared" si="88"/>
        <v>1</v>
      </c>
      <c r="AW404">
        <f t="shared" si="89"/>
        <v>0</v>
      </c>
      <c r="AX404">
        <f t="shared" si="90"/>
        <v>0</v>
      </c>
      <c r="AY404">
        <v>4</v>
      </c>
      <c r="AZ404" t="s">
        <v>60</v>
      </c>
      <c r="BA404" t="s">
        <v>61</v>
      </c>
      <c r="BB404" t="s">
        <v>8</v>
      </c>
    </row>
    <row r="405" ht="202" spans="1:54">
      <c r="A405" t="s">
        <v>1413</v>
      </c>
      <c r="B405" t="s">
        <v>1041</v>
      </c>
      <c r="C405" t="s">
        <v>56</v>
      </c>
      <c r="D405">
        <v>9</v>
      </c>
      <c r="E405">
        <v>0</v>
      </c>
      <c r="F405">
        <v>47.7</v>
      </c>
      <c r="G405" t="s">
        <v>375</v>
      </c>
      <c r="H405" s="3" t="s">
        <v>1414</v>
      </c>
      <c r="I405" s="3" t="s">
        <v>1415</v>
      </c>
      <c r="J405">
        <f t="shared" si="78"/>
        <v>0</v>
      </c>
      <c r="K405">
        <f t="shared" si="79"/>
        <v>0</v>
      </c>
      <c r="L405">
        <f t="shared" si="80"/>
        <v>0</v>
      </c>
      <c r="M405">
        <f t="shared" si="81"/>
        <v>0</v>
      </c>
      <c r="N405">
        <f t="shared" si="82"/>
        <v>0</v>
      </c>
      <c r="O405">
        <f t="shared" si="83"/>
        <v>1</v>
      </c>
      <c r="P405">
        <f t="shared" si="84"/>
        <v>1</v>
      </c>
      <c r="Q405">
        <f t="shared" si="85"/>
        <v>0</v>
      </c>
      <c r="R405">
        <v>0</v>
      </c>
      <c r="S405">
        <v>0</v>
      </c>
      <c r="T405">
        <v>0</v>
      </c>
      <c r="U405">
        <v>0</v>
      </c>
      <c r="V405">
        <v>0</v>
      </c>
      <c r="W405">
        <v>0</v>
      </c>
      <c r="X405">
        <v>0</v>
      </c>
      <c r="Y405">
        <v>0</v>
      </c>
      <c r="Z405">
        <v>0</v>
      </c>
      <c r="AA405">
        <v>0</v>
      </c>
      <c r="AB405">
        <v>0</v>
      </c>
      <c r="AC405">
        <v>0</v>
      </c>
      <c r="AD405">
        <v>0</v>
      </c>
      <c r="AE405">
        <v>0</v>
      </c>
      <c r="AF405">
        <v>0</v>
      </c>
      <c r="AG405">
        <v>0</v>
      </c>
      <c r="AH405">
        <v>0</v>
      </c>
      <c r="AI405">
        <v>1</v>
      </c>
      <c r="AJ405">
        <v>0</v>
      </c>
      <c r="AK405">
        <v>0</v>
      </c>
      <c r="AL405">
        <v>0</v>
      </c>
      <c r="AM405">
        <v>0</v>
      </c>
      <c r="AN405">
        <v>1</v>
      </c>
      <c r="AO405">
        <v>0</v>
      </c>
      <c r="AP405">
        <v>0</v>
      </c>
      <c r="AQ405">
        <v>0</v>
      </c>
      <c r="AR405">
        <v>0</v>
      </c>
      <c r="AS405">
        <f t="shared" si="86"/>
        <v>2</v>
      </c>
      <c r="AT405">
        <f t="shared" si="87"/>
        <v>2</v>
      </c>
      <c r="AU405" s="3" t="s">
        <v>651</v>
      </c>
      <c r="AV405">
        <f t="shared" si="88"/>
        <v>1</v>
      </c>
      <c r="AW405">
        <f t="shared" si="89"/>
        <v>0</v>
      </c>
      <c r="AX405">
        <f t="shared" si="90"/>
        <v>0</v>
      </c>
      <c r="AY405">
        <v>3.5</v>
      </c>
      <c r="AZ405" t="s">
        <v>60</v>
      </c>
      <c r="BA405" t="s">
        <v>61</v>
      </c>
      <c r="BB405" t="s">
        <v>8</v>
      </c>
    </row>
    <row r="406" ht="51" spans="1:54">
      <c r="A406" t="s">
        <v>1416</v>
      </c>
      <c r="B406" t="s">
        <v>1041</v>
      </c>
      <c r="C406" t="s">
        <v>56</v>
      </c>
      <c r="D406">
        <v>0</v>
      </c>
      <c r="E406">
        <v>0</v>
      </c>
      <c r="F406">
        <v>80.2</v>
      </c>
      <c r="G406" t="s">
        <v>375</v>
      </c>
      <c r="H406" s="3" t="s">
        <v>1417</v>
      </c>
      <c r="I406" s="3" t="s">
        <v>1417</v>
      </c>
      <c r="J406">
        <f t="shared" si="78"/>
        <v>0</v>
      </c>
      <c r="K406">
        <f t="shared" si="79"/>
        <v>0</v>
      </c>
      <c r="L406">
        <f t="shared" si="80"/>
        <v>0</v>
      </c>
      <c r="M406">
        <f t="shared" si="81"/>
        <v>0</v>
      </c>
      <c r="N406">
        <f t="shared" si="82"/>
        <v>0</v>
      </c>
      <c r="O406">
        <f t="shared" si="83"/>
        <v>0</v>
      </c>
      <c r="P406">
        <f t="shared" si="84"/>
        <v>0</v>
      </c>
      <c r="Q406">
        <f t="shared" si="85"/>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f t="shared" si="86"/>
        <v>0</v>
      </c>
      <c r="AT406">
        <f t="shared" si="87"/>
        <v>0</v>
      </c>
      <c r="AU406" s="3" t="s">
        <v>118</v>
      </c>
      <c r="AV406">
        <f t="shared" si="88"/>
        <v>0</v>
      </c>
      <c r="AW406">
        <f t="shared" si="89"/>
        <v>1</v>
      </c>
      <c r="AX406">
        <f t="shared" si="90"/>
        <v>0</v>
      </c>
      <c r="AY406">
        <v>0</v>
      </c>
      <c r="AZ406" t="s">
        <v>147</v>
      </c>
      <c r="BA406" t="s">
        <v>148</v>
      </c>
      <c r="BB406" t="s">
        <v>8</v>
      </c>
    </row>
    <row r="407" ht="17" spans="1:54">
      <c r="A407" t="s">
        <v>1418</v>
      </c>
      <c r="B407" t="s">
        <v>1041</v>
      </c>
      <c r="C407" t="s">
        <v>56</v>
      </c>
      <c r="D407">
        <v>0</v>
      </c>
      <c r="E407">
        <v>0</v>
      </c>
      <c r="F407">
        <v>223.1</v>
      </c>
      <c r="G407" t="s">
        <v>106</v>
      </c>
      <c r="H407" s="3" t="s">
        <v>1419</v>
      </c>
      <c r="I407" s="3" t="s">
        <v>1420</v>
      </c>
      <c r="J407">
        <f t="shared" si="78"/>
        <v>0</v>
      </c>
      <c r="K407">
        <f t="shared" si="79"/>
        <v>0</v>
      </c>
      <c r="L407">
        <f t="shared" si="80"/>
        <v>0</v>
      </c>
      <c r="M407">
        <f t="shared" si="81"/>
        <v>0</v>
      </c>
      <c r="N407">
        <f t="shared" si="82"/>
        <v>1</v>
      </c>
      <c r="O407">
        <f t="shared" si="83"/>
        <v>0</v>
      </c>
      <c r="P407">
        <f t="shared" si="84"/>
        <v>0</v>
      </c>
      <c r="Q407">
        <f t="shared" si="85"/>
        <v>0</v>
      </c>
      <c r="R407">
        <v>0</v>
      </c>
      <c r="S407">
        <v>0</v>
      </c>
      <c r="T407">
        <v>0</v>
      </c>
      <c r="U407">
        <v>0</v>
      </c>
      <c r="V407">
        <v>0</v>
      </c>
      <c r="W407">
        <v>0</v>
      </c>
      <c r="X407">
        <v>0</v>
      </c>
      <c r="Y407">
        <v>0</v>
      </c>
      <c r="Z407">
        <v>0</v>
      </c>
      <c r="AA407">
        <v>0</v>
      </c>
      <c r="AB407">
        <v>0</v>
      </c>
      <c r="AC407">
        <v>0</v>
      </c>
      <c r="AD407">
        <v>0</v>
      </c>
      <c r="AE407">
        <v>0</v>
      </c>
      <c r="AF407">
        <v>0</v>
      </c>
      <c r="AG407">
        <v>0</v>
      </c>
      <c r="AH407">
        <v>1</v>
      </c>
      <c r="AI407">
        <v>0</v>
      </c>
      <c r="AJ407">
        <v>0</v>
      </c>
      <c r="AK407">
        <v>0</v>
      </c>
      <c r="AL407">
        <v>0</v>
      </c>
      <c r="AM407">
        <v>0</v>
      </c>
      <c r="AN407">
        <v>0</v>
      </c>
      <c r="AO407">
        <v>0</v>
      </c>
      <c r="AP407">
        <v>0</v>
      </c>
      <c r="AQ407">
        <v>0</v>
      </c>
      <c r="AR407">
        <v>0</v>
      </c>
      <c r="AS407">
        <f t="shared" si="86"/>
        <v>1</v>
      </c>
      <c r="AT407">
        <f t="shared" si="87"/>
        <v>1</v>
      </c>
      <c r="AU407" s="3" t="s">
        <v>129</v>
      </c>
      <c r="AV407">
        <f t="shared" si="88"/>
        <v>1</v>
      </c>
      <c r="AW407">
        <f t="shared" si="89"/>
        <v>0</v>
      </c>
      <c r="AX407">
        <f t="shared" si="90"/>
        <v>0</v>
      </c>
      <c r="AY407">
        <v>1.5</v>
      </c>
      <c r="AZ407" t="s">
        <v>60</v>
      </c>
      <c r="BA407" t="s">
        <v>61</v>
      </c>
      <c r="BB407" t="s">
        <v>8</v>
      </c>
    </row>
    <row r="408" ht="387" spans="1:54">
      <c r="A408" t="s">
        <v>1421</v>
      </c>
      <c r="B408" t="s">
        <v>1041</v>
      </c>
      <c r="C408" t="s">
        <v>56</v>
      </c>
      <c r="D408">
        <v>2</v>
      </c>
      <c r="E408">
        <v>0</v>
      </c>
      <c r="F408">
        <v>34.3</v>
      </c>
      <c r="G408" t="s">
        <v>375</v>
      </c>
      <c r="H408" s="3" t="s">
        <v>1422</v>
      </c>
      <c r="I408" s="3" t="s">
        <v>1423</v>
      </c>
      <c r="J408">
        <f t="shared" si="78"/>
        <v>1</v>
      </c>
      <c r="K408">
        <f t="shared" si="79"/>
        <v>0</v>
      </c>
      <c r="L408">
        <f t="shared" si="80"/>
        <v>0</v>
      </c>
      <c r="M408">
        <f t="shared" si="81"/>
        <v>0</v>
      </c>
      <c r="N408">
        <f t="shared" si="82"/>
        <v>0</v>
      </c>
      <c r="O408">
        <f t="shared" si="83"/>
        <v>1</v>
      </c>
      <c r="P408">
        <f t="shared" si="84"/>
        <v>0</v>
      </c>
      <c r="Q408">
        <f t="shared" si="85"/>
        <v>0</v>
      </c>
      <c r="R408">
        <v>1</v>
      </c>
      <c r="S408">
        <v>0</v>
      </c>
      <c r="T408">
        <v>0</v>
      </c>
      <c r="U408">
        <v>0</v>
      </c>
      <c r="V408">
        <v>0</v>
      </c>
      <c r="W408">
        <v>0</v>
      </c>
      <c r="X408">
        <v>0</v>
      </c>
      <c r="Y408">
        <v>0</v>
      </c>
      <c r="Z408">
        <v>0</v>
      </c>
      <c r="AA408">
        <v>0</v>
      </c>
      <c r="AB408">
        <v>0</v>
      </c>
      <c r="AC408">
        <v>0</v>
      </c>
      <c r="AD408">
        <v>0</v>
      </c>
      <c r="AE408">
        <v>0</v>
      </c>
      <c r="AF408">
        <v>0</v>
      </c>
      <c r="AG408">
        <v>0</v>
      </c>
      <c r="AH408">
        <v>0</v>
      </c>
      <c r="AI408">
        <v>1</v>
      </c>
      <c r="AJ408">
        <v>0</v>
      </c>
      <c r="AK408">
        <v>0</v>
      </c>
      <c r="AL408">
        <v>0</v>
      </c>
      <c r="AM408">
        <v>0</v>
      </c>
      <c r="AN408">
        <v>0</v>
      </c>
      <c r="AO408">
        <v>0</v>
      </c>
      <c r="AP408">
        <v>0</v>
      </c>
      <c r="AQ408">
        <v>0</v>
      </c>
      <c r="AR408">
        <v>0</v>
      </c>
      <c r="AS408">
        <f t="shared" si="86"/>
        <v>2</v>
      </c>
      <c r="AT408">
        <f t="shared" si="87"/>
        <v>2</v>
      </c>
      <c r="AU408" s="3" t="s">
        <v>1424</v>
      </c>
      <c r="AV408">
        <f t="shared" si="88"/>
        <v>1</v>
      </c>
      <c r="AW408">
        <f t="shared" si="89"/>
        <v>0</v>
      </c>
      <c r="AX408">
        <f t="shared" si="90"/>
        <v>0</v>
      </c>
      <c r="AY408">
        <v>7</v>
      </c>
      <c r="AZ408" t="s">
        <v>60</v>
      </c>
      <c r="BA408" t="s">
        <v>61</v>
      </c>
      <c r="BB408" t="s">
        <v>8</v>
      </c>
    </row>
    <row r="409" ht="336" spans="1:54">
      <c r="A409" t="s">
        <v>1425</v>
      </c>
      <c r="B409" t="s">
        <v>1041</v>
      </c>
      <c r="C409" t="s">
        <v>116</v>
      </c>
      <c r="D409">
        <v>57</v>
      </c>
      <c r="E409">
        <v>3</v>
      </c>
      <c r="F409">
        <v>7.2</v>
      </c>
      <c r="G409" t="s">
        <v>375</v>
      </c>
      <c r="H409" s="3" t="s">
        <v>1426</v>
      </c>
      <c r="I409" s="3" t="s">
        <v>1427</v>
      </c>
      <c r="J409">
        <f t="shared" si="78"/>
        <v>1</v>
      </c>
      <c r="K409">
        <f t="shared" si="79"/>
        <v>1</v>
      </c>
      <c r="L409">
        <f t="shared" si="80"/>
        <v>0</v>
      </c>
      <c r="M409">
        <f t="shared" si="81"/>
        <v>1</v>
      </c>
      <c r="N409">
        <f t="shared" si="82"/>
        <v>0</v>
      </c>
      <c r="O409">
        <f t="shared" si="83"/>
        <v>0</v>
      </c>
      <c r="P409">
        <f t="shared" si="84"/>
        <v>0</v>
      </c>
      <c r="Q409">
        <f t="shared" si="85"/>
        <v>0</v>
      </c>
      <c r="R409">
        <v>1</v>
      </c>
      <c r="S409">
        <v>1</v>
      </c>
      <c r="T409">
        <v>0</v>
      </c>
      <c r="U409">
        <v>1</v>
      </c>
      <c r="V409">
        <v>0</v>
      </c>
      <c r="W409">
        <v>0</v>
      </c>
      <c r="X409">
        <v>0</v>
      </c>
      <c r="Y409">
        <v>0</v>
      </c>
      <c r="Z409">
        <v>0</v>
      </c>
      <c r="AA409">
        <v>0</v>
      </c>
      <c r="AB409">
        <v>0</v>
      </c>
      <c r="AC409">
        <v>0</v>
      </c>
      <c r="AD409">
        <v>1</v>
      </c>
      <c r="AE409">
        <v>0</v>
      </c>
      <c r="AF409">
        <v>0</v>
      </c>
      <c r="AG409">
        <v>0</v>
      </c>
      <c r="AH409">
        <v>0</v>
      </c>
      <c r="AI409">
        <v>0</v>
      </c>
      <c r="AJ409">
        <v>0</v>
      </c>
      <c r="AK409">
        <v>0</v>
      </c>
      <c r="AL409">
        <v>0</v>
      </c>
      <c r="AM409">
        <v>0</v>
      </c>
      <c r="AN409">
        <v>0</v>
      </c>
      <c r="AO409">
        <v>0</v>
      </c>
      <c r="AP409">
        <v>0</v>
      </c>
      <c r="AQ409">
        <v>0</v>
      </c>
      <c r="AR409">
        <v>0</v>
      </c>
      <c r="AS409">
        <f t="shared" si="86"/>
        <v>3</v>
      </c>
      <c r="AT409">
        <f t="shared" si="87"/>
        <v>4</v>
      </c>
      <c r="AU409" s="3" t="s">
        <v>1428</v>
      </c>
      <c r="AV409">
        <f t="shared" si="88"/>
        <v>1</v>
      </c>
      <c r="AW409">
        <f t="shared" si="89"/>
        <v>0</v>
      </c>
      <c r="AX409">
        <f t="shared" si="90"/>
        <v>0</v>
      </c>
      <c r="AY409">
        <v>3.5</v>
      </c>
      <c r="AZ409" t="s">
        <v>60</v>
      </c>
      <c r="BA409" t="s">
        <v>61</v>
      </c>
      <c r="BB409" t="s">
        <v>8</v>
      </c>
    </row>
    <row r="410" ht="17" spans="1:54">
      <c r="A410" t="s">
        <v>1429</v>
      </c>
      <c r="B410" t="s">
        <v>1041</v>
      </c>
      <c r="C410" t="s">
        <v>56</v>
      </c>
      <c r="D410">
        <v>0</v>
      </c>
      <c r="E410">
        <v>0</v>
      </c>
      <c r="F410">
        <v>158.4</v>
      </c>
      <c r="G410" t="s">
        <v>495</v>
      </c>
      <c r="H410" s="3" t="s">
        <v>1430</v>
      </c>
      <c r="I410" s="3" t="s">
        <v>1431</v>
      </c>
      <c r="J410">
        <f t="shared" si="78"/>
        <v>0</v>
      </c>
      <c r="K410">
        <f t="shared" si="79"/>
        <v>0</v>
      </c>
      <c r="L410">
        <f t="shared" si="80"/>
        <v>0</v>
      </c>
      <c r="M410">
        <f t="shared" si="81"/>
        <v>0</v>
      </c>
      <c r="N410">
        <f t="shared" si="82"/>
        <v>0</v>
      </c>
      <c r="O410">
        <f t="shared" si="83"/>
        <v>0</v>
      </c>
      <c r="P410">
        <f t="shared" si="84"/>
        <v>0</v>
      </c>
      <c r="Q410">
        <f t="shared" si="85"/>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f t="shared" si="86"/>
        <v>0</v>
      </c>
      <c r="AT410">
        <f t="shared" si="87"/>
        <v>0</v>
      </c>
      <c r="AU410" s="3" t="s">
        <v>118</v>
      </c>
      <c r="AV410">
        <f t="shared" si="88"/>
        <v>0</v>
      </c>
      <c r="AW410">
        <f t="shared" si="89"/>
        <v>1</v>
      </c>
      <c r="AX410">
        <f t="shared" si="90"/>
        <v>0</v>
      </c>
      <c r="AY410">
        <v>-1</v>
      </c>
      <c r="AZ410" t="s">
        <v>133</v>
      </c>
      <c r="BA410" t="s">
        <v>134</v>
      </c>
      <c r="BB410" t="s">
        <v>8</v>
      </c>
    </row>
    <row r="411" ht="185" spans="1:54">
      <c r="A411" t="s">
        <v>1432</v>
      </c>
      <c r="B411" t="s">
        <v>1041</v>
      </c>
      <c r="C411" t="s">
        <v>56</v>
      </c>
      <c r="D411">
        <v>18</v>
      </c>
      <c r="E411">
        <v>2</v>
      </c>
      <c r="F411">
        <v>5.7</v>
      </c>
      <c r="G411" t="s">
        <v>375</v>
      </c>
      <c r="H411" s="3" t="s">
        <v>1433</v>
      </c>
      <c r="I411" s="3" t="s">
        <v>1434</v>
      </c>
      <c r="J411">
        <f t="shared" si="78"/>
        <v>0</v>
      </c>
      <c r="K411">
        <f t="shared" si="79"/>
        <v>1</v>
      </c>
      <c r="L411">
        <f t="shared" si="80"/>
        <v>0</v>
      </c>
      <c r="M411">
        <f t="shared" si="81"/>
        <v>0</v>
      </c>
      <c r="N411">
        <f t="shared" si="82"/>
        <v>1</v>
      </c>
      <c r="O411">
        <f t="shared" si="83"/>
        <v>1</v>
      </c>
      <c r="P411">
        <f t="shared" si="84"/>
        <v>0</v>
      </c>
      <c r="Q411">
        <f t="shared" si="85"/>
        <v>0</v>
      </c>
      <c r="R411">
        <v>0</v>
      </c>
      <c r="S411">
        <v>0</v>
      </c>
      <c r="T411">
        <v>0</v>
      </c>
      <c r="U411">
        <v>1</v>
      </c>
      <c r="V411">
        <v>0</v>
      </c>
      <c r="W411">
        <v>0</v>
      </c>
      <c r="X411">
        <v>0</v>
      </c>
      <c r="Y411">
        <v>0</v>
      </c>
      <c r="Z411">
        <v>0</v>
      </c>
      <c r="AA411">
        <v>0</v>
      </c>
      <c r="AB411">
        <v>0</v>
      </c>
      <c r="AC411">
        <v>0</v>
      </c>
      <c r="AD411">
        <v>0</v>
      </c>
      <c r="AE411">
        <v>0</v>
      </c>
      <c r="AF411">
        <v>0</v>
      </c>
      <c r="AG411">
        <v>1</v>
      </c>
      <c r="AH411">
        <v>1</v>
      </c>
      <c r="AI411">
        <v>1</v>
      </c>
      <c r="AJ411">
        <v>0</v>
      </c>
      <c r="AK411">
        <v>0</v>
      </c>
      <c r="AL411">
        <v>0</v>
      </c>
      <c r="AM411">
        <v>0</v>
      </c>
      <c r="AN411">
        <v>0</v>
      </c>
      <c r="AO411">
        <v>0</v>
      </c>
      <c r="AP411">
        <v>0</v>
      </c>
      <c r="AQ411">
        <v>0</v>
      </c>
      <c r="AR411">
        <v>0</v>
      </c>
      <c r="AS411">
        <f t="shared" si="86"/>
        <v>3</v>
      </c>
      <c r="AT411">
        <f t="shared" si="87"/>
        <v>4</v>
      </c>
      <c r="AU411" s="3" t="s">
        <v>1435</v>
      </c>
      <c r="AV411">
        <f t="shared" si="88"/>
        <v>1</v>
      </c>
      <c r="AW411">
        <f t="shared" si="89"/>
        <v>0</v>
      </c>
      <c r="AX411">
        <f t="shared" si="90"/>
        <v>0</v>
      </c>
      <c r="AY411">
        <v>4.5</v>
      </c>
      <c r="AZ411" t="s">
        <v>60</v>
      </c>
      <c r="BA411" t="s">
        <v>61</v>
      </c>
      <c r="BB411" t="s">
        <v>8</v>
      </c>
    </row>
    <row r="412" ht="68" spans="1:54">
      <c r="A412" t="s">
        <v>1436</v>
      </c>
      <c r="B412" t="s">
        <v>1041</v>
      </c>
      <c r="C412" t="s">
        <v>56</v>
      </c>
      <c r="D412">
        <v>0</v>
      </c>
      <c r="E412">
        <v>0</v>
      </c>
      <c r="F412">
        <v>7.1</v>
      </c>
      <c r="G412" t="s">
        <v>402</v>
      </c>
      <c r="H412" s="3" t="s">
        <v>1437</v>
      </c>
      <c r="I412" s="3" t="s">
        <v>1437</v>
      </c>
      <c r="J412">
        <f t="shared" si="78"/>
        <v>0</v>
      </c>
      <c r="K412">
        <f t="shared" si="79"/>
        <v>0</v>
      </c>
      <c r="L412">
        <f t="shared" si="80"/>
        <v>0</v>
      </c>
      <c r="M412">
        <f t="shared" si="81"/>
        <v>0</v>
      </c>
      <c r="N412">
        <f t="shared" si="82"/>
        <v>0</v>
      </c>
      <c r="O412">
        <f t="shared" si="83"/>
        <v>0</v>
      </c>
      <c r="P412">
        <f t="shared" si="84"/>
        <v>0</v>
      </c>
      <c r="Q412">
        <f t="shared" si="85"/>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f t="shared" si="86"/>
        <v>0</v>
      </c>
      <c r="AT412">
        <f t="shared" si="87"/>
        <v>0</v>
      </c>
      <c r="AU412" s="3" t="s">
        <v>118</v>
      </c>
      <c r="AV412">
        <f t="shared" si="88"/>
        <v>0</v>
      </c>
      <c r="AW412">
        <f t="shared" si="89"/>
        <v>1</v>
      </c>
      <c r="AX412">
        <f t="shared" si="90"/>
        <v>0</v>
      </c>
      <c r="AY412">
        <v>0</v>
      </c>
      <c r="AZ412" t="s">
        <v>147</v>
      </c>
      <c r="BA412" t="s">
        <v>148</v>
      </c>
      <c r="BB412" t="s">
        <v>8</v>
      </c>
    </row>
    <row r="413" ht="51" spans="1:54">
      <c r="A413" t="s">
        <v>1438</v>
      </c>
      <c r="B413" t="s">
        <v>1041</v>
      </c>
      <c r="C413" t="s">
        <v>56</v>
      </c>
      <c r="D413">
        <v>0</v>
      </c>
      <c r="E413">
        <v>0</v>
      </c>
      <c r="F413">
        <v>11.2</v>
      </c>
      <c r="G413" t="s">
        <v>402</v>
      </c>
      <c r="H413" s="3" t="s">
        <v>1439</v>
      </c>
      <c r="I413" s="3" t="s">
        <v>1440</v>
      </c>
      <c r="J413">
        <f t="shared" si="78"/>
        <v>1</v>
      </c>
      <c r="K413">
        <f t="shared" si="79"/>
        <v>0</v>
      </c>
      <c r="L413">
        <f t="shared" si="80"/>
        <v>0</v>
      </c>
      <c r="M413">
        <f t="shared" si="81"/>
        <v>0</v>
      </c>
      <c r="N413">
        <f t="shared" si="82"/>
        <v>1</v>
      </c>
      <c r="O413">
        <f t="shared" si="83"/>
        <v>0</v>
      </c>
      <c r="P413">
        <f t="shared" si="84"/>
        <v>0</v>
      </c>
      <c r="Q413">
        <f t="shared" si="85"/>
        <v>0</v>
      </c>
      <c r="R413">
        <v>1</v>
      </c>
      <c r="S413">
        <v>1</v>
      </c>
      <c r="T413">
        <v>0</v>
      </c>
      <c r="U413">
        <v>0</v>
      </c>
      <c r="V413">
        <v>0</v>
      </c>
      <c r="W413">
        <v>0</v>
      </c>
      <c r="X413">
        <v>0</v>
      </c>
      <c r="Y413">
        <v>0</v>
      </c>
      <c r="Z413">
        <v>0</v>
      </c>
      <c r="AA413">
        <v>0</v>
      </c>
      <c r="AB413">
        <v>0</v>
      </c>
      <c r="AC413">
        <v>0</v>
      </c>
      <c r="AD413">
        <v>0</v>
      </c>
      <c r="AE413">
        <v>0</v>
      </c>
      <c r="AF413">
        <v>0</v>
      </c>
      <c r="AG413">
        <v>0</v>
      </c>
      <c r="AH413">
        <v>1</v>
      </c>
      <c r="AI413">
        <v>0</v>
      </c>
      <c r="AJ413">
        <v>0</v>
      </c>
      <c r="AK413">
        <v>0</v>
      </c>
      <c r="AL413">
        <v>0</v>
      </c>
      <c r="AM413">
        <v>0</v>
      </c>
      <c r="AN413">
        <v>0</v>
      </c>
      <c r="AO413">
        <v>0</v>
      </c>
      <c r="AP413">
        <v>0</v>
      </c>
      <c r="AQ413">
        <v>0</v>
      </c>
      <c r="AR413">
        <v>0</v>
      </c>
      <c r="AS413">
        <f t="shared" si="86"/>
        <v>2</v>
      </c>
      <c r="AT413">
        <f t="shared" si="87"/>
        <v>3</v>
      </c>
      <c r="AU413" s="3" t="s">
        <v>1183</v>
      </c>
      <c r="AV413">
        <f t="shared" si="88"/>
        <v>1</v>
      </c>
      <c r="AW413">
        <f t="shared" si="89"/>
        <v>0</v>
      </c>
      <c r="AX413">
        <f t="shared" si="90"/>
        <v>0</v>
      </c>
      <c r="AY413">
        <v>7.5</v>
      </c>
      <c r="AZ413" t="s">
        <v>60</v>
      </c>
      <c r="BA413" t="s">
        <v>61</v>
      </c>
      <c r="BB413" t="s">
        <v>8</v>
      </c>
    </row>
    <row r="414" ht="409.5" spans="1:54">
      <c r="A414" t="s">
        <v>1441</v>
      </c>
      <c r="B414" t="s">
        <v>1041</v>
      </c>
      <c r="C414" t="s">
        <v>116</v>
      </c>
      <c r="D414">
        <v>23</v>
      </c>
      <c r="E414">
        <v>2</v>
      </c>
      <c r="F414">
        <v>40.2</v>
      </c>
      <c r="G414" t="s">
        <v>402</v>
      </c>
      <c r="H414" s="3" t="s">
        <v>1442</v>
      </c>
      <c r="I414" s="3" t="s">
        <v>1443</v>
      </c>
      <c r="J414">
        <f t="shared" si="78"/>
        <v>1</v>
      </c>
      <c r="K414">
        <f t="shared" si="79"/>
        <v>1</v>
      </c>
      <c r="L414">
        <f t="shared" si="80"/>
        <v>1</v>
      </c>
      <c r="M414">
        <f t="shared" si="81"/>
        <v>0</v>
      </c>
      <c r="N414">
        <f t="shared" si="82"/>
        <v>1</v>
      </c>
      <c r="O414">
        <f t="shared" si="83"/>
        <v>1</v>
      </c>
      <c r="P414">
        <f t="shared" si="84"/>
        <v>0</v>
      </c>
      <c r="Q414">
        <f t="shared" si="85"/>
        <v>0</v>
      </c>
      <c r="R414">
        <v>1</v>
      </c>
      <c r="S414">
        <v>0</v>
      </c>
      <c r="T414">
        <v>1</v>
      </c>
      <c r="U414">
        <v>1</v>
      </c>
      <c r="V414">
        <v>1</v>
      </c>
      <c r="W414">
        <v>1</v>
      </c>
      <c r="X414">
        <v>1</v>
      </c>
      <c r="Y414">
        <v>0</v>
      </c>
      <c r="Z414">
        <v>0</v>
      </c>
      <c r="AA414">
        <v>0</v>
      </c>
      <c r="AB414">
        <v>1</v>
      </c>
      <c r="AC414">
        <v>0</v>
      </c>
      <c r="AD414">
        <v>0</v>
      </c>
      <c r="AE414">
        <v>0</v>
      </c>
      <c r="AF414">
        <v>0</v>
      </c>
      <c r="AG414">
        <v>1</v>
      </c>
      <c r="AH414">
        <v>1</v>
      </c>
      <c r="AI414">
        <v>1</v>
      </c>
      <c r="AJ414">
        <v>0</v>
      </c>
      <c r="AK414">
        <v>0</v>
      </c>
      <c r="AL414">
        <v>0</v>
      </c>
      <c r="AM414">
        <v>0</v>
      </c>
      <c r="AN414">
        <v>0</v>
      </c>
      <c r="AO414">
        <v>0</v>
      </c>
      <c r="AP414">
        <v>0</v>
      </c>
      <c r="AQ414">
        <v>0</v>
      </c>
      <c r="AR414">
        <v>0</v>
      </c>
      <c r="AS414">
        <f t="shared" si="86"/>
        <v>5</v>
      </c>
      <c r="AT414">
        <f t="shared" si="87"/>
        <v>10</v>
      </c>
      <c r="AU414" s="3" t="s">
        <v>1444</v>
      </c>
      <c r="AV414">
        <f t="shared" si="88"/>
        <v>1</v>
      </c>
      <c r="AW414">
        <f t="shared" si="89"/>
        <v>0</v>
      </c>
      <c r="AX414">
        <f t="shared" si="90"/>
        <v>1</v>
      </c>
      <c r="AY414">
        <v>7.5</v>
      </c>
      <c r="AZ414" t="s">
        <v>60</v>
      </c>
      <c r="BA414" t="s">
        <v>61</v>
      </c>
      <c r="BB414" t="s">
        <v>8</v>
      </c>
    </row>
    <row r="415" ht="34" spans="1:54">
      <c r="A415" t="s">
        <v>1445</v>
      </c>
      <c r="B415" t="s">
        <v>1041</v>
      </c>
      <c r="C415" t="s">
        <v>56</v>
      </c>
      <c r="D415">
        <v>0</v>
      </c>
      <c r="E415">
        <v>0</v>
      </c>
      <c r="F415">
        <v>12.4</v>
      </c>
      <c r="G415" t="s">
        <v>402</v>
      </c>
      <c r="H415" s="3" t="s">
        <v>1446</v>
      </c>
      <c r="I415" s="3" t="s">
        <v>1446</v>
      </c>
      <c r="J415">
        <f t="shared" si="78"/>
        <v>1</v>
      </c>
      <c r="K415">
        <f t="shared" si="79"/>
        <v>1</v>
      </c>
      <c r="L415">
        <f t="shared" si="80"/>
        <v>1</v>
      </c>
      <c r="M415">
        <f t="shared" si="81"/>
        <v>1</v>
      </c>
      <c r="N415">
        <f t="shared" si="82"/>
        <v>0</v>
      </c>
      <c r="O415">
        <f t="shared" si="83"/>
        <v>0</v>
      </c>
      <c r="P415">
        <f t="shared" si="84"/>
        <v>0</v>
      </c>
      <c r="Q415">
        <f t="shared" si="85"/>
        <v>1</v>
      </c>
      <c r="R415">
        <v>1</v>
      </c>
      <c r="S415">
        <v>1</v>
      </c>
      <c r="T415">
        <v>0</v>
      </c>
      <c r="U415">
        <v>1</v>
      </c>
      <c r="V415">
        <v>0</v>
      </c>
      <c r="W415">
        <v>0</v>
      </c>
      <c r="X415">
        <v>0</v>
      </c>
      <c r="Y415">
        <v>0</v>
      </c>
      <c r="Z415">
        <v>0</v>
      </c>
      <c r="AA415">
        <v>1</v>
      </c>
      <c r="AB415">
        <v>0</v>
      </c>
      <c r="AC415">
        <v>0</v>
      </c>
      <c r="AD415">
        <v>1</v>
      </c>
      <c r="AE415">
        <v>0</v>
      </c>
      <c r="AF415">
        <v>0</v>
      </c>
      <c r="AG415">
        <v>0</v>
      </c>
      <c r="AH415">
        <v>0</v>
      </c>
      <c r="AI415">
        <v>0</v>
      </c>
      <c r="AJ415">
        <v>0</v>
      </c>
      <c r="AK415">
        <v>0</v>
      </c>
      <c r="AL415">
        <v>0</v>
      </c>
      <c r="AM415">
        <v>0</v>
      </c>
      <c r="AN415">
        <v>0</v>
      </c>
      <c r="AO415">
        <v>0</v>
      </c>
      <c r="AP415">
        <v>0</v>
      </c>
      <c r="AQ415">
        <v>0</v>
      </c>
      <c r="AR415">
        <v>1</v>
      </c>
      <c r="AS415">
        <f t="shared" si="86"/>
        <v>5</v>
      </c>
      <c r="AT415">
        <f t="shared" si="87"/>
        <v>6</v>
      </c>
      <c r="AU415" s="3" t="s">
        <v>1447</v>
      </c>
      <c r="AV415">
        <f t="shared" si="88"/>
        <v>1</v>
      </c>
      <c r="AW415">
        <f t="shared" si="89"/>
        <v>0</v>
      </c>
      <c r="AX415">
        <f t="shared" si="90"/>
        <v>0</v>
      </c>
      <c r="AY415">
        <v>6.5</v>
      </c>
      <c r="AZ415" t="s">
        <v>60</v>
      </c>
      <c r="BA415" t="s">
        <v>61</v>
      </c>
      <c r="BB415" t="s">
        <v>8</v>
      </c>
    </row>
    <row r="416" ht="51" spans="1:54">
      <c r="A416" t="s">
        <v>1448</v>
      </c>
      <c r="B416" t="s">
        <v>1041</v>
      </c>
      <c r="C416" t="s">
        <v>56</v>
      </c>
      <c r="D416">
        <v>6</v>
      </c>
      <c r="E416">
        <v>0</v>
      </c>
      <c r="F416">
        <v>100.6</v>
      </c>
      <c r="G416" t="s">
        <v>402</v>
      </c>
      <c r="H416" s="3" t="s">
        <v>1449</v>
      </c>
      <c r="I416" s="3" t="s">
        <v>1450</v>
      </c>
      <c r="J416">
        <f t="shared" si="78"/>
        <v>0</v>
      </c>
      <c r="K416">
        <f t="shared" si="79"/>
        <v>0</v>
      </c>
      <c r="L416">
        <f t="shared" si="80"/>
        <v>0</v>
      </c>
      <c r="M416">
        <f t="shared" si="81"/>
        <v>0</v>
      </c>
      <c r="N416">
        <f t="shared" si="82"/>
        <v>1</v>
      </c>
      <c r="O416">
        <f t="shared" si="83"/>
        <v>1</v>
      </c>
      <c r="P416">
        <f t="shared" si="84"/>
        <v>0</v>
      </c>
      <c r="Q416">
        <f t="shared" si="85"/>
        <v>0</v>
      </c>
      <c r="R416">
        <v>0</v>
      </c>
      <c r="S416">
        <v>0</v>
      </c>
      <c r="T416">
        <v>0</v>
      </c>
      <c r="U416">
        <v>0</v>
      </c>
      <c r="V416">
        <v>0</v>
      </c>
      <c r="W416">
        <v>0</v>
      </c>
      <c r="X416">
        <v>0</v>
      </c>
      <c r="Y416">
        <v>0</v>
      </c>
      <c r="Z416">
        <v>0</v>
      </c>
      <c r="AA416">
        <v>0</v>
      </c>
      <c r="AB416">
        <v>0</v>
      </c>
      <c r="AC416">
        <v>0</v>
      </c>
      <c r="AD416">
        <v>0</v>
      </c>
      <c r="AE416">
        <v>0</v>
      </c>
      <c r="AF416">
        <v>0</v>
      </c>
      <c r="AG416">
        <v>0</v>
      </c>
      <c r="AH416">
        <v>1</v>
      </c>
      <c r="AI416">
        <v>1</v>
      </c>
      <c r="AJ416">
        <v>0</v>
      </c>
      <c r="AK416">
        <v>0</v>
      </c>
      <c r="AL416">
        <v>1</v>
      </c>
      <c r="AM416">
        <v>0</v>
      </c>
      <c r="AN416">
        <v>0</v>
      </c>
      <c r="AO416">
        <v>0</v>
      </c>
      <c r="AP416">
        <v>0</v>
      </c>
      <c r="AQ416">
        <v>0</v>
      </c>
      <c r="AR416">
        <v>0</v>
      </c>
      <c r="AS416">
        <f t="shared" si="86"/>
        <v>2</v>
      </c>
      <c r="AT416">
        <f t="shared" si="87"/>
        <v>3</v>
      </c>
      <c r="AU416" s="3" t="s">
        <v>224</v>
      </c>
      <c r="AV416">
        <f t="shared" si="88"/>
        <v>1</v>
      </c>
      <c r="AW416">
        <f t="shared" si="89"/>
        <v>0</v>
      </c>
      <c r="AX416">
        <f t="shared" si="90"/>
        <v>0</v>
      </c>
      <c r="AY416">
        <v>6.5</v>
      </c>
      <c r="AZ416" t="s">
        <v>60</v>
      </c>
      <c r="BA416" t="s">
        <v>61</v>
      </c>
      <c r="BB416" t="s">
        <v>8</v>
      </c>
    </row>
    <row r="417" ht="51" spans="1:54">
      <c r="A417" t="s">
        <v>1451</v>
      </c>
      <c r="B417" t="s">
        <v>1041</v>
      </c>
      <c r="C417" t="s">
        <v>116</v>
      </c>
      <c r="D417">
        <v>0</v>
      </c>
      <c r="E417">
        <v>0</v>
      </c>
      <c r="F417">
        <v>39.6</v>
      </c>
      <c r="G417" t="s">
        <v>402</v>
      </c>
      <c r="H417" s="3" t="s">
        <v>1452</v>
      </c>
      <c r="I417" s="3" t="s">
        <v>1453</v>
      </c>
      <c r="J417">
        <f t="shared" si="78"/>
        <v>0</v>
      </c>
      <c r="K417">
        <f t="shared" si="79"/>
        <v>1</v>
      </c>
      <c r="L417">
        <f t="shared" si="80"/>
        <v>0</v>
      </c>
      <c r="M417">
        <f t="shared" si="81"/>
        <v>0</v>
      </c>
      <c r="N417">
        <f t="shared" si="82"/>
        <v>0</v>
      </c>
      <c r="O417">
        <f t="shared" si="83"/>
        <v>0</v>
      </c>
      <c r="P417">
        <f t="shared" si="84"/>
        <v>0</v>
      </c>
      <c r="Q417">
        <f t="shared" si="85"/>
        <v>0</v>
      </c>
      <c r="R417">
        <v>0</v>
      </c>
      <c r="S417">
        <v>0</v>
      </c>
      <c r="T417">
        <v>0</v>
      </c>
      <c r="U417">
        <v>0</v>
      </c>
      <c r="V417">
        <v>1</v>
      </c>
      <c r="W417">
        <v>1</v>
      </c>
      <c r="X417">
        <v>0</v>
      </c>
      <c r="Y417">
        <v>1</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f t="shared" si="86"/>
        <v>1</v>
      </c>
      <c r="AT417">
        <f t="shared" si="87"/>
        <v>3</v>
      </c>
      <c r="AU417" s="3" t="s">
        <v>1454</v>
      </c>
      <c r="AV417">
        <f t="shared" si="88"/>
        <v>1</v>
      </c>
      <c r="AW417">
        <f t="shared" si="89"/>
        <v>0</v>
      </c>
      <c r="AX417">
        <f t="shared" si="90"/>
        <v>0</v>
      </c>
      <c r="AY417">
        <v>2</v>
      </c>
      <c r="AZ417" t="s">
        <v>60</v>
      </c>
      <c r="BA417" t="s">
        <v>61</v>
      </c>
      <c r="BB417" t="s">
        <v>8</v>
      </c>
    </row>
    <row r="418" ht="34" spans="1:54">
      <c r="A418" t="s">
        <v>1455</v>
      </c>
      <c r="B418" t="s">
        <v>1041</v>
      </c>
      <c r="C418" t="s">
        <v>116</v>
      </c>
      <c r="D418">
        <v>2</v>
      </c>
      <c r="E418">
        <v>1</v>
      </c>
      <c r="F418">
        <v>1.7</v>
      </c>
      <c r="G418" t="s">
        <v>402</v>
      </c>
      <c r="H418" s="3" t="s">
        <v>1456</v>
      </c>
      <c r="I418" s="3" t="s">
        <v>1457</v>
      </c>
      <c r="J418">
        <f t="shared" si="78"/>
        <v>1</v>
      </c>
      <c r="K418">
        <f t="shared" si="79"/>
        <v>1</v>
      </c>
      <c r="L418">
        <f t="shared" si="80"/>
        <v>0</v>
      </c>
      <c r="M418">
        <f t="shared" si="81"/>
        <v>0</v>
      </c>
      <c r="N418">
        <f t="shared" si="82"/>
        <v>1</v>
      </c>
      <c r="O418">
        <f t="shared" si="83"/>
        <v>0</v>
      </c>
      <c r="P418">
        <f t="shared" si="84"/>
        <v>0</v>
      </c>
      <c r="Q418">
        <f t="shared" si="85"/>
        <v>0</v>
      </c>
      <c r="R418">
        <v>1</v>
      </c>
      <c r="S418">
        <v>0</v>
      </c>
      <c r="T418">
        <v>0</v>
      </c>
      <c r="U418">
        <v>0</v>
      </c>
      <c r="V418">
        <v>1</v>
      </c>
      <c r="W418">
        <v>1</v>
      </c>
      <c r="X418">
        <v>0</v>
      </c>
      <c r="Y418">
        <v>0</v>
      </c>
      <c r="Z418">
        <v>0</v>
      </c>
      <c r="AA418">
        <v>0</v>
      </c>
      <c r="AB418">
        <v>0</v>
      </c>
      <c r="AC418">
        <v>0</v>
      </c>
      <c r="AD418">
        <v>0</v>
      </c>
      <c r="AE418">
        <v>0</v>
      </c>
      <c r="AF418">
        <v>0</v>
      </c>
      <c r="AG418">
        <v>0</v>
      </c>
      <c r="AH418">
        <v>1</v>
      </c>
      <c r="AI418">
        <v>0</v>
      </c>
      <c r="AJ418">
        <v>0</v>
      </c>
      <c r="AK418">
        <v>0</v>
      </c>
      <c r="AL418">
        <v>0</v>
      </c>
      <c r="AM418">
        <v>0</v>
      </c>
      <c r="AN418">
        <v>0</v>
      </c>
      <c r="AO418">
        <v>0</v>
      </c>
      <c r="AP418">
        <v>0</v>
      </c>
      <c r="AQ418">
        <v>0</v>
      </c>
      <c r="AR418">
        <v>0</v>
      </c>
      <c r="AS418">
        <f t="shared" si="86"/>
        <v>3</v>
      </c>
      <c r="AT418">
        <f t="shared" si="87"/>
        <v>4</v>
      </c>
      <c r="AU418" s="3" t="s">
        <v>1458</v>
      </c>
      <c r="AV418">
        <f t="shared" si="88"/>
        <v>1</v>
      </c>
      <c r="AW418">
        <f t="shared" si="89"/>
        <v>0</v>
      </c>
      <c r="AX418">
        <f t="shared" si="90"/>
        <v>0</v>
      </c>
      <c r="AY418">
        <v>2</v>
      </c>
      <c r="AZ418" t="s">
        <v>60</v>
      </c>
      <c r="BA418" t="s">
        <v>61</v>
      </c>
      <c r="BB418" t="s">
        <v>8</v>
      </c>
    </row>
    <row r="419" ht="409.5" spans="1:54">
      <c r="A419" t="s">
        <v>1459</v>
      </c>
      <c r="B419" t="s">
        <v>1041</v>
      </c>
      <c r="C419" t="s">
        <v>56</v>
      </c>
      <c r="D419">
        <v>7</v>
      </c>
      <c r="E419">
        <v>0</v>
      </c>
      <c r="F419">
        <v>88.7</v>
      </c>
      <c r="G419" t="s">
        <v>402</v>
      </c>
      <c r="H419" s="3" t="s">
        <v>1460</v>
      </c>
      <c r="I419" s="3" t="s">
        <v>1461</v>
      </c>
      <c r="J419">
        <f t="shared" si="78"/>
        <v>0</v>
      </c>
      <c r="K419">
        <f t="shared" si="79"/>
        <v>1</v>
      </c>
      <c r="L419">
        <f t="shared" si="80"/>
        <v>0</v>
      </c>
      <c r="M419">
        <f t="shared" si="81"/>
        <v>0</v>
      </c>
      <c r="N419">
        <f t="shared" si="82"/>
        <v>1</v>
      </c>
      <c r="O419">
        <f t="shared" si="83"/>
        <v>0</v>
      </c>
      <c r="P419">
        <f t="shared" si="84"/>
        <v>0</v>
      </c>
      <c r="Q419">
        <f t="shared" si="85"/>
        <v>0</v>
      </c>
      <c r="R419">
        <v>0</v>
      </c>
      <c r="S419">
        <v>0</v>
      </c>
      <c r="T419">
        <v>0</v>
      </c>
      <c r="U419">
        <v>1</v>
      </c>
      <c r="V419">
        <v>0</v>
      </c>
      <c r="W419">
        <v>1</v>
      </c>
      <c r="X419">
        <v>0</v>
      </c>
      <c r="Y419">
        <v>0</v>
      </c>
      <c r="Z419">
        <v>0</v>
      </c>
      <c r="AA419">
        <v>0</v>
      </c>
      <c r="AB419">
        <v>0</v>
      </c>
      <c r="AC419">
        <v>0</v>
      </c>
      <c r="AD419">
        <v>0</v>
      </c>
      <c r="AE419">
        <v>0</v>
      </c>
      <c r="AF419">
        <v>0</v>
      </c>
      <c r="AG419">
        <v>1</v>
      </c>
      <c r="AH419">
        <v>0</v>
      </c>
      <c r="AI419">
        <v>0</v>
      </c>
      <c r="AJ419">
        <v>0</v>
      </c>
      <c r="AK419">
        <v>0</v>
      </c>
      <c r="AL419">
        <v>0</v>
      </c>
      <c r="AM419">
        <v>0</v>
      </c>
      <c r="AN419">
        <v>0</v>
      </c>
      <c r="AO419">
        <v>0</v>
      </c>
      <c r="AP419">
        <v>0</v>
      </c>
      <c r="AQ419">
        <v>0</v>
      </c>
      <c r="AR419">
        <v>0</v>
      </c>
      <c r="AS419">
        <f t="shared" si="86"/>
        <v>2</v>
      </c>
      <c r="AT419">
        <f t="shared" si="87"/>
        <v>3</v>
      </c>
      <c r="AU419" s="3" t="s">
        <v>1462</v>
      </c>
      <c r="AV419">
        <f t="shared" si="88"/>
        <v>1</v>
      </c>
      <c r="AW419">
        <f t="shared" si="89"/>
        <v>0</v>
      </c>
      <c r="AX419">
        <f t="shared" si="90"/>
        <v>0</v>
      </c>
      <c r="AY419">
        <v>5.5</v>
      </c>
      <c r="AZ419" t="s">
        <v>60</v>
      </c>
      <c r="BA419" t="s">
        <v>61</v>
      </c>
      <c r="BB419" t="s">
        <v>8</v>
      </c>
    </row>
    <row r="420" ht="219" spans="1:54">
      <c r="A420" t="s">
        <v>1463</v>
      </c>
      <c r="B420" t="s">
        <v>1041</v>
      </c>
      <c r="C420" t="s">
        <v>56</v>
      </c>
      <c r="D420">
        <v>0</v>
      </c>
      <c r="E420">
        <v>0</v>
      </c>
      <c r="F420">
        <v>49.2</v>
      </c>
      <c r="G420" t="s">
        <v>402</v>
      </c>
      <c r="H420" s="3" t="s">
        <v>1464</v>
      </c>
      <c r="I420" s="3" t="s">
        <v>1465</v>
      </c>
      <c r="J420">
        <f t="shared" si="78"/>
        <v>1</v>
      </c>
      <c r="K420">
        <f t="shared" si="79"/>
        <v>1</v>
      </c>
      <c r="L420">
        <f t="shared" si="80"/>
        <v>0</v>
      </c>
      <c r="M420">
        <f t="shared" si="81"/>
        <v>0</v>
      </c>
      <c r="N420">
        <f t="shared" si="82"/>
        <v>1</v>
      </c>
      <c r="O420">
        <f t="shared" si="83"/>
        <v>0</v>
      </c>
      <c r="P420">
        <f t="shared" si="84"/>
        <v>0</v>
      </c>
      <c r="Q420">
        <f t="shared" si="85"/>
        <v>0</v>
      </c>
      <c r="R420">
        <v>0</v>
      </c>
      <c r="S420">
        <v>0</v>
      </c>
      <c r="T420">
        <v>1</v>
      </c>
      <c r="U420">
        <v>0</v>
      </c>
      <c r="V420">
        <v>1</v>
      </c>
      <c r="W420">
        <v>0</v>
      </c>
      <c r="X420">
        <v>0</v>
      </c>
      <c r="Y420">
        <v>1</v>
      </c>
      <c r="Z420">
        <v>0</v>
      </c>
      <c r="AA420">
        <v>0</v>
      </c>
      <c r="AB420">
        <v>0</v>
      </c>
      <c r="AC420">
        <v>0</v>
      </c>
      <c r="AD420">
        <v>0</v>
      </c>
      <c r="AE420">
        <v>0</v>
      </c>
      <c r="AF420">
        <v>0</v>
      </c>
      <c r="AG420">
        <v>0</v>
      </c>
      <c r="AH420">
        <v>1</v>
      </c>
      <c r="AI420">
        <v>0</v>
      </c>
      <c r="AJ420">
        <v>0</v>
      </c>
      <c r="AK420">
        <v>0</v>
      </c>
      <c r="AL420">
        <v>0</v>
      </c>
      <c r="AM420">
        <v>0</v>
      </c>
      <c r="AN420">
        <v>0</v>
      </c>
      <c r="AO420">
        <v>0</v>
      </c>
      <c r="AP420">
        <v>0</v>
      </c>
      <c r="AQ420">
        <v>0</v>
      </c>
      <c r="AR420">
        <v>0</v>
      </c>
      <c r="AS420">
        <f t="shared" si="86"/>
        <v>3</v>
      </c>
      <c r="AT420">
        <f t="shared" si="87"/>
        <v>4</v>
      </c>
      <c r="AU420" s="3" t="s">
        <v>1466</v>
      </c>
      <c r="AV420">
        <f t="shared" si="88"/>
        <v>1</v>
      </c>
      <c r="AW420">
        <f t="shared" si="89"/>
        <v>0</v>
      </c>
      <c r="AX420">
        <f t="shared" si="90"/>
        <v>0</v>
      </c>
      <c r="AY420">
        <v>5</v>
      </c>
      <c r="AZ420" t="s">
        <v>60</v>
      </c>
      <c r="BA420" t="s">
        <v>61</v>
      </c>
      <c r="BB420" t="s">
        <v>8</v>
      </c>
    </row>
    <row r="421" ht="17" spans="1:54">
      <c r="A421" t="s">
        <v>1467</v>
      </c>
      <c r="B421" t="s">
        <v>1041</v>
      </c>
      <c r="C421" t="s">
        <v>56</v>
      </c>
      <c r="D421">
        <v>0</v>
      </c>
      <c r="E421">
        <v>0</v>
      </c>
      <c r="F421">
        <v>93.5</v>
      </c>
      <c r="G421" t="s">
        <v>464</v>
      </c>
      <c r="H421" s="3" t="s">
        <v>1468</v>
      </c>
      <c r="I421" s="3" t="s">
        <v>1469</v>
      </c>
      <c r="J421">
        <f t="shared" si="78"/>
        <v>0</v>
      </c>
      <c r="K421">
        <f t="shared" si="79"/>
        <v>0</v>
      </c>
      <c r="L421">
        <f t="shared" si="80"/>
        <v>0</v>
      </c>
      <c r="M421">
        <f t="shared" si="81"/>
        <v>0</v>
      </c>
      <c r="N421">
        <f t="shared" si="82"/>
        <v>1</v>
      </c>
      <c r="O421">
        <f t="shared" si="83"/>
        <v>0</v>
      </c>
      <c r="P421">
        <f t="shared" si="84"/>
        <v>0</v>
      </c>
      <c r="Q421">
        <f t="shared" si="85"/>
        <v>0</v>
      </c>
      <c r="R421">
        <v>0</v>
      </c>
      <c r="S421">
        <v>0</v>
      </c>
      <c r="T421">
        <v>0</v>
      </c>
      <c r="U421">
        <v>0</v>
      </c>
      <c r="V421">
        <v>0</v>
      </c>
      <c r="W421">
        <v>0</v>
      </c>
      <c r="X421">
        <v>0</v>
      </c>
      <c r="Y421">
        <v>0</v>
      </c>
      <c r="Z421">
        <v>0</v>
      </c>
      <c r="AA421">
        <v>0</v>
      </c>
      <c r="AB421">
        <v>0</v>
      </c>
      <c r="AC421">
        <v>0</v>
      </c>
      <c r="AD421">
        <v>0</v>
      </c>
      <c r="AE421">
        <v>0</v>
      </c>
      <c r="AF421">
        <v>0</v>
      </c>
      <c r="AG421">
        <v>0</v>
      </c>
      <c r="AH421">
        <v>1</v>
      </c>
      <c r="AI421">
        <v>0</v>
      </c>
      <c r="AJ421">
        <v>0</v>
      </c>
      <c r="AK421">
        <v>0</v>
      </c>
      <c r="AL421">
        <v>0</v>
      </c>
      <c r="AM421">
        <v>0</v>
      </c>
      <c r="AN421">
        <v>0</v>
      </c>
      <c r="AO421">
        <v>0</v>
      </c>
      <c r="AP421">
        <v>0</v>
      </c>
      <c r="AQ421">
        <v>0</v>
      </c>
      <c r="AR421">
        <v>0</v>
      </c>
      <c r="AS421">
        <f t="shared" si="86"/>
        <v>1</v>
      </c>
      <c r="AT421">
        <f t="shared" si="87"/>
        <v>1</v>
      </c>
      <c r="AU421" s="3" t="s">
        <v>129</v>
      </c>
      <c r="AV421">
        <f t="shared" si="88"/>
        <v>1</v>
      </c>
      <c r="AW421">
        <f t="shared" si="89"/>
        <v>0</v>
      </c>
      <c r="AX421">
        <f t="shared" si="90"/>
        <v>0</v>
      </c>
      <c r="AY421">
        <v>1.5</v>
      </c>
      <c r="AZ421" t="s">
        <v>60</v>
      </c>
      <c r="BA421" t="s">
        <v>61</v>
      </c>
      <c r="BB421" t="s">
        <v>8</v>
      </c>
    </row>
    <row r="422" ht="17" spans="1:54">
      <c r="A422" t="s">
        <v>1470</v>
      </c>
      <c r="B422" t="s">
        <v>1041</v>
      </c>
      <c r="C422" t="s">
        <v>56</v>
      </c>
      <c r="D422">
        <v>0</v>
      </c>
      <c r="E422">
        <v>0</v>
      </c>
      <c r="F422">
        <v>15.8</v>
      </c>
      <c r="G422" t="s">
        <v>402</v>
      </c>
      <c r="H422" s="3" t="s">
        <v>1471</v>
      </c>
      <c r="I422" s="3" t="s">
        <v>1471</v>
      </c>
      <c r="J422">
        <f t="shared" si="78"/>
        <v>0</v>
      </c>
      <c r="K422">
        <f t="shared" si="79"/>
        <v>0</v>
      </c>
      <c r="L422">
        <f t="shared" si="80"/>
        <v>0</v>
      </c>
      <c r="M422">
        <f t="shared" si="81"/>
        <v>0</v>
      </c>
      <c r="N422">
        <f t="shared" si="82"/>
        <v>0</v>
      </c>
      <c r="O422">
        <f t="shared" si="83"/>
        <v>0</v>
      </c>
      <c r="P422">
        <f t="shared" si="84"/>
        <v>0</v>
      </c>
      <c r="Q422">
        <f t="shared" si="85"/>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f t="shared" si="86"/>
        <v>0</v>
      </c>
      <c r="AT422">
        <f t="shared" si="87"/>
        <v>0</v>
      </c>
      <c r="AU422" s="3" t="s">
        <v>118</v>
      </c>
      <c r="AV422">
        <f t="shared" si="88"/>
        <v>0</v>
      </c>
      <c r="AW422">
        <f t="shared" si="89"/>
        <v>1</v>
      </c>
      <c r="AX422">
        <f t="shared" si="90"/>
        <v>0</v>
      </c>
      <c r="AY422">
        <v>3</v>
      </c>
      <c r="AZ422" t="s">
        <v>60</v>
      </c>
      <c r="BA422" t="s">
        <v>61</v>
      </c>
      <c r="BB422" t="s">
        <v>8</v>
      </c>
    </row>
    <row r="423" ht="303" spans="1:54">
      <c r="A423" t="s">
        <v>1472</v>
      </c>
      <c r="B423" t="s">
        <v>1041</v>
      </c>
      <c r="C423" t="s">
        <v>56</v>
      </c>
      <c r="D423">
        <v>13</v>
      </c>
      <c r="E423">
        <v>0</v>
      </c>
      <c r="F423">
        <v>172.5</v>
      </c>
      <c r="G423" t="s">
        <v>402</v>
      </c>
      <c r="H423" s="3" t="s">
        <v>1473</v>
      </c>
      <c r="I423" s="3" t="s">
        <v>1474</v>
      </c>
      <c r="J423">
        <f t="shared" si="78"/>
        <v>0</v>
      </c>
      <c r="K423">
        <f t="shared" si="79"/>
        <v>1</v>
      </c>
      <c r="L423">
        <f t="shared" si="80"/>
        <v>1</v>
      </c>
      <c r="M423">
        <f t="shared" si="81"/>
        <v>0</v>
      </c>
      <c r="N423">
        <f t="shared" si="82"/>
        <v>1</v>
      </c>
      <c r="O423">
        <f t="shared" si="83"/>
        <v>0</v>
      </c>
      <c r="P423">
        <f t="shared" si="84"/>
        <v>0</v>
      </c>
      <c r="Q423">
        <f t="shared" si="85"/>
        <v>0</v>
      </c>
      <c r="R423">
        <v>0</v>
      </c>
      <c r="S423">
        <v>0</v>
      </c>
      <c r="T423">
        <v>0</v>
      </c>
      <c r="U423">
        <v>0</v>
      </c>
      <c r="V423">
        <v>1</v>
      </c>
      <c r="W423">
        <v>0</v>
      </c>
      <c r="X423">
        <v>0</v>
      </c>
      <c r="Y423">
        <v>1</v>
      </c>
      <c r="Z423">
        <v>0</v>
      </c>
      <c r="AA423">
        <v>1</v>
      </c>
      <c r="AB423">
        <v>1</v>
      </c>
      <c r="AC423">
        <v>0</v>
      </c>
      <c r="AD423">
        <v>0</v>
      </c>
      <c r="AE423">
        <v>0</v>
      </c>
      <c r="AF423">
        <v>0</v>
      </c>
      <c r="AG423">
        <v>0</v>
      </c>
      <c r="AH423">
        <v>1</v>
      </c>
      <c r="AI423">
        <v>0</v>
      </c>
      <c r="AJ423">
        <v>0</v>
      </c>
      <c r="AK423">
        <v>0</v>
      </c>
      <c r="AL423">
        <v>0</v>
      </c>
      <c r="AM423">
        <v>0</v>
      </c>
      <c r="AN423">
        <v>0</v>
      </c>
      <c r="AO423">
        <v>0</v>
      </c>
      <c r="AP423">
        <v>0</v>
      </c>
      <c r="AQ423">
        <v>0</v>
      </c>
      <c r="AR423">
        <v>0</v>
      </c>
      <c r="AS423">
        <f t="shared" si="86"/>
        <v>3</v>
      </c>
      <c r="AT423">
        <f t="shared" si="87"/>
        <v>5</v>
      </c>
      <c r="AU423" s="3" t="s">
        <v>1475</v>
      </c>
      <c r="AV423">
        <f t="shared" si="88"/>
        <v>1</v>
      </c>
      <c r="AW423">
        <f t="shared" si="89"/>
        <v>0</v>
      </c>
      <c r="AX423">
        <f t="shared" si="90"/>
        <v>0</v>
      </c>
      <c r="AY423">
        <v>0</v>
      </c>
      <c r="AZ423" t="s">
        <v>147</v>
      </c>
      <c r="BA423" t="s">
        <v>148</v>
      </c>
      <c r="BB423" t="s">
        <v>8</v>
      </c>
    </row>
    <row r="424" ht="17" spans="1:54">
      <c r="A424" t="s">
        <v>1476</v>
      </c>
      <c r="B424" t="s">
        <v>1041</v>
      </c>
      <c r="C424" t="s">
        <v>56</v>
      </c>
      <c r="D424">
        <v>0</v>
      </c>
      <c r="E424">
        <v>1</v>
      </c>
      <c r="F424">
        <v>116.5</v>
      </c>
      <c r="G424" t="s">
        <v>402</v>
      </c>
      <c r="H424" s="3" t="s">
        <v>1477</v>
      </c>
      <c r="I424" s="3" t="s">
        <v>1477</v>
      </c>
      <c r="J424">
        <f t="shared" si="78"/>
        <v>0</v>
      </c>
      <c r="K424">
        <f t="shared" si="79"/>
        <v>0</v>
      </c>
      <c r="L424">
        <f t="shared" si="80"/>
        <v>0</v>
      </c>
      <c r="M424">
        <f t="shared" si="81"/>
        <v>0</v>
      </c>
      <c r="N424">
        <f t="shared" si="82"/>
        <v>0</v>
      </c>
      <c r="O424">
        <f t="shared" si="83"/>
        <v>0</v>
      </c>
      <c r="P424">
        <f t="shared" si="84"/>
        <v>0</v>
      </c>
      <c r="Q424">
        <f t="shared" si="85"/>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f t="shared" si="86"/>
        <v>0</v>
      </c>
      <c r="AT424">
        <f t="shared" si="87"/>
        <v>0</v>
      </c>
      <c r="AU424" s="3" t="s">
        <v>118</v>
      </c>
      <c r="AV424">
        <f t="shared" si="88"/>
        <v>0</v>
      </c>
      <c r="AW424">
        <f t="shared" si="89"/>
        <v>1</v>
      </c>
      <c r="AX424">
        <f t="shared" si="90"/>
        <v>0</v>
      </c>
      <c r="AY424">
        <v>-1</v>
      </c>
      <c r="AZ424" t="s">
        <v>133</v>
      </c>
      <c r="BA424" t="s">
        <v>134</v>
      </c>
      <c r="BB424" t="s">
        <v>8</v>
      </c>
    </row>
    <row r="425" ht="409.5" spans="1:54">
      <c r="A425" t="s">
        <v>1478</v>
      </c>
      <c r="B425" t="s">
        <v>1041</v>
      </c>
      <c r="C425" t="s">
        <v>56</v>
      </c>
      <c r="D425">
        <v>3</v>
      </c>
      <c r="E425">
        <v>0</v>
      </c>
      <c r="F425">
        <v>81.4</v>
      </c>
      <c r="G425" t="s">
        <v>402</v>
      </c>
      <c r="H425" s="3" t="s">
        <v>1479</v>
      </c>
      <c r="I425" s="3" t="s">
        <v>1480</v>
      </c>
      <c r="J425">
        <f t="shared" si="78"/>
        <v>1</v>
      </c>
      <c r="K425">
        <f t="shared" si="79"/>
        <v>1</v>
      </c>
      <c r="L425">
        <f t="shared" si="80"/>
        <v>0</v>
      </c>
      <c r="M425">
        <f t="shared" si="81"/>
        <v>1</v>
      </c>
      <c r="N425">
        <f t="shared" si="82"/>
        <v>1</v>
      </c>
      <c r="O425">
        <f t="shared" si="83"/>
        <v>0</v>
      </c>
      <c r="P425">
        <f t="shared" si="84"/>
        <v>0</v>
      </c>
      <c r="Q425">
        <f t="shared" si="85"/>
        <v>0</v>
      </c>
      <c r="R425">
        <v>1</v>
      </c>
      <c r="S425">
        <v>1</v>
      </c>
      <c r="T425">
        <v>1</v>
      </c>
      <c r="U425">
        <v>0</v>
      </c>
      <c r="V425">
        <v>1</v>
      </c>
      <c r="W425">
        <v>0</v>
      </c>
      <c r="X425">
        <v>0</v>
      </c>
      <c r="Y425">
        <v>0</v>
      </c>
      <c r="Z425">
        <v>0</v>
      </c>
      <c r="AA425">
        <v>0</v>
      </c>
      <c r="AB425">
        <v>0</v>
      </c>
      <c r="AC425">
        <v>0</v>
      </c>
      <c r="AD425">
        <v>1</v>
      </c>
      <c r="AE425">
        <v>1</v>
      </c>
      <c r="AF425">
        <v>1</v>
      </c>
      <c r="AG425">
        <v>0</v>
      </c>
      <c r="AH425">
        <v>1</v>
      </c>
      <c r="AI425">
        <v>0</v>
      </c>
      <c r="AJ425">
        <v>0</v>
      </c>
      <c r="AK425">
        <v>0</v>
      </c>
      <c r="AL425">
        <v>0</v>
      </c>
      <c r="AM425">
        <v>0</v>
      </c>
      <c r="AN425">
        <v>0</v>
      </c>
      <c r="AO425">
        <v>0</v>
      </c>
      <c r="AP425">
        <v>0</v>
      </c>
      <c r="AQ425">
        <v>0</v>
      </c>
      <c r="AR425">
        <v>0</v>
      </c>
      <c r="AS425">
        <f t="shared" si="86"/>
        <v>4</v>
      </c>
      <c r="AT425">
        <f t="shared" si="87"/>
        <v>8</v>
      </c>
      <c r="AU425" s="3" t="s">
        <v>1481</v>
      </c>
      <c r="AV425">
        <f t="shared" si="88"/>
        <v>1</v>
      </c>
      <c r="AW425">
        <f t="shared" si="89"/>
        <v>0</v>
      </c>
      <c r="AX425">
        <f t="shared" si="90"/>
        <v>1</v>
      </c>
      <c r="AY425">
        <v>8</v>
      </c>
      <c r="AZ425" t="s">
        <v>60</v>
      </c>
      <c r="BA425" t="s">
        <v>61</v>
      </c>
      <c r="BB425" t="s">
        <v>8</v>
      </c>
    </row>
    <row r="426" ht="404" spans="1:54">
      <c r="A426" t="s">
        <v>1482</v>
      </c>
      <c r="B426" t="s">
        <v>1041</v>
      </c>
      <c r="C426" t="s">
        <v>116</v>
      </c>
      <c r="D426">
        <v>17</v>
      </c>
      <c r="E426">
        <v>0</v>
      </c>
      <c r="F426">
        <v>48.7</v>
      </c>
      <c r="G426" t="s">
        <v>402</v>
      </c>
      <c r="H426" s="3" t="s">
        <v>1483</v>
      </c>
      <c r="I426" s="3" t="s">
        <v>1484</v>
      </c>
      <c r="J426">
        <f t="shared" si="78"/>
        <v>1</v>
      </c>
      <c r="K426">
        <f t="shared" si="79"/>
        <v>1</v>
      </c>
      <c r="L426">
        <f t="shared" si="80"/>
        <v>1</v>
      </c>
      <c r="M426">
        <f t="shared" si="81"/>
        <v>0</v>
      </c>
      <c r="N426">
        <f t="shared" si="82"/>
        <v>0</v>
      </c>
      <c r="O426">
        <f t="shared" si="83"/>
        <v>1</v>
      </c>
      <c r="P426">
        <f t="shared" si="84"/>
        <v>0</v>
      </c>
      <c r="Q426">
        <f t="shared" si="85"/>
        <v>0</v>
      </c>
      <c r="R426">
        <v>1</v>
      </c>
      <c r="S426">
        <v>0</v>
      </c>
      <c r="T426">
        <v>0</v>
      </c>
      <c r="U426">
        <v>0</v>
      </c>
      <c r="V426">
        <v>1</v>
      </c>
      <c r="W426">
        <v>0</v>
      </c>
      <c r="X426">
        <v>0</v>
      </c>
      <c r="Y426">
        <v>0</v>
      </c>
      <c r="Z426">
        <v>0</v>
      </c>
      <c r="AA426">
        <v>0</v>
      </c>
      <c r="AB426">
        <v>1</v>
      </c>
      <c r="AC426">
        <v>0</v>
      </c>
      <c r="AD426">
        <v>0</v>
      </c>
      <c r="AE426">
        <v>0</v>
      </c>
      <c r="AF426">
        <v>0</v>
      </c>
      <c r="AG426">
        <v>0</v>
      </c>
      <c r="AH426">
        <v>0</v>
      </c>
      <c r="AI426">
        <v>1</v>
      </c>
      <c r="AJ426">
        <v>0</v>
      </c>
      <c r="AK426">
        <v>0</v>
      </c>
      <c r="AL426">
        <v>0</v>
      </c>
      <c r="AM426">
        <v>0</v>
      </c>
      <c r="AN426">
        <v>0</v>
      </c>
      <c r="AO426">
        <v>0</v>
      </c>
      <c r="AP426">
        <v>0</v>
      </c>
      <c r="AQ426">
        <v>0</v>
      </c>
      <c r="AR426">
        <v>0</v>
      </c>
      <c r="AS426">
        <f t="shared" si="86"/>
        <v>4</v>
      </c>
      <c r="AT426">
        <f t="shared" si="87"/>
        <v>4</v>
      </c>
      <c r="AU426" s="3" t="s">
        <v>1485</v>
      </c>
      <c r="AV426">
        <f t="shared" si="88"/>
        <v>1</v>
      </c>
      <c r="AW426">
        <f t="shared" si="89"/>
        <v>0</v>
      </c>
      <c r="AX426">
        <f t="shared" si="90"/>
        <v>0</v>
      </c>
      <c r="AY426">
        <v>1</v>
      </c>
      <c r="AZ426" t="s">
        <v>60</v>
      </c>
      <c r="BA426" t="s">
        <v>61</v>
      </c>
      <c r="BB426" t="s">
        <v>8</v>
      </c>
    </row>
    <row r="427" ht="84" spans="1:54">
      <c r="A427" t="s">
        <v>1486</v>
      </c>
      <c r="B427" t="s">
        <v>1041</v>
      </c>
      <c r="C427" t="s">
        <v>56</v>
      </c>
      <c r="D427">
        <v>17</v>
      </c>
      <c r="E427">
        <v>0</v>
      </c>
      <c r="F427">
        <v>253.8</v>
      </c>
      <c r="G427" t="s">
        <v>402</v>
      </c>
      <c r="H427" s="3" t="s">
        <v>1487</v>
      </c>
      <c r="I427" s="3" t="s">
        <v>1488</v>
      </c>
      <c r="J427">
        <f t="shared" si="78"/>
        <v>0</v>
      </c>
      <c r="K427">
        <f t="shared" si="79"/>
        <v>1</v>
      </c>
      <c r="L427">
        <f t="shared" si="80"/>
        <v>0</v>
      </c>
      <c r="M427">
        <f t="shared" si="81"/>
        <v>0</v>
      </c>
      <c r="N427">
        <f t="shared" si="82"/>
        <v>1</v>
      </c>
      <c r="O427">
        <f t="shared" si="83"/>
        <v>0</v>
      </c>
      <c r="P427">
        <f t="shared" si="84"/>
        <v>0</v>
      </c>
      <c r="Q427">
        <f t="shared" si="85"/>
        <v>0</v>
      </c>
      <c r="R427">
        <v>0</v>
      </c>
      <c r="S427">
        <v>0</v>
      </c>
      <c r="T427">
        <v>0</v>
      </c>
      <c r="U427">
        <v>1</v>
      </c>
      <c r="V427">
        <v>0</v>
      </c>
      <c r="W427">
        <v>1</v>
      </c>
      <c r="X427">
        <v>0</v>
      </c>
      <c r="Y427">
        <v>0</v>
      </c>
      <c r="Z427">
        <v>0</v>
      </c>
      <c r="AA427">
        <v>0</v>
      </c>
      <c r="AB427">
        <v>0</v>
      </c>
      <c r="AC427">
        <v>0</v>
      </c>
      <c r="AD427">
        <v>0</v>
      </c>
      <c r="AE427">
        <v>0</v>
      </c>
      <c r="AF427">
        <v>0</v>
      </c>
      <c r="AG427">
        <v>1</v>
      </c>
      <c r="AH427">
        <v>0</v>
      </c>
      <c r="AI427">
        <v>0</v>
      </c>
      <c r="AJ427">
        <v>0</v>
      </c>
      <c r="AK427">
        <v>0</v>
      </c>
      <c r="AL427">
        <v>0</v>
      </c>
      <c r="AM427">
        <v>0</v>
      </c>
      <c r="AN427">
        <v>0</v>
      </c>
      <c r="AO427">
        <v>0</v>
      </c>
      <c r="AP427">
        <v>0</v>
      </c>
      <c r="AQ427">
        <v>0</v>
      </c>
      <c r="AR427">
        <v>0</v>
      </c>
      <c r="AS427">
        <f t="shared" si="86"/>
        <v>2</v>
      </c>
      <c r="AT427">
        <f t="shared" si="87"/>
        <v>3</v>
      </c>
      <c r="AU427" s="3" t="s">
        <v>1462</v>
      </c>
      <c r="AV427">
        <f t="shared" si="88"/>
        <v>1</v>
      </c>
      <c r="AW427">
        <f t="shared" si="89"/>
        <v>0</v>
      </c>
      <c r="AX427">
        <f t="shared" si="90"/>
        <v>0</v>
      </c>
      <c r="AY427">
        <v>5</v>
      </c>
      <c r="AZ427" t="s">
        <v>60</v>
      </c>
      <c r="BA427" t="s">
        <v>61</v>
      </c>
      <c r="BB427" t="s">
        <v>8</v>
      </c>
    </row>
    <row r="428" ht="84" spans="1:54">
      <c r="A428" t="s">
        <v>1489</v>
      </c>
      <c r="B428" t="s">
        <v>1041</v>
      </c>
      <c r="C428" t="s">
        <v>116</v>
      </c>
      <c r="D428">
        <v>5</v>
      </c>
      <c r="E428">
        <v>5</v>
      </c>
      <c r="F428">
        <v>1.1</v>
      </c>
      <c r="G428" t="s">
        <v>402</v>
      </c>
      <c r="H428" s="3" t="s">
        <v>1490</v>
      </c>
      <c r="I428" s="3" t="s">
        <v>1491</v>
      </c>
      <c r="J428">
        <f t="shared" si="78"/>
        <v>0</v>
      </c>
      <c r="K428">
        <f t="shared" si="79"/>
        <v>1</v>
      </c>
      <c r="L428">
        <f t="shared" si="80"/>
        <v>0</v>
      </c>
      <c r="M428">
        <f t="shared" si="81"/>
        <v>0</v>
      </c>
      <c r="N428">
        <f t="shared" si="82"/>
        <v>1</v>
      </c>
      <c r="O428">
        <f t="shared" si="83"/>
        <v>0</v>
      </c>
      <c r="P428">
        <f t="shared" si="84"/>
        <v>0</v>
      </c>
      <c r="Q428">
        <f t="shared" si="85"/>
        <v>0</v>
      </c>
      <c r="R428">
        <v>0</v>
      </c>
      <c r="S428">
        <v>0</v>
      </c>
      <c r="T428">
        <v>0</v>
      </c>
      <c r="U428">
        <v>0</v>
      </c>
      <c r="V428">
        <v>1</v>
      </c>
      <c r="W428">
        <v>1</v>
      </c>
      <c r="X428">
        <v>0</v>
      </c>
      <c r="Y428">
        <v>0</v>
      </c>
      <c r="Z428">
        <v>0</v>
      </c>
      <c r="AA428">
        <v>0</v>
      </c>
      <c r="AB428">
        <v>0</v>
      </c>
      <c r="AC428">
        <v>0</v>
      </c>
      <c r="AD428">
        <v>0</v>
      </c>
      <c r="AE428">
        <v>0</v>
      </c>
      <c r="AF428">
        <v>0</v>
      </c>
      <c r="AG428">
        <v>0</v>
      </c>
      <c r="AH428">
        <v>1</v>
      </c>
      <c r="AI428">
        <v>0</v>
      </c>
      <c r="AJ428">
        <v>0</v>
      </c>
      <c r="AK428">
        <v>0</v>
      </c>
      <c r="AL428">
        <v>0</v>
      </c>
      <c r="AM428">
        <v>0</v>
      </c>
      <c r="AN428">
        <v>0</v>
      </c>
      <c r="AO428">
        <v>0</v>
      </c>
      <c r="AP428">
        <v>0</v>
      </c>
      <c r="AQ428">
        <v>0</v>
      </c>
      <c r="AR428">
        <v>0</v>
      </c>
      <c r="AS428">
        <f t="shared" si="86"/>
        <v>2</v>
      </c>
      <c r="AT428">
        <f t="shared" si="87"/>
        <v>3</v>
      </c>
      <c r="AU428" s="3" t="s">
        <v>1143</v>
      </c>
      <c r="AV428">
        <f t="shared" si="88"/>
        <v>1</v>
      </c>
      <c r="AW428">
        <f t="shared" si="89"/>
        <v>0</v>
      </c>
      <c r="AX428">
        <f t="shared" si="90"/>
        <v>0</v>
      </c>
      <c r="AY428">
        <v>1.5</v>
      </c>
      <c r="AZ428" t="s">
        <v>60</v>
      </c>
      <c r="BA428" t="s">
        <v>61</v>
      </c>
      <c r="BB428" t="s">
        <v>8</v>
      </c>
    </row>
    <row r="429" ht="409.5" spans="1:54">
      <c r="A429" t="s">
        <v>1492</v>
      </c>
      <c r="B429" t="s">
        <v>1041</v>
      </c>
      <c r="C429" t="s">
        <v>56</v>
      </c>
      <c r="D429">
        <v>4</v>
      </c>
      <c r="E429">
        <v>1</v>
      </c>
      <c r="F429">
        <v>66.8</v>
      </c>
      <c r="G429" t="s">
        <v>402</v>
      </c>
      <c r="H429" s="3" t="s">
        <v>1493</v>
      </c>
      <c r="I429" s="3" t="s">
        <v>1494</v>
      </c>
      <c r="J429">
        <f t="shared" si="78"/>
        <v>0</v>
      </c>
      <c r="K429">
        <f t="shared" si="79"/>
        <v>0</v>
      </c>
      <c r="L429">
        <f t="shared" si="80"/>
        <v>0</v>
      </c>
      <c r="M429">
        <f t="shared" si="81"/>
        <v>0</v>
      </c>
      <c r="N429">
        <f t="shared" si="82"/>
        <v>1</v>
      </c>
      <c r="O429">
        <f t="shared" si="83"/>
        <v>0</v>
      </c>
      <c r="P429">
        <f t="shared" si="84"/>
        <v>0</v>
      </c>
      <c r="Q429">
        <f t="shared" si="85"/>
        <v>0</v>
      </c>
      <c r="R429">
        <v>0</v>
      </c>
      <c r="S429">
        <v>0</v>
      </c>
      <c r="T429">
        <v>0</v>
      </c>
      <c r="U429">
        <v>0</v>
      </c>
      <c r="V429">
        <v>0</v>
      </c>
      <c r="W429">
        <v>0</v>
      </c>
      <c r="X429">
        <v>0</v>
      </c>
      <c r="Y429">
        <v>0</v>
      </c>
      <c r="Z429">
        <v>0</v>
      </c>
      <c r="AA429">
        <v>0</v>
      </c>
      <c r="AB429">
        <v>0</v>
      </c>
      <c r="AC429">
        <v>0</v>
      </c>
      <c r="AD429">
        <v>0</v>
      </c>
      <c r="AE429">
        <v>0</v>
      </c>
      <c r="AF429">
        <v>0</v>
      </c>
      <c r="AG429">
        <v>1</v>
      </c>
      <c r="AH429">
        <v>0</v>
      </c>
      <c r="AI429">
        <v>0</v>
      </c>
      <c r="AJ429">
        <v>0</v>
      </c>
      <c r="AK429">
        <v>0</v>
      </c>
      <c r="AL429">
        <v>0</v>
      </c>
      <c r="AM429">
        <v>0</v>
      </c>
      <c r="AN429">
        <v>0</v>
      </c>
      <c r="AO429">
        <v>0</v>
      </c>
      <c r="AP429">
        <v>0</v>
      </c>
      <c r="AQ429">
        <v>0</v>
      </c>
      <c r="AR429">
        <v>0</v>
      </c>
      <c r="AS429">
        <f t="shared" si="86"/>
        <v>1</v>
      </c>
      <c r="AT429">
        <f t="shared" si="87"/>
        <v>1</v>
      </c>
      <c r="AU429" s="3" t="s">
        <v>1150</v>
      </c>
      <c r="AV429">
        <f t="shared" si="88"/>
        <v>1</v>
      </c>
      <c r="AW429">
        <f t="shared" si="89"/>
        <v>0</v>
      </c>
      <c r="AX429">
        <f t="shared" si="90"/>
        <v>0</v>
      </c>
      <c r="AY429">
        <v>8</v>
      </c>
      <c r="AZ429" t="s">
        <v>60</v>
      </c>
      <c r="BA429" t="s">
        <v>61</v>
      </c>
      <c r="BB429" t="s">
        <v>8</v>
      </c>
    </row>
    <row r="430" ht="409.5" spans="1:54">
      <c r="A430" t="s">
        <v>1495</v>
      </c>
      <c r="B430" t="s">
        <v>1041</v>
      </c>
      <c r="C430" t="s">
        <v>116</v>
      </c>
      <c r="D430">
        <v>31</v>
      </c>
      <c r="E430">
        <v>0</v>
      </c>
      <c r="F430">
        <v>26</v>
      </c>
      <c r="G430" t="s">
        <v>402</v>
      </c>
      <c r="H430" s="3" t="s">
        <v>1496</v>
      </c>
      <c r="I430" s="3" t="s">
        <v>1497</v>
      </c>
      <c r="J430">
        <f t="shared" si="78"/>
        <v>1</v>
      </c>
      <c r="K430">
        <f t="shared" si="79"/>
        <v>1</v>
      </c>
      <c r="L430">
        <f t="shared" si="80"/>
        <v>1</v>
      </c>
      <c r="M430">
        <f t="shared" si="81"/>
        <v>0</v>
      </c>
      <c r="N430">
        <f t="shared" si="82"/>
        <v>1</v>
      </c>
      <c r="O430">
        <f t="shared" si="83"/>
        <v>0</v>
      </c>
      <c r="P430">
        <f t="shared" si="84"/>
        <v>0</v>
      </c>
      <c r="Q430">
        <f t="shared" si="85"/>
        <v>0</v>
      </c>
      <c r="R430">
        <v>1</v>
      </c>
      <c r="S430">
        <v>0</v>
      </c>
      <c r="T430">
        <v>1</v>
      </c>
      <c r="U430">
        <v>1</v>
      </c>
      <c r="V430">
        <v>1</v>
      </c>
      <c r="W430">
        <v>1</v>
      </c>
      <c r="X430">
        <v>0</v>
      </c>
      <c r="Y430">
        <v>0</v>
      </c>
      <c r="Z430">
        <v>1</v>
      </c>
      <c r="AA430">
        <v>0</v>
      </c>
      <c r="AB430">
        <v>0</v>
      </c>
      <c r="AC430">
        <v>1</v>
      </c>
      <c r="AD430">
        <v>0</v>
      </c>
      <c r="AE430">
        <v>0</v>
      </c>
      <c r="AF430">
        <v>0</v>
      </c>
      <c r="AG430">
        <v>0</v>
      </c>
      <c r="AH430">
        <v>1</v>
      </c>
      <c r="AI430">
        <v>0</v>
      </c>
      <c r="AJ430">
        <v>0</v>
      </c>
      <c r="AK430">
        <v>0</v>
      </c>
      <c r="AL430">
        <v>0</v>
      </c>
      <c r="AM430">
        <v>0</v>
      </c>
      <c r="AN430">
        <v>0</v>
      </c>
      <c r="AO430">
        <v>0</v>
      </c>
      <c r="AP430">
        <v>0</v>
      </c>
      <c r="AQ430">
        <v>0</v>
      </c>
      <c r="AR430">
        <v>0</v>
      </c>
      <c r="AS430">
        <f t="shared" si="86"/>
        <v>4</v>
      </c>
      <c r="AT430">
        <f t="shared" si="87"/>
        <v>8</v>
      </c>
      <c r="AU430" s="3" t="s">
        <v>1498</v>
      </c>
      <c r="AV430">
        <f t="shared" si="88"/>
        <v>1</v>
      </c>
      <c r="AW430">
        <f t="shared" si="89"/>
        <v>0</v>
      </c>
      <c r="AX430">
        <f t="shared" si="90"/>
        <v>1</v>
      </c>
      <c r="AY430">
        <v>3</v>
      </c>
      <c r="AZ430" t="s">
        <v>60</v>
      </c>
      <c r="BA430" t="s">
        <v>61</v>
      </c>
      <c r="BB430" t="s">
        <v>8</v>
      </c>
    </row>
    <row r="431" ht="68" spans="1:54">
      <c r="A431" t="s">
        <v>1499</v>
      </c>
      <c r="B431" t="s">
        <v>1041</v>
      </c>
      <c r="C431" t="s">
        <v>56</v>
      </c>
      <c r="D431">
        <v>2</v>
      </c>
      <c r="E431">
        <v>1</v>
      </c>
      <c r="F431">
        <v>5.6</v>
      </c>
      <c r="G431" t="s">
        <v>425</v>
      </c>
      <c r="H431" s="3" t="s">
        <v>1500</v>
      </c>
      <c r="I431" s="3" t="s">
        <v>1501</v>
      </c>
      <c r="J431">
        <f t="shared" si="78"/>
        <v>1</v>
      </c>
      <c r="K431">
        <f t="shared" si="79"/>
        <v>0</v>
      </c>
      <c r="L431">
        <f t="shared" si="80"/>
        <v>0</v>
      </c>
      <c r="M431">
        <f t="shared" si="81"/>
        <v>1</v>
      </c>
      <c r="N431">
        <f t="shared" si="82"/>
        <v>1</v>
      </c>
      <c r="O431">
        <f t="shared" si="83"/>
        <v>1</v>
      </c>
      <c r="P431">
        <f t="shared" si="84"/>
        <v>0</v>
      </c>
      <c r="Q431">
        <f t="shared" si="85"/>
        <v>0</v>
      </c>
      <c r="R431">
        <v>1</v>
      </c>
      <c r="S431">
        <v>1</v>
      </c>
      <c r="T431">
        <v>0</v>
      </c>
      <c r="U431">
        <v>0</v>
      </c>
      <c r="V431">
        <v>0</v>
      </c>
      <c r="W431">
        <v>0</v>
      </c>
      <c r="X431">
        <v>0</v>
      </c>
      <c r="Y431">
        <v>0</v>
      </c>
      <c r="Z431">
        <v>0</v>
      </c>
      <c r="AA431">
        <v>0</v>
      </c>
      <c r="AB431">
        <v>0</v>
      </c>
      <c r="AC431">
        <v>0</v>
      </c>
      <c r="AD431">
        <v>0</v>
      </c>
      <c r="AE431">
        <v>0</v>
      </c>
      <c r="AF431">
        <v>1</v>
      </c>
      <c r="AG431">
        <v>1</v>
      </c>
      <c r="AH431">
        <v>1</v>
      </c>
      <c r="AI431">
        <v>1</v>
      </c>
      <c r="AJ431">
        <v>0</v>
      </c>
      <c r="AK431">
        <v>0</v>
      </c>
      <c r="AL431">
        <v>1</v>
      </c>
      <c r="AM431">
        <v>0</v>
      </c>
      <c r="AN431">
        <v>0</v>
      </c>
      <c r="AO431">
        <v>0</v>
      </c>
      <c r="AP431">
        <v>0</v>
      </c>
      <c r="AQ431">
        <v>0</v>
      </c>
      <c r="AR431">
        <v>0</v>
      </c>
      <c r="AS431">
        <f t="shared" si="86"/>
        <v>4</v>
      </c>
      <c r="AT431">
        <f t="shared" si="87"/>
        <v>7</v>
      </c>
      <c r="AU431" s="3" t="s">
        <v>1502</v>
      </c>
      <c r="AV431">
        <f t="shared" si="88"/>
        <v>1</v>
      </c>
      <c r="AW431">
        <f t="shared" si="89"/>
        <v>0</v>
      </c>
      <c r="AX431">
        <f t="shared" si="90"/>
        <v>0</v>
      </c>
      <c r="AY431">
        <v>1.5</v>
      </c>
      <c r="AZ431" t="s">
        <v>60</v>
      </c>
      <c r="BA431" t="s">
        <v>61</v>
      </c>
      <c r="BB431" t="s">
        <v>8</v>
      </c>
    </row>
    <row r="432" ht="409.5" spans="1:54">
      <c r="A432" t="s">
        <v>1503</v>
      </c>
      <c r="B432" t="s">
        <v>1041</v>
      </c>
      <c r="C432" t="s">
        <v>56</v>
      </c>
      <c r="D432">
        <v>7</v>
      </c>
      <c r="E432">
        <v>0</v>
      </c>
      <c r="F432">
        <v>45.8</v>
      </c>
      <c r="G432" t="s">
        <v>425</v>
      </c>
      <c r="H432" s="3" t="s">
        <v>1504</v>
      </c>
      <c r="I432" s="3" t="s">
        <v>1505</v>
      </c>
      <c r="J432">
        <f t="shared" si="78"/>
        <v>1</v>
      </c>
      <c r="K432">
        <f t="shared" si="79"/>
        <v>1</v>
      </c>
      <c r="L432">
        <f t="shared" si="80"/>
        <v>0</v>
      </c>
      <c r="M432">
        <f t="shared" si="81"/>
        <v>0</v>
      </c>
      <c r="N432">
        <f t="shared" si="82"/>
        <v>1</v>
      </c>
      <c r="O432">
        <f t="shared" si="83"/>
        <v>0</v>
      </c>
      <c r="P432">
        <f t="shared" si="84"/>
        <v>0</v>
      </c>
      <c r="Q432">
        <f t="shared" si="85"/>
        <v>0</v>
      </c>
      <c r="R432">
        <v>0</v>
      </c>
      <c r="S432">
        <v>0</v>
      </c>
      <c r="T432">
        <v>1</v>
      </c>
      <c r="U432">
        <v>1</v>
      </c>
      <c r="V432">
        <v>0</v>
      </c>
      <c r="W432">
        <v>0</v>
      </c>
      <c r="X432">
        <v>0</v>
      </c>
      <c r="Y432">
        <v>0</v>
      </c>
      <c r="Z432">
        <v>0</v>
      </c>
      <c r="AA432">
        <v>0</v>
      </c>
      <c r="AB432">
        <v>0</v>
      </c>
      <c r="AC432">
        <v>0</v>
      </c>
      <c r="AD432">
        <v>0</v>
      </c>
      <c r="AE432">
        <v>0</v>
      </c>
      <c r="AF432">
        <v>0</v>
      </c>
      <c r="AG432">
        <v>0</v>
      </c>
      <c r="AH432">
        <v>1</v>
      </c>
      <c r="AI432">
        <v>0</v>
      </c>
      <c r="AJ432">
        <v>0</v>
      </c>
      <c r="AK432">
        <v>0</v>
      </c>
      <c r="AL432">
        <v>0</v>
      </c>
      <c r="AM432">
        <v>0</v>
      </c>
      <c r="AN432">
        <v>0</v>
      </c>
      <c r="AO432">
        <v>0</v>
      </c>
      <c r="AP432">
        <v>0</v>
      </c>
      <c r="AQ432">
        <v>0</v>
      </c>
      <c r="AR432">
        <v>0</v>
      </c>
      <c r="AS432">
        <f t="shared" si="86"/>
        <v>3</v>
      </c>
      <c r="AT432">
        <f t="shared" si="87"/>
        <v>3</v>
      </c>
      <c r="AU432" s="3" t="s">
        <v>1506</v>
      </c>
      <c r="AV432">
        <f t="shared" si="88"/>
        <v>1</v>
      </c>
      <c r="AW432">
        <f t="shared" si="89"/>
        <v>0</v>
      </c>
      <c r="AX432">
        <f t="shared" si="90"/>
        <v>0</v>
      </c>
      <c r="AY432">
        <v>2</v>
      </c>
      <c r="AZ432" t="s">
        <v>60</v>
      </c>
      <c r="BA432" t="s">
        <v>61</v>
      </c>
      <c r="BB432" t="s">
        <v>8</v>
      </c>
    </row>
    <row r="433" ht="68" spans="1:54">
      <c r="A433" t="s">
        <v>1507</v>
      </c>
      <c r="B433" t="s">
        <v>1041</v>
      </c>
      <c r="C433" t="s">
        <v>56</v>
      </c>
      <c r="D433">
        <v>73</v>
      </c>
      <c r="E433">
        <v>2</v>
      </c>
      <c r="G433" t="s">
        <v>425</v>
      </c>
      <c r="H433" s="3" t="s">
        <v>1508</v>
      </c>
      <c r="I433" s="3" t="s">
        <v>1509</v>
      </c>
      <c r="J433">
        <f t="shared" si="78"/>
        <v>0</v>
      </c>
      <c r="K433">
        <f t="shared" si="79"/>
        <v>1</v>
      </c>
      <c r="L433">
        <f t="shared" si="80"/>
        <v>0</v>
      </c>
      <c r="M433">
        <f t="shared" si="81"/>
        <v>0</v>
      </c>
      <c r="N433">
        <f t="shared" si="82"/>
        <v>0</v>
      </c>
      <c r="O433">
        <f t="shared" si="83"/>
        <v>1</v>
      </c>
      <c r="P433">
        <f t="shared" si="84"/>
        <v>1</v>
      </c>
      <c r="Q433">
        <f t="shared" si="85"/>
        <v>0</v>
      </c>
      <c r="R433">
        <v>0</v>
      </c>
      <c r="S433">
        <v>0</v>
      </c>
      <c r="T433">
        <v>0</v>
      </c>
      <c r="U433">
        <v>0</v>
      </c>
      <c r="V433">
        <v>0</v>
      </c>
      <c r="W433">
        <v>1</v>
      </c>
      <c r="X433">
        <v>0</v>
      </c>
      <c r="Y433">
        <v>0</v>
      </c>
      <c r="Z433">
        <v>0</v>
      </c>
      <c r="AA433">
        <v>0</v>
      </c>
      <c r="AB433">
        <v>0</v>
      </c>
      <c r="AC433">
        <v>0</v>
      </c>
      <c r="AD433">
        <v>0</v>
      </c>
      <c r="AE433">
        <v>0</v>
      </c>
      <c r="AF433">
        <v>0</v>
      </c>
      <c r="AG433">
        <v>0</v>
      </c>
      <c r="AH433">
        <v>0</v>
      </c>
      <c r="AI433">
        <v>0</v>
      </c>
      <c r="AJ433">
        <v>0</v>
      </c>
      <c r="AK433">
        <v>0</v>
      </c>
      <c r="AL433">
        <v>1</v>
      </c>
      <c r="AM433">
        <v>0</v>
      </c>
      <c r="AN433">
        <v>1</v>
      </c>
      <c r="AO433">
        <v>0</v>
      </c>
      <c r="AP433">
        <v>1</v>
      </c>
      <c r="AQ433">
        <v>0</v>
      </c>
      <c r="AR433">
        <v>0</v>
      </c>
      <c r="AS433">
        <f t="shared" si="86"/>
        <v>3</v>
      </c>
      <c r="AT433">
        <f t="shared" si="87"/>
        <v>4</v>
      </c>
      <c r="AU433" s="3" t="s">
        <v>1510</v>
      </c>
      <c r="AV433">
        <f t="shared" si="88"/>
        <v>1</v>
      </c>
      <c r="AW433">
        <f t="shared" si="89"/>
        <v>0</v>
      </c>
      <c r="AX433">
        <f t="shared" si="90"/>
        <v>0</v>
      </c>
      <c r="AY433">
        <v>2.5</v>
      </c>
      <c r="AZ433" t="s">
        <v>60</v>
      </c>
      <c r="BA433" t="s">
        <v>61</v>
      </c>
      <c r="BB433" t="s">
        <v>8</v>
      </c>
    </row>
    <row r="434" ht="17" spans="1:54">
      <c r="A434" t="s">
        <v>1511</v>
      </c>
      <c r="B434" t="s">
        <v>1041</v>
      </c>
      <c r="C434" t="s">
        <v>56</v>
      </c>
      <c r="D434">
        <v>0</v>
      </c>
      <c r="E434">
        <v>0</v>
      </c>
      <c r="F434">
        <v>24.6</v>
      </c>
      <c r="G434" t="s">
        <v>425</v>
      </c>
      <c r="H434" s="3" t="s">
        <v>1512</v>
      </c>
      <c r="I434" s="3" t="s">
        <v>1513</v>
      </c>
      <c r="J434">
        <f t="shared" si="78"/>
        <v>0</v>
      </c>
      <c r="K434">
        <f t="shared" si="79"/>
        <v>0</v>
      </c>
      <c r="L434">
        <f t="shared" si="80"/>
        <v>0</v>
      </c>
      <c r="M434">
        <f t="shared" si="81"/>
        <v>0</v>
      </c>
      <c r="N434">
        <f t="shared" si="82"/>
        <v>0</v>
      </c>
      <c r="O434">
        <f t="shared" si="83"/>
        <v>0</v>
      </c>
      <c r="P434">
        <f t="shared" si="84"/>
        <v>0</v>
      </c>
      <c r="Q434">
        <f t="shared" si="85"/>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f t="shared" si="86"/>
        <v>0</v>
      </c>
      <c r="AT434">
        <f t="shared" si="87"/>
        <v>0</v>
      </c>
      <c r="AU434" s="3" t="s">
        <v>118</v>
      </c>
      <c r="AV434">
        <f t="shared" si="88"/>
        <v>0</v>
      </c>
      <c r="AW434">
        <f t="shared" si="89"/>
        <v>1</v>
      </c>
      <c r="AX434">
        <f t="shared" si="90"/>
        <v>0</v>
      </c>
      <c r="AY434">
        <v>1.5</v>
      </c>
      <c r="AZ434" t="s">
        <v>60</v>
      </c>
      <c r="BA434" t="s">
        <v>61</v>
      </c>
      <c r="BB434" t="s">
        <v>8</v>
      </c>
    </row>
    <row r="435" ht="409.5" spans="1:54">
      <c r="A435" t="s">
        <v>1514</v>
      </c>
      <c r="B435" t="s">
        <v>1041</v>
      </c>
      <c r="C435" t="s">
        <v>56</v>
      </c>
      <c r="D435">
        <v>0</v>
      </c>
      <c r="E435">
        <v>0</v>
      </c>
      <c r="F435">
        <v>73.2</v>
      </c>
      <c r="G435" t="s">
        <v>425</v>
      </c>
      <c r="H435" s="3" t="s">
        <v>1515</v>
      </c>
      <c r="I435" s="3" t="s">
        <v>1516</v>
      </c>
      <c r="J435">
        <f t="shared" si="78"/>
        <v>0</v>
      </c>
      <c r="K435">
        <f t="shared" si="79"/>
        <v>1</v>
      </c>
      <c r="L435">
        <f t="shared" si="80"/>
        <v>1</v>
      </c>
      <c r="M435">
        <f t="shared" si="81"/>
        <v>0</v>
      </c>
      <c r="N435">
        <f t="shared" si="82"/>
        <v>1</v>
      </c>
      <c r="O435">
        <f t="shared" si="83"/>
        <v>0</v>
      </c>
      <c r="P435">
        <f t="shared" si="84"/>
        <v>0</v>
      </c>
      <c r="Q435">
        <f t="shared" si="85"/>
        <v>0</v>
      </c>
      <c r="R435">
        <v>0</v>
      </c>
      <c r="S435">
        <v>0</v>
      </c>
      <c r="T435">
        <v>0</v>
      </c>
      <c r="U435">
        <v>0</v>
      </c>
      <c r="V435">
        <v>1</v>
      </c>
      <c r="W435">
        <v>1</v>
      </c>
      <c r="X435">
        <v>0</v>
      </c>
      <c r="Y435">
        <v>0</v>
      </c>
      <c r="Z435">
        <v>0</v>
      </c>
      <c r="AA435">
        <v>0</v>
      </c>
      <c r="AB435">
        <v>1</v>
      </c>
      <c r="AC435">
        <v>0</v>
      </c>
      <c r="AD435">
        <v>0</v>
      </c>
      <c r="AE435">
        <v>0</v>
      </c>
      <c r="AF435">
        <v>0</v>
      </c>
      <c r="AG435">
        <v>0</v>
      </c>
      <c r="AH435">
        <v>1</v>
      </c>
      <c r="AI435">
        <v>0</v>
      </c>
      <c r="AJ435">
        <v>0</v>
      </c>
      <c r="AK435">
        <v>0</v>
      </c>
      <c r="AL435">
        <v>0</v>
      </c>
      <c r="AM435">
        <v>0</v>
      </c>
      <c r="AN435">
        <v>0</v>
      </c>
      <c r="AO435">
        <v>0</v>
      </c>
      <c r="AP435">
        <v>0</v>
      </c>
      <c r="AQ435">
        <v>0</v>
      </c>
      <c r="AR435">
        <v>0</v>
      </c>
      <c r="AS435">
        <f t="shared" si="86"/>
        <v>3</v>
      </c>
      <c r="AT435">
        <f t="shared" si="87"/>
        <v>4</v>
      </c>
      <c r="AU435" s="3" t="s">
        <v>1517</v>
      </c>
      <c r="AV435">
        <f t="shared" si="88"/>
        <v>1</v>
      </c>
      <c r="AW435">
        <f t="shared" si="89"/>
        <v>0</v>
      </c>
      <c r="AX435">
        <f t="shared" si="90"/>
        <v>0</v>
      </c>
      <c r="AY435">
        <v>-4</v>
      </c>
      <c r="AZ435" t="s">
        <v>133</v>
      </c>
      <c r="BA435" t="s">
        <v>134</v>
      </c>
      <c r="BB435" t="s">
        <v>8</v>
      </c>
    </row>
    <row r="436" ht="202" spans="1:54">
      <c r="A436" t="s">
        <v>1518</v>
      </c>
      <c r="B436" t="s">
        <v>1041</v>
      </c>
      <c r="C436" t="s">
        <v>56</v>
      </c>
      <c r="D436">
        <v>4</v>
      </c>
      <c r="E436">
        <v>1</v>
      </c>
      <c r="F436">
        <v>36.3</v>
      </c>
      <c r="G436" t="s">
        <v>425</v>
      </c>
      <c r="H436" s="3" t="s">
        <v>1519</v>
      </c>
      <c r="I436" s="3" t="s">
        <v>1520</v>
      </c>
      <c r="J436">
        <f t="shared" si="78"/>
        <v>0</v>
      </c>
      <c r="K436">
        <f t="shared" si="79"/>
        <v>0</v>
      </c>
      <c r="L436">
        <f t="shared" si="80"/>
        <v>1</v>
      </c>
      <c r="M436">
        <f t="shared" si="81"/>
        <v>0</v>
      </c>
      <c r="N436">
        <f t="shared" si="82"/>
        <v>1</v>
      </c>
      <c r="O436">
        <f t="shared" si="83"/>
        <v>0</v>
      </c>
      <c r="P436">
        <f t="shared" si="84"/>
        <v>0</v>
      </c>
      <c r="Q436">
        <f t="shared" si="85"/>
        <v>0</v>
      </c>
      <c r="R436">
        <v>0</v>
      </c>
      <c r="S436">
        <v>0</v>
      </c>
      <c r="T436">
        <v>0</v>
      </c>
      <c r="U436">
        <v>0</v>
      </c>
      <c r="V436">
        <v>0</v>
      </c>
      <c r="W436">
        <v>0</v>
      </c>
      <c r="X436">
        <v>0</v>
      </c>
      <c r="Y436">
        <v>0</v>
      </c>
      <c r="Z436">
        <v>1</v>
      </c>
      <c r="AA436">
        <v>0</v>
      </c>
      <c r="AB436">
        <v>0</v>
      </c>
      <c r="AC436">
        <v>0</v>
      </c>
      <c r="AD436">
        <v>0</v>
      </c>
      <c r="AE436">
        <v>0</v>
      </c>
      <c r="AF436">
        <v>0</v>
      </c>
      <c r="AG436">
        <v>0</v>
      </c>
      <c r="AH436">
        <v>1</v>
      </c>
      <c r="AI436">
        <v>0</v>
      </c>
      <c r="AJ436">
        <v>0</v>
      </c>
      <c r="AK436">
        <v>0</v>
      </c>
      <c r="AL436">
        <v>0</v>
      </c>
      <c r="AM436">
        <v>0</v>
      </c>
      <c r="AN436">
        <v>0</v>
      </c>
      <c r="AO436">
        <v>0</v>
      </c>
      <c r="AP436">
        <v>0</v>
      </c>
      <c r="AQ436">
        <v>0</v>
      </c>
      <c r="AR436">
        <v>0</v>
      </c>
      <c r="AS436">
        <f t="shared" si="86"/>
        <v>2</v>
      </c>
      <c r="AT436">
        <f t="shared" si="87"/>
        <v>2</v>
      </c>
      <c r="AU436" s="3" t="s">
        <v>1521</v>
      </c>
      <c r="AV436">
        <f t="shared" si="88"/>
        <v>1</v>
      </c>
      <c r="AW436">
        <f t="shared" si="89"/>
        <v>0</v>
      </c>
      <c r="AX436">
        <f t="shared" si="90"/>
        <v>0</v>
      </c>
      <c r="AY436">
        <v>3.5</v>
      </c>
      <c r="AZ436" t="s">
        <v>60</v>
      </c>
      <c r="BA436" t="s">
        <v>61</v>
      </c>
      <c r="BB436" t="s">
        <v>8</v>
      </c>
    </row>
    <row r="437" ht="409.5" spans="1:54">
      <c r="A437" t="s">
        <v>1522</v>
      </c>
      <c r="B437" t="s">
        <v>1041</v>
      </c>
      <c r="C437" t="s">
        <v>56</v>
      </c>
      <c r="D437">
        <v>10</v>
      </c>
      <c r="E437">
        <v>0</v>
      </c>
      <c r="F437">
        <v>150</v>
      </c>
      <c r="G437" t="s">
        <v>425</v>
      </c>
      <c r="H437" s="3" t="s">
        <v>1523</v>
      </c>
      <c r="I437" s="3" t="s">
        <v>1524</v>
      </c>
      <c r="J437">
        <f t="shared" si="78"/>
        <v>0</v>
      </c>
      <c r="K437">
        <f t="shared" si="79"/>
        <v>1</v>
      </c>
      <c r="L437">
        <f t="shared" si="80"/>
        <v>0</v>
      </c>
      <c r="M437">
        <f t="shared" si="81"/>
        <v>0</v>
      </c>
      <c r="N437">
        <f t="shared" si="82"/>
        <v>0</v>
      </c>
      <c r="O437">
        <f t="shared" si="83"/>
        <v>1</v>
      </c>
      <c r="P437">
        <f t="shared" si="84"/>
        <v>0</v>
      </c>
      <c r="Q437">
        <f t="shared" si="85"/>
        <v>0</v>
      </c>
      <c r="R437">
        <v>0</v>
      </c>
      <c r="S437">
        <v>0</v>
      </c>
      <c r="T437">
        <v>0</v>
      </c>
      <c r="U437">
        <v>0</v>
      </c>
      <c r="V437">
        <v>0</v>
      </c>
      <c r="W437">
        <v>1</v>
      </c>
      <c r="X437">
        <v>0</v>
      </c>
      <c r="Y437">
        <v>0</v>
      </c>
      <c r="Z437">
        <v>0</v>
      </c>
      <c r="AA437">
        <v>0</v>
      </c>
      <c r="AB437">
        <v>0</v>
      </c>
      <c r="AC437">
        <v>0</v>
      </c>
      <c r="AD437">
        <v>0</v>
      </c>
      <c r="AE437">
        <v>0</v>
      </c>
      <c r="AF437">
        <v>0</v>
      </c>
      <c r="AG437">
        <v>0</v>
      </c>
      <c r="AH437">
        <v>0</v>
      </c>
      <c r="AI437">
        <v>1</v>
      </c>
      <c r="AJ437">
        <v>0</v>
      </c>
      <c r="AK437">
        <v>0</v>
      </c>
      <c r="AL437">
        <v>1</v>
      </c>
      <c r="AM437">
        <v>0</v>
      </c>
      <c r="AN437">
        <v>0</v>
      </c>
      <c r="AO437">
        <v>0</v>
      </c>
      <c r="AP437">
        <v>0</v>
      </c>
      <c r="AQ437">
        <v>0</v>
      </c>
      <c r="AR437">
        <v>0</v>
      </c>
      <c r="AS437">
        <f t="shared" si="86"/>
        <v>2</v>
      </c>
      <c r="AT437">
        <f t="shared" si="87"/>
        <v>3</v>
      </c>
      <c r="AU437" s="3" t="s">
        <v>1525</v>
      </c>
      <c r="AV437">
        <f t="shared" si="88"/>
        <v>1</v>
      </c>
      <c r="AW437">
        <f t="shared" si="89"/>
        <v>0</v>
      </c>
      <c r="AX437">
        <f t="shared" si="90"/>
        <v>0</v>
      </c>
      <c r="AY437">
        <v>2.5</v>
      </c>
      <c r="AZ437" t="s">
        <v>60</v>
      </c>
      <c r="BA437" t="s">
        <v>61</v>
      </c>
      <c r="BB437" t="s">
        <v>8</v>
      </c>
    </row>
    <row r="438" ht="409.5" spans="1:54">
      <c r="A438" t="s">
        <v>1526</v>
      </c>
      <c r="B438" t="s">
        <v>1041</v>
      </c>
      <c r="C438" t="s">
        <v>116</v>
      </c>
      <c r="D438">
        <v>48</v>
      </c>
      <c r="E438">
        <v>0</v>
      </c>
      <c r="F438">
        <v>12.7</v>
      </c>
      <c r="G438" t="s">
        <v>425</v>
      </c>
      <c r="H438" s="3" t="s">
        <v>1527</v>
      </c>
      <c r="I438" s="3" t="s">
        <v>1528</v>
      </c>
      <c r="J438">
        <f t="shared" si="78"/>
        <v>0</v>
      </c>
      <c r="K438">
        <f t="shared" si="79"/>
        <v>1</v>
      </c>
      <c r="L438">
        <f t="shared" si="80"/>
        <v>1</v>
      </c>
      <c r="M438">
        <f t="shared" si="81"/>
        <v>0</v>
      </c>
      <c r="N438">
        <f t="shared" si="82"/>
        <v>0</v>
      </c>
      <c r="O438">
        <f t="shared" si="83"/>
        <v>1</v>
      </c>
      <c r="P438">
        <f t="shared" si="84"/>
        <v>0</v>
      </c>
      <c r="Q438">
        <f t="shared" si="85"/>
        <v>0</v>
      </c>
      <c r="R438">
        <v>0</v>
      </c>
      <c r="S438">
        <v>0</v>
      </c>
      <c r="T438">
        <v>0</v>
      </c>
      <c r="U438">
        <v>1</v>
      </c>
      <c r="V438">
        <v>1</v>
      </c>
      <c r="W438">
        <v>0</v>
      </c>
      <c r="X438">
        <v>0</v>
      </c>
      <c r="Y438">
        <v>0</v>
      </c>
      <c r="Z438">
        <v>1</v>
      </c>
      <c r="AA438">
        <v>1</v>
      </c>
      <c r="AB438">
        <v>0</v>
      </c>
      <c r="AC438">
        <v>0</v>
      </c>
      <c r="AD438">
        <v>0</v>
      </c>
      <c r="AE438">
        <v>0</v>
      </c>
      <c r="AF438">
        <v>0</v>
      </c>
      <c r="AG438">
        <v>0</v>
      </c>
      <c r="AH438">
        <v>0</v>
      </c>
      <c r="AI438">
        <v>0</v>
      </c>
      <c r="AJ438">
        <v>0</v>
      </c>
      <c r="AK438">
        <v>0</v>
      </c>
      <c r="AL438">
        <v>1</v>
      </c>
      <c r="AM438">
        <v>0</v>
      </c>
      <c r="AN438">
        <v>0</v>
      </c>
      <c r="AO438">
        <v>0</v>
      </c>
      <c r="AP438">
        <v>0</v>
      </c>
      <c r="AQ438">
        <v>0</v>
      </c>
      <c r="AR438">
        <v>0</v>
      </c>
      <c r="AS438">
        <f t="shared" si="86"/>
        <v>3</v>
      </c>
      <c r="AT438">
        <f t="shared" si="87"/>
        <v>5</v>
      </c>
      <c r="AU438" s="3" t="s">
        <v>1529</v>
      </c>
      <c r="AV438">
        <f t="shared" si="88"/>
        <v>1</v>
      </c>
      <c r="AW438">
        <f t="shared" si="89"/>
        <v>0</v>
      </c>
      <c r="AX438">
        <f t="shared" si="90"/>
        <v>0</v>
      </c>
      <c r="AY438">
        <v>-5</v>
      </c>
      <c r="AZ438" t="s">
        <v>133</v>
      </c>
      <c r="BA438" t="s">
        <v>134</v>
      </c>
      <c r="BB438" t="s">
        <v>8</v>
      </c>
    </row>
    <row r="439" ht="202" spans="1:54">
      <c r="A439" t="s">
        <v>1530</v>
      </c>
      <c r="B439" t="s">
        <v>1041</v>
      </c>
      <c r="C439" t="s">
        <v>56</v>
      </c>
      <c r="D439">
        <v>3</v>
      </c>
      <c r="E439">
        <v>1</v>
      </c>
      <c r="F439">
        <v>37</v>
      </c>
      <c r="G439" t="s">
        <v>425</v>
      </c>
      <c r="H439" s="3" t="s">
        <v>1531</v>
      </c>
      <c r="I439" s="3" t="s">
        <v>1532</v>
      </c>
      <c r="J439">
        <f t="shared" si="78"/>
        <v>0</v>
      </c>
      <c r="K439">
        <f t="shared" si="79"/>
        <v>0</v>
      </c>
      <c r="L439">
        <f t="shared" si="80"/>
        <v>0</v>
      </c>
      <c r="M439">
        <f t="shared" si="81"/>
        <v>0</v>
      </c>
      <c r="N439">
        <f t="shared" si="82"/>
        <v>1</v>
      </c>
      <c r="O439">
        <f t="shared" si="83"/>
        <v>0</v>
      </c>
      <c r="P439">
        <f t="shared" si="84"/>
        <v>0</v>
      </c>
      <c r="Q439">
        <f t="shared" si="85"/>
        <v>0</v>
      </c>
      <c r="R439">
        <v>0</v>
      </c>
      <c r="S439">
        <v>0</v>
      </c>
      <c r="T439">
        <v>0</v>
      </c>
      <c r="U439">
        <v>0</v>
      </c>
      <c r="V439">
        <v>0</v>
      </c>
      <c r="W439">
        <v>0</v>
      </c>
      <c r="X439">
        <v>0</v>
      </c>
      <c r="Y439">
        <v>0</v>
      </c>
      <c r="Z439">
        <v>0</v>
      </c>
      <c r="AA439">
        <v>0</v>
      </c>
      <c r="AB439">
        <v>0</v>
      </c>
      <c r="AC439">
        <v>0</v>
      </c>
      <c r="AD439">
        <v>0</v>
      </c>
      <c r="AE439">
        <v>0</v>
      </c>
      <c r="AF439">
        <v>0</v>
      </c>
      <c r="AG439">
        <v>0</v>
      </c>
      <c r="AH439">
        <v>1</v>
      </c>
      <c r="AI439">
        <v>0</v>
      </c>
      <c r="AJ439">
        <v>0</v>
      </c>
      <c r="AK439">
        <v>0</v>
      </c>
      <c r="AL439">
        <v>0</v>
      </c>
      <c r="AM439">
        <v>0</v>
      </c>
      <c r="AN439">
        <v>0</v>
      </c>
      <c r="AO439">
        <v>0</v>
      </c>
      <c r="AP439">
        <v>0</v>
      </c>
      <c r="AQ439">
        <v>0</v>
      </c>
      <c r="AR439">
        <v>0</v>
      </c>
      <c r="AS439">
        <f t="shared" si="86"/>
        <v>1</v>
      </c>
      <c r="AT439">
        <f t="shared" si="87"/>
        <v>1</v>
      </c>
      <c r="AU439" s="3" t="s">
        <v>129</v>
      </c>
      <c r="AV439">
        <f t="shared" si="88"/>
        <v>1</v>
      </c>
      <c r="AW439">
        <f t="shared" si="89"/>
        <v>0</v>
      </c>
      <c r="AX439">
        <f t="shared" si="90"/>
        <v>0</v>
      </c>
      <c r="AY439">
        <v>5</v>
      </c>
      <c r="AZ439" t="s">
        <v>60</v>
      </c>
      <c r="BA439" t="s">
        <v>61</v>
      </c>
      <c r="BB439" t="s">
        <v>8</v>
      </c>
    </row>
    <row r="440" ht="409.5" spans="1:54">
      <c r="A440" t="s">
        <v>1533</v>
      </c>
      <c r="B440" t="s">
        <v>1041</v>
      </c>
      <c r="C440" t="s">
        <v>56</v>
      </c>
      <c r="D440">
        <v>0</v>
      </c>
      <c r="E440">
        <v>0</v>
      </c>
      <c r="F440">
        <v>8</v>
      </c>
      <c r="G440" t="s">
        <v>425</v>
      </c>
      <c r="H440" s="3" t="s">
        <v>1534</v>
      </c>
      <c r="I440" s="3" t="s">
        <v>1535</v>
      </c>
      <c r="J440">
        <f t="shared" si="78"/>
        <v>1</v>
      </c>
      <c r="K440">
        <f t="shared" si="79"/>
        <v>1</v>
      </c>
      <c r="L440">
        <f t="shared" si="80"/>
        <v>0</v>
      </c>
      <c r="M440">
        <f t="shared" si="81"/>
        <v>0</v>
      </c>
      <c r="N440">
        <f t="shared" si="82"/>
        <v>1</v>
      </c>
      <c r="O440">
        <f t="shared" si="83"/>
        <v>1</v>
      </c>
      <c r="P440">
        <f t="shared" si="84"/>
        <v>0</v>
      </c>
      <c r="Q440">
        <f t="shared" si="85"/>
        <v>0</v>
      </c>
      <c r="R440">
        <v>1</v>
      </c>
      <c r="S440">
        <v>0</v>
      </c>
      <c r="T440">
        <v>0</v>
      </c>
      <c r="U440">
        <v>1</v>
      </c>
      <c r="V440">
        <v>1</v>
      </c>
      <c r="W440">
        <v>1</v>
      </c>
      <c r="X440">
        <v>0</v>
      </c>
      <c r="Y440">
        <v>0</v>
      </c>
      <c r="Z440">
        <v>0</v>
      </c>
      <c r="AA440">
        <v>0</v>
      </c>
      <c r="AB440">
        <v>0</v>
      </c>
      <c r="AC440">
        <v>0</v>
      </c>
      <c r="AD440">
        <v>0</v>
      </c>
      <c r="AE440">
        <v>0</v>
      </c>
      <c r="AF440">
        <v>0</v>
      </c>
      <c r="AG440">
        <v>0</v>
      </c>
      <c r="AH440">
        <v>1</v>
      </c>
      <c r="AI440">
        <v>1</v>
      </c>
      <c r="AJ440">
        <v>0</v>
      </c>
      <c r="AK440">
        <v>0</v>
      </c>
      <c r="AL440">
        <v>0</v>
      </c>
      <c r="AM440">
        <v>0</v>
      </c>
      <c r="AN440">
        <v>0</v>
      </c>
      <c r="AO440">
        <v>0</v>
      </c>
      <c r="AP440">
        <v>0</v>
      </c>
      <c r="AQ440">
        <v>0</v>
      </c>
      <c r="AR440">
        <v>0</v>
      </c>
      <c r="AS440">
        <f t="shared" si="86"/>
        <v>4</v>
      </c>
      <c r="AT440">
        <f t="shared" si="87"/>
        <v>6</v>
      </c>
      <c r="AU440" s="3" t="s">
        <v>1536</v>
      </c>
      <c r="AV440">
        <f t="shared" si="88"/>
        <v>1</v>
      </c>
      <c r="AW440">
        <f t="shared" si="89"/>
        <v>0</v>
      </c>
      <c r="AX440">
        <f t="shared" si="90"/>
        <v>0</v>
      </c>
      <c r="AY440">
        <v>12.5</v>
      </c>
      <c r="AZ440" t="s">
        <v>60</v>
      </c>
      <c r="BA440" t="s">
        <v>61</v>
      </c>
      <c r="BB440" t="s">
        <v>8</v>
      </c>
    </row>
    <row r="441" ht="286" spans="1:54">
      <c r="A441" t="s">
        <v>1537</v>
      </c>
      <c r="B441" t="s">
        <v>1041</v>
      </c>
      <c r="C441" t="s">
        <v>56</v>
      </c>
      <c r="D441">
        <v>0</v>
      </c>
      <c r="E441">
        <v>0</v>
      </c>
      <c r="F441">
        <v>44</v>
      </c>
      <c r="G441" t="s">
        <v>425</v>
      </c>
      <c r="H441" s="3" t="s">
        <v>1538</v>
      </c>
      <c r="I441" s="3" t="s">
        <v>1539</v>
      </c>
      <c r="J441">
        <f t="shared" si="78"/>
        <v>0</v>
      </c>
      <c r="K441">
        <f t="shared" si="79"/>
        <v>0</v>
      </c>
      <c r="L441">
        <f t="shared" si="80"/>
        <v>0</v>
      </c>
      <c r="M441">
        <f t="shared" si="81"/>
        <v>0</v>
      </c>
      <c r="N441">
        <f t="shared" si="82"/>
        <v>1</v>
      </c>
      <c r="O441">
        <f t="shared" si="83"/>
        <v>0</v>
      </c>
      <c r="P441">
        <f t="shared" si="84"/>
        <v>0</v>
      </c>
      <c r="Q441">
        <f t="shared" si="85"/>
        <v>0</v>
      </c>
      <c r="R441">
        <v>0</v>
      </c>
      <c r="S441">
        <v>0</v>
      </c>
      <c r="T441">
        <v>0</v>
      </c>
      <c r="U441">
        <v>0</v>
      </c>
      <c r="V441">
        <v>0</v>
      </c>
      <c r="W441">
        <v>0</v>
      </c>
      <c r="X441">
        <v>0</v>
      </c>
      <c r="Y441">
        <v>0</v>
      </c>
      <c r="Z441">
        <v>0</v>
      </c>
      <c r="AA441">
        <v>0</v>
      </c>
      <c r="AB441">
        <v>0</v>
      </c>
      <c r="AC441">
        <v>0</v>
      </c>
      <c r="AD441">
        <v>0</v>
      </c>
      <c r="AE441">
        <v>0</v>
      </c>
      <c r="AF441">
        <v>0</v>
      </c>
      <c r="AG441">
        <v>1</v>
      </c>
      <c r="AH441">
        <v>1</v>
      </c>
      <c r="AI441">
        <v>0</v>
      </c>
      <c r="AJ441">
        <v>0</v>
      </c>
      <c r="AK441">
        <v>0</v>
      </c>
      <c r="AL441">
        <v>0</v>
      </c>
      <c r="AM441">
        <v>0</v>
      </c>
      <c r="AN441">
        <v>0</v>
      </c>
      <c r="AO441">
        <v>0</v>
      </c>
      <c r="AP441">
        <v>0</v>
      </c>
      <c r="AQ441">
        <v>0</v>
      </c>
      <c r="AR441">
        <v>0</v>
      </c>
      <c r="AS441">
        <f t="shared" si="86"/>
        <v>1</v>
      </c>
      <c r="AT441">
        <f t="shared" si="87"/>
        <v>2</v>
      </c>
      <c r="AU441" s="3" t="s">
        <v>1540</v>
      </c>
      <c r="AV441">
        <f t="shared" si="88"/>
        <v>1</v>
      </c>
      <c r="AW441">
        <f t="shared" si="89"/>
        <v>0</v>
      </c>
      <c r="AX441">
        <f t="shared" si="90"/>
        <v>0</v>
      </c>
      <c r="AY441">
        <v>2.5</v>
      </c>
      <c r="AZ441" t="s">
        <v>60</v>
      </c>
      <c r="BA441" t="s">
        <v>61</v>
      </c>
      <c r="BB441" t="s">
        <v>8</v>
      </c>
    </row>
    <row r="442" ht="303" spans="1:54">
      <c r="A442" t="s">
        <v>1541</v>
      </c>
      <c r="B442" t="s">
        <v>1041</v>
      </c>
      <c r="C442" t="s">
        <v>116</v>
      </c>
      <c r="D442">
        <v>14</v>
      </c>
      <c r="E442">
        <v>0</v>
      </c>
      <c r="F442">
        <v>11.5</v>
      </c>
      <c r="G442" t="s">
        <v>443</v>
      </c>
      <c r="H442" s="3" t="s">
        <v>1542</v>
      </c>
      <c r="I442" s="3" t="s">
        <v>1543</v>
      </c>
      <c r="J442">
        <f t="shared" si="78"/>
        <v>0</v>
      </c>
      <c r="K442">
        <f t="shared" si="79"/>
        <v>1</v>
      </c>
      <c r="L442">
        <f t="shared" si="80"/>
        <v>0</v>
      </c>
      <c r="M442">
        <f t="shared" si="81"/>
        <v>0</v>
      </c>
      <c r="N442">
        <f t="shared" si="82"/>
        <v>1</v>
      </c>
      <c r="O442">
        <f t="shared" si="83"/>
        <v>0</v>
      </c>
      <c r="P442">
        <f t="shared" si="84"/>
        <v>0</v>
      </c>
      <c r="Q442">
        <f t="shared" si="85"/>
        <v>0</v>
      </c>
      <c r="R442">
        <v>0</v>
      </c>
      <c r="S442">
        <v>0</v>
      </c>
      <c r="T442">
        <v>0</v>
      </c>
      <c r="U442">
        <v>0</v>
      </c>
      <c r="V442">
        <v>1</v>
      </c>
      <c r="W442">
        <v>1</v>
      </c>
      <c r="X442">
        <v>0</v>
      </c>
      <c r="Y442">
        <v>0</v>
      </c>
      <c r="Z442">
        <v>0</v>
      </c>
      <c r="AA442">
        <v>0</v>
      </c>
      <c r="AB442">
        <v>0</v>
      </c>
      <c r="AC442">
        <v>0</v>
      </c>
      <c r="AD442">
        <v>0</v>
      </c>
      <c r="AE442">
        <v>0</v>
      </c>
      <c r="AF442">
        <v>0</v>
      </c>
      <c r="AG442">
        <v>0</v>
      </c>
      <c r="AH442">
        <v>1</v>
      </c>
      <c r="AI442">
        <v>0</v>
      </c>
      <c r="AJ442">
        <v>0</v>
      </c>
      <c r="AK442">
        <v>0</v>
      </c>
      <c r="AL442">
        <v>0</v>
      </c>
      <c r="AM442">
        <v>0</v>
      </c>
      <c r="AN442">
        <v>0</v>
      </c>
      <c r="AO442">
        <v>0</v>
      </c>
      <c r="AP442">
        <v>0</v>
      </c>
      <c r="AQ442">
        <v>0</v>
      </c>
      <c r="AR442">
        <v>0</v>
      </c>
      <c r="AS442">
        <f t="shared" si="86"/>
        <v>2</v>
      </c>
      <c r="AT442">
        <f t="shared" si="87"/>
        <v>3</v>
      </c>
      <c r="AU442" s="3" t="s">
        <v>1143</v>
      </c>
      <c r="AV442">
        <f t="shared" si="88"/>
        <v>1</v>
      </c>
      <c r="AW442">
        <f t="shared" si="89"/>
        <v>0</v>
      </c>
      <c r="AX442">
        <f t="shared" si="90"/>
        <v>0</v>
      </c>
      <c r="AY442">
        <v>-0.5</v>
      </c>
      <c r="AZ442" t="s">
        <v>133</v>
      </c>
      <c r="BA442" t="s">
        <v>134</v>
      </c>
      <c r="BB442" t="s">
        <v>8</v>
      </c>
    </row>
    <row r="443" ht="17" spans="1:54">
      <c r="A443" t="s">
        <v>1544</v>
      </c>
      <c r="B443" t="s">
        <v>1041</v>
      </c>
      <c r="C443" t="s">
        <v>56</v>
      </c>
      <c r="D443">
        <v>0</v>
      </c>
      <c r="E443">
        <v>0</v>
      </c>
      <c r="F443">
        <v>30.9</v>
      </c>
      <c r="G443" t="s">
        <v>443</v>
      </c>
      <c r="H443" s="3" t="s">
        <v>1545</v>
      </c>
      <c r="I443" s="3" t="s">
        <v>1545</v>
      </c>
      <c r="J443">
        <f t="shared" si="78"/>
        <v>0</v>
      </c>
      <c r="K443">
        <f t="shared" si="79"/>
        <v>0</v>
      </c>
      <c r="L443">
        <f t="shared" si="80"/>
        <v>0</v>
      </c>
      <c r="M443">
        <f t="shared" si="81"/>
        <v>0</v>
      </c>
      <c r="N443">
        <f t="shared" si="82"/>
        <v>0</v>
      </c>
      <c r="O443">
        <f t="shared" si="83"/>
        <v>0</v>
      </c>
      <c r="P443">
        <f t="shared" si="84"/>
        <v>0</v>
      </c>
      <c r="Q443">
        <f t="shared" si="85"/>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f t="shared" si="86"/>
        <v>0</v>
      </c>
      <c r="AT443">
        <f t="shared" si="87"/>
        <v>0</v>
      </c>
      <c r="AU443" s="3" t="s">
        <v>118</v>
      </c>
      <c r="AV443">
        <f t="shared" si="88"/>
        <v>0</v>
      </c>
      <c r="AW443">
        <f t="shared" si="89"/>
        <v>1</v>
      </c>
      <c r="AX443">
        <f t="shared" si="90"/>
        <v>0</v>
      </c>
      <c r="AY443">
        <v>0</v>
      </c>
      <c r="AZ443" t="s">
        <v>147</v>
      </c>
      <c r="BA443" t="s">
        <v>148</v>
      </c>
      <c r="BB443" t="s">
        <v>8</v>
      </c>
    </row>
    <row r="444" ht="68" spans="1:54">
      <c r="A444" t="s">
        <v>1546</v>
      </c>
      <c r="B444" t="s">
        <v>1041</v>
      </c>
      <c r="C444" t="s">
        <v>56</v>
      </c>
      <c r="D444">
        <v>0</v>
      </c>
      <c r="E444">
        <v>0</v>
      </c>
      <c r="F444">
        <v>96</v>
      </c>
      <c r="G444" t="s">
        <v>443</v>
      </c>
      <c r="H444" s="3" t="s">
        <v>1547</v>
      </c>
      <c r="I444" s="3" t="s">
        <v>1548</v>
      </c>
      <c r="J444">
        <f t="shared" si="78"/>
        <v>1</v>
      </c>
      <c r="K444">
        <f t="shared" si="79"/>
        <v>0</v>
      </c>
      <c r="L444">
        <f t="shared" si="80"/>
        <v>0</v>
      </c>
      <c r="M444">
        <f t="shared" si="81"/>
        <v>0</v>
      </c>
      <c r="N444">
        <f t="shared" si="82"/>
        <v>0</v>
      </c>
      <c r="O444">
        <f t="shared" si="83"/>
        <v>0</v>
      </c>
      <c r="P444">
        <f t="shared" si="84"/>
        <v>0</v>
      </c>
      <c r="Q444">
        <f t="shared" si="85"/>
        <v>0</v>
      </c>
      <c r="R444">
        <v>1</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f t="shared" si="86"/>
        <v>1</v>
      </c>
      <c r="AT444">
        <f t="shared" si="87"/>
        <v>1</v>
      </c>
      <c r="AU444" s="3" t="s">
        <v>1128</v>
      </c>
      <c r="AV444">
        <f t="shared" si="88"/>
        <v>1</v>
      </c>
      <c r="AW444">
        <f t="shared" si="89"/>
        <v>0</v>
      </c>
      <c r="AX444">
        <f t="shared" si="90"/>
        <v>0</v>
      </c>
      <c r="AY444">
        <v>3</v>
      </c>
      <c r="AZ444" t="s">
        <v>60</v>
      </c>
      <c r="BA444" t="s">
        <v>61</v>
      </c>
      <c r="BB444" t="s">
        <v>8</v>
      </c>
    </row>
    <row r="445" ht="202" spans="1:54">
      <c r="A445" t="s">
        <v>1549</v>
      </c>
      <c r="B445" t="s">
        <v>1041</v>
      </c>
      <c r="C445" t="s">
        <v>56</v>
      </c>
      <c r="D445">
        <v>9</v>
      </c>
      <c r="E445">
        <v>0</v>
      </c>
      <c r="F445">
        <v>27.2</v>
      </c>
      <c r="G445" t="s">
        <v>443</v>
      </c>
      <c r="H445" s="3" t="s">
        <v>1550</v>
      </c>
      <c r="I445" s="3" t="s">
        <v>1551</v>
      </c>
      <c r="J445">
        <f t="shared" si="78"/>
        <v>1</v>
      </c>
      <c r="K445">
        <f t="shared" si="79"/>
        <v>1</v>
      </c>
      <c r="L445">
        <f t="shared" si="80"/>
        <v>1</v>
      </c>
      <c r="M445">
        <f t="shared" si="81"/>
        <v>0</v>
      </c>
      <c r="N445">
        <f t="shared" si="82"/>
        <v>0</v>
      </c>
      <c r="O445">
        <f t="shared" si="83"/>
        <v>0</v>
      </c>
      <c r="P445">
        <f t="shared" si="84"/>
        <v>0</v>
      </c>
      <c r="Q445">
        <f t="shared" si="85"/>
        <v>0</v>
      </c>
      <c r="R445">
        <v>0</v>
      </c>
      <c r="S445">
        <v>0</v>
      </c>
      <c r="T445">
        <v>1</v>
      </c>
      <c r="U445">
        <v>1</v>
      </c>
      <c r="V445">
        <v>1</v>
      </c>
      <c r="W445">
        <v>0</v>
      </c>
      <c r="X445">
        <v>0</v>
      </c>
      <c r="Y445">
        <v>0</v>
      </c>
      <c r="Z445">
        <v>1</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f t="shared" si="86"/>
        <v>3</v>
      </c>
      <c r="AT445">
        <f t="shared" si="87"/>
        <v>4</v>
      </c>
      <c r="AU445" s="3" t="s">
        <v>1304</v>
      </c>
      <c r="AV445">
        <f t="shared" si="88"/>
        <v>1</v>
      </c>
      <c r="AW445">
        <f t="shared" si="89"/>
        <v>0</v>
      </c>
      <c r="AX445">
        <f t="shared" si="90"/>
        <v>0</v>
      </c>
      <c r="AY445">
        <v>-1</v>
      </c>
      <c r="AZ445" t="s">
        <v>133</v>
      </c>
      <c r="BA445" t="s">
        <v>134</v>
      </c>
      <c r="BB445" t="s">
        <v>8</v>
      </c>
    </row>
    <row r="446" ht="168" spans="1:54">
      <c r="A446" t="s">
        <v>1552</v>
      </c>
      <c r="B446" t="s">
        <v>1041</v>
      </c>
      <c r="C446" t="s">
        <v>116</v>
      </c>
      <c r="D446">
        <v>14</v>
      </c>
      <c r="E446">
        <v>0</v>
      </c>
      <c r="F446">
        <v>39.2</v>
      </c>
      <c r="G446" t="s">
        <v>443</v>
      </c>
      <c r="H446" s="3" t="s">
        <v>1553</v>
      </c>
      <c r="I446" s="3" t="s">
        <v>1554</v>
      </c>
      <c r="J446">
        <f t="shared" si="78"/>
        <v>1</v>
      </c>
      <c r="K446">
        <f t="shared" si="79"/>
        <v>1</v>
      </c>
      <c r="L446">
        <f t="shared" si="80"/>
        <v>1</v>
      </c>
      <c r="M446">
        <f t="shared" si="81"/>
        <v>0</v>
      </c>
      <c r="N446">
        <f t="shared" si="82"/>
        <v>1</v>
      </c>
      <c r="O446">
        <f t="shared" si="83"/>
        <v>0</v>
      </c>
      <c r="P446">
        <f t="shared" si="84"/>
        <v>0</v>
      </c>
      <c r="Q446">
        <f t="shared" si="85"/>
        <v>0</v>
      </c>
      <c r="R446">
        <v>1</v>
      </c>
      <c r="S446">
        <v>0</v>
      </c>
      <c r="T446">
        <v>0</v>
      </c>
      <c r="U446">
        <v>1</v>
      </c>
      <c r="V446">
        <v>0</v>
      </c>
      <c r="W446">
        <v>0</v>
      </c>
      <c r="X446">
        <v>0</v>
      </c>
      <c r="Y446">
        <v>0</v>
      </c>
      <c r="Z446">
        <v>1</v>
      </c>
      <c r="AA446">
        <v>1</v>
      </c>
      <c r="AB446">
        <v>0</v>
      </c>
      <c r="AC446">
        <v>0</v>
      </c>
      <c r="AD446">
        <v>0</v>
      </c>
      <c r="AE446">
        <v>0</v>
      </c>
      <c r="AF446">
        <v>0</v>
      </c>
      <c r="AG446">
        <v>0</v>
      </c>
      <c r="AH446">
        <v>1</v>
      </c>
      <c r="AI446">
        <v>0</v>
      </c>
      <c r="AJ446">
        <v>0</v>
      </c>
      <c r="AK446">
        <v>0</v>
      </c>
      <c r="AL446">
        <v>0</v>
      </c>
      <c r="AM446">
        <v>0</v>
      </c>
      <c r="AN446">
        <v>0</v>
      </c>
      <c r="AO446">
        <v>0</v>
      </c>
      <c r="AP446">
        <v>0</v>
      </c>
      <c r="AQ446">
        <v>0</v>
      </c>
      <c r="AR446">
        <v>0</v>
      </c>
      <c r="AS446">
        <f t="shared" si="86"/>
        <v>4</v>
      </c>
      <c r="AT446">
        <f t="shared" si="87"/>
        <v>5</v>
      </c>
      <c r="AU446" s="3" t="s">
        <v>1555</v>
      </c>
      <c r="AV446">
        <f t="shared" si="88"/>
        <v>1</v>
      </c>
      <c r="AW446">
        <f t="shared" si="89"/>
        <v>0</v>
      </c>
      <c r="AX446">
        <f t="shared" si="90"/>
        <v>0</v>
      </c>
      <c r="AY446">
        <v>1.5</v>
      </c>
      <c r="AZ446" t="s">
        <v>60</v>
      </c>
      <c r="BA446" t="s">
        <v>61</v>
      </c>
      <c r="BB446" t="s">
        <v>8</v>
      </c>
    </row>
    <row r="447" ht="370" spans="1:54">
      <c r="A447" t="s">
        <v>1556</v>
      </c>
      <c r="B447" t="s">
        <v>1041</v>
      </c>
      <c r="C447" t="s">
        <v>56</v>
      </c>
      <c r="D447">
        <v>0</v>
      </c>
      <c r="E447">
        <v>0</v>
      </c>
      <c r="F447">
        <v>51.6</v>
      </c>
      <c r="G447" t="s">
        <v>443</v>
      </c>
      <c r="H447" s="3" t="s">
        <v>1557</v>
      </c>
      <c r="I447" s="3" t="s">
        <v>1558</v>
      </c>
      <c r="J447">
        <f t="shared" si="78"/>
        <v>0</v>
      </c>
      <c r="K447">
        <f t="shared" si="79"/>
        <v>1</v>
      </c>
      <c r="L447">
        <f t="shared" si="80"/>
        <v>0</v>
      </c>
      <c r="M447">
        <f t="shared" si="81"/>
        <v>0</v>
      </c>
      <c r="N447">
        <f t="shared" si="82"/>
        <v>1</v>
      </c>
      <c r="O447">
        <f t="shared" si="83"/>
        <v>0</v>
      </c>
      <c r="P447">
        <f t="shared" si="84"/>
        <v>0</v>
      </c>
      <c r="Q447">
        <f t="shared" si="85"/>
        <v>0</v>
      </c>
      <c r="R447">
        <v>0</v>
      </c>
      <c r="S447">
        <v>0</v>
      </c>
      <c r="T447">
        <v>0</v>
      </c>
      <c r="U447">
        <v>1</v>
      </c>
      <c r="V447">
        <v>0</v>
      </c>
      <c r="W447">
        <v>1</v>
      </c>
      <c r="X447">
        <v>0</v>
      </c>
      <c r="Y447">
        <v>0</v>
      </c>
      <c r="Z447">
        <v>0</v>
      </c>
      <c r="AA447">
        <v>0</v>
      </c>
      <c r="AB447">
        <v>0</v>
      </c>
      <c r="AC447">
        <v>0</v>
      </c>
      <c r="AD447">
        <v>0</v>
      </c>
      <c r="AE447">
        <v>0</v>
      </c>
      <c r="AF447">
        <v>0</v>
      </c>
      <c r="AG447">
        <v>0</v>
      </c>
      <c r="AH447">
        <v>1</v>
      </c>
      <c r="AI447">
        <v>0</v>
      </c>
      <c r="AJ447">
        <v>0</v>
      </c>
      <c r="AK447">
        <v>0</v>
      </c>
      <c r="AL447">
        <v>0</v>
      </c>
      <c r="AM447">
        <v>0</v>
      </c>
      <c r="AN447">
        <v>0</v>
      </c>
      <c r="AO447">
        <v>0</v>
      </c>
      <c r="AP447">
        <v>0</v>
      </c>
      <c r="AQ447">
        <v>0</v>
      </c>
      <c r="AR447">
        <v>0</v>
      </c>
      <c r="AS447">
        <f t="shared" si="86"/>
        <v>2</v>
      </c>
      <c r="AT447">
        <f t="shared" si="87"/>
        <v>3</v>
      </c>
      <c r="AU447" s="3" t="s">
        <v>1237</v>
      </c>
      <c r="AV447">
        <f t="shared" si="88"/>
        <v>1</v>
      </c>
      <c r="AW447">
        <f t="shared" si="89"/>
        <v>0</v>
      </c>
      <c r="AX447">
        <f t="shared" si="90"/>
        <v>0</v>
      </c>
      <c r="AY447">
        <v>-2</v>
      </c>
      <c r="AZ447" t="s">
        <v>133</v>
      </c>
      <c r="BA447" t="s">
        <v>134</v>
      </c>
      <c r="BB447" t="s">
        <v>8</v>
      </c>
    </row>
    <row r="448" ht="252" spans="1:54">
      <c r="A448" t="s">
        <v>1559</v>
      </c>
      <c r="B448" t="s">
        <v>1041</v>
      </c>
      <c r="C448" t="s">
        <v>56</v>
      </c>
      <c r="D448">
        <v>2</v>
      </c>
      <c r="E448">
        <v>0</v>
      </c>
      <c r="F448">
        <v>50.8</v>
      </c>
      <c r="G448" t="s">
        <v>443</v>
      </c>
      <c r="H448" s="3" t="s">
        <v>1560</v>
      </c>
      <c r="I448" s="3" t="s">
        <v>1561</v>
      </c>
      <c r="J448">
        <f t="shared" si="78"/>
        <v>1</v>
      </c>
      <c r="K448">
        <f t="shared" si="79"/>
        <v>1</v>
      </c>
      <c r="L448">
        <f t="shared" si="80"/>
        <v>0</v>
      </c>
      <c r="M448">
        <f t="shared" si="81"/>
        <v>0</v>
      </c>
      <c r="N448">
        <f t="shared" si="82"/>
        <v>1</v>
      </c>
      <c r="O448">
        <f t="shared" si="83"/>
        <v>1</v>
      </c>
      <c r="P448">
        <f t="shared" si="84"/>
        <v>0</v>
      </c>
      <c r="Q448">
        <f t="shared" si="85"/>
        <v>0</v>
      </c>
      <c r="R448">
        <v>0</v>
      </c>
      <c r="S448">
        <v>0</v>
      </c>
      <c r="T448">
        <v>1</v>
      </c>
      <c r="U448">
        <v>1</v>
      </c>
      <c r="V448">
        <v>1</v>
      </c>
      <c r="W448">
        <v>0</v>
      </c>
      <c r="X448">
        <v>0</v>
      </c>
      <c r="Y448">
        <v>0</v>
      </c>
      <c r="Z448">
        <v>0</v>
      </c>
      <c r="AA448">
        <v>0</v>
      </c>
      <c r="AB448">
        <v>0</v>
      </c>
      <c r="AC448">
        <v>0</v>
      </c>
      <c r="AD448">
        <v>0</v>
      </c>
      <c r="AE448">
        <v>0</v>
      </c>
      <c r="AF448">
        <v>0</v>
      </c>
      <c r="AG448">
        <v>0</v>
      </c>
      <c r="AH448">
        <v>1</v>
      </c>
      <c r="AI448">
        <v>0</v>
      </c>
      <c r="AJ448">
        <v>0</v>
      </c>
      <c r="AK448">
        <v>0</v>
      </c>
      <c r="AL448">
        <v>1</v>
      </c>
      <c r="AM448">
        <v>0</v>
      </c>
      <c r="AN448">
        <v>0</v>
      </c>
      <c r="AO448">
        <v>0</v>
      </c>
      <c r="AP448">
        <v>0</v>
      </c>
      <c r="AQ448">
        <v>0</v>
      </c>
      <c r="AR448">
        <v>0</v>
      </c>
      <c r="AS448">
        <f t="shared" si="86"/>
        <v>4</v>
      </c>
      <c r="AT448">
        <f t="shared" si="87"/>
        <v>5</v>
      </c>
      <c r="AU448" s="3" t="s">
        <v>1562</v>
      </c>
      <c r="AV448">
        <f t="shared" si="88"/>
        <v>1</v>
      </c>
      <c r="AW448">
        <f t="shared" si="89"/>
        <v>0</v>
      </c>
      <c r="AX448">
        <f t="shared" si="90"/>
        <v>0</v>
      </c>
      <c r="AY448">
        <v>4.5</v>
      </c>
      <c r="AZ448" t="s">
        <v>60</v>
      </c>
      <c r="BA448" t="s">
        <v>61</v>
      </c>
      <c r="BB448" t="s">
        <v>8</v>
      </c>
    </row>
    <row r="449" ht="185" spans="1:54">
      <c r="A449" t="s">
        <v>1563</v>
      </c>
      <c r="B449" t="s">
        <v>1041</v>
      </c>
      <c r="C449" t="s">
        <v>56</v>
      </c>
      <c r="D449">
        <v>4</v>
      </c>
      <c r="E449">
        <v>0</v>
      </c>
      <c r="F449">
        <v>71.2</v>
      </c>
      <c r="G449" t="s">
        <v>443</v>
      </c>
      <c r="H449" s="3" t="s">
        <v>1564</v>
      </c>
      <c r="I449" s="3" t="s">
        <v>1565</v>
      </c>
      <c r="J449">
        <f t="shared" si="78"/>
        <v>0</v>
      </c>
      <c r="K449">
        <f t="shared" si="79"/>
        <v>1</v>
      </c>
      <c r="L449">
        <f t="shared" si="80"/>
        <v>0</v>
      </c>
      <c r="M449">
        <f t="shared" si="81"/>
        <v>0</v>
      </c>
      <c r="N449">
        <f t="shared" si="82"/>
        <v>1</v>
      </c>
      <c r="O449">
        <f t="shared" si="83"/>
        <v>0</v>
      </c>
      <c r="P449">
        <f t="shared" si="84"/>
        <v>1</v>
      </c>
      <c r="Q449">
        <f t="shared" si="85"/>
        <v>0</v>
      </c>
      <c r="R449">
        <v>0</v>
      </c>
      <c r="S449">
        <v>0</v>
      </c>
      <c r="T449">
        <v>0</v>
      </c>
      <c r="U449">
        <v>0</v>
      </c>
      <c r="V449">
        <v>0</v>
      </c>
      <c r="W449">
        <v>1</v>
      </c>
      <c r="X449">
        <v>0</v>
      </c>
      <c r="Y449">
        <v>0</v>
      </c>
      <c r="Z449">
        <v>0</v>
      </c>
      <c r="AA449">
        <v>0</v>
      </c>
      <c r="AB449">
        <v>0</v>
      </c>
      <c r="AC449">
        <v>0</v>
      </c>
      <c r="AD449">
        <v>0</v>
      </c>
      <c r="AE449">
        <v>0</v>
      </c>
      <c r="AF449">
        <v>0</v>
      </c>
      <c r="AG449">
        <v>0</v>
      </c>
      <c r="AH449">
        <v>1</v>
      </c>
      <c r="AI449">
        <v>0</v>
      </c>
      <c r="AJ449">
        <v>0</v>
      </c>
      <c r="AK449">
        <v>0</v>
      </c>
      <c r="AL449">
        <v>0</v>
      </c>
      <c r="AM449">
        <v>1</v>
      </c>
      <c r="AN449">
        <v>0</v>
      </c>
      <c r="AO449">
        <v>0</v>
      </c>
      <c r="AP449">
        <v>0</v>
      </c>
      <c r="AQ449">
        <v>0</v>
      </c>
      <c r="AR449">
        <v>0</v>
      </c>
      <c r="AS449">
        <f t="shared" si="86"/>
        <v>3</v>
      </c>
      <c r="AT449">
        <f t="shared" si="87"/>
        <v>3</v>
      </c>
      <c r="AU449" s="3" t="s">
        <v>1566</v>
      </c>
      <c r="AV449">
        <f t="shared" si="88"/>
        <v>1</v>
      </c>
      <c r="AW449">
        <f t="shared" si="89"/>
        <v>0</v>
      </c>
      <c r="AX449">
        <f t="shared" si="90"/>
        <v>0</v>
      </c>
      <c r="AY449">
        <v>6.5</v>
      </c>
      <c r="AZ449" t="s">
        <v>60</v>
      </c>
      <c r="BA449" t="s">
        <v>61</v>
      </c>
      <c r="BB449" t="s">
        <v>8</v>
      </c>
    </row>
    <row r="450" ht="409.5" spans="1:54">
      <c r="A450" t="s">
        <v>1567</v>
      </c>
      <c r="B450" t="s">
        <v>1041</v>
      </c>
      <c r="C450" t="s">
        <v>56</v>
      </c>
      <c r="D450">
        <v>36</v>
      </c>
      <c r="E450">
        <v>1</v>
      </c>
      <c r="F450">
        <v>57.5</v>
      </c>
      <c r="G450" t="s">
        <v>443</v>
      </c>
      <c r="H450" s="3" t="s">
        <v>1568</v>
      </c>
      <c r="I450" s="3" t="s">
        <v>1569</v>
      </c>
      <c r="J450">
        <f t="shared" ref="J450:J513" si="91">IF(SUM(R450:T450)&gt;0,1,0)</f>
        <v>1</v>
      </c>
      <c r="K450">
        <f t="shared" ref="K450:K513" si="92">IF(SUM(U450:Y450)&gt;0,1,0)</f>
        <v>1</v>
      </c>
      <c r="L450">
        <f t="shared" ref="L450:L513" si="93">IF(SUM(Z450:AC450)&gt;0,1,0)</f>
        <v>1</v>
      </c>
      <c r="M450">
        <f t="shared" ref="M450:M513" si="94">IF(SUM(AD450:AF450)&gt;0,1,0)</f>
        <v>0</v>
      </c>
      <c r="N450">
        <f t="shared" ref="N450:N513" si="95">IF(SUM(AG450:AH450)&gt;0,1,0)</f>
        <v>1</v>
      </c>
      <c r="O450">
        <f t="shared" ref="O450:O513" si="96">IF(SUM(AI450:AL450)&gt;0,1,0)</f>
        <v>1</v>
      </c>
      <c r="P450">
        <f t="shared" ref="P450:P513" si="97">IF(SUM(AM450:AQ450)&gt;0,1,0)</f>
        <v>0</v>
      </c>
      <c r="Q450">
        <f t="shared" ref="Q450:Q513" si="98">IF(AR450&gt;0,1,0)</f>
        <v>0</v>
      </c>
      <c r="R450">
        <v>1</v>
      </c>
      <c r="S450">
        <v>0</v>
      </c>
      <c r="T450">
        <v>1</v>
      </c>
      <c r="U450">
        <v>1</v>
      </c>
      <c r="V450">
        <v>1</v>
      </c>
      <c r="W450">
        <v>1</v>
      </c>
      <c r="X450">
        <v>0</v>
      </c>
      <c r="Y450">
        <v>0</v>
      </c>
      <c r="Z450">
        <v>1</v>
      </c>
      <c r="AA450">
        <v>0</v>
      </c>
      <c r="AB450">
        <v>0</v>
      </c>
      <c r="AC450">
        <v>1</v>
      </c>
      <c r="AD450">
        <v>0</v>
      </c>
      <c r="AE450">
        <v>0</v>
      </c>
      <c r="AF450">
        <v>0</v>
      </c>
      <c r="AG450">
        <v>1</v>
      </c>
      <c r="AH450">
        <v>0</v>
      </c>
      <c r="AI450">
        <v>1</v>
      </c>
      <c r="AJ450">
        <v>0</v>
      </c>
      <c r="AK450">
        <v>0</v>
      </c>
      <c r="AL450">
        <v>0</v>
      </c>
      <c r="AM450">
        <v>0</v>
      </c>
      <c r="AN450">
        <v>0</v>
      </c>
      <c r="AO450">
        <v>0</v>
      </c>
      <c r="AP450">
        <v>0</v>
      </c>
      <c r="AQ450">
        <v>0</v>
      </c>
      <c r="AR450">
        <v>0</v>
      </c>
      <c r="AS450">
        <f t="shared" ref="AS450:AS513" si="99">SUM(J450:Q450)</f>
        <v>5</v>
      </c>
      <c r="AT450">
        <f t="shared" ref="AT450:AT513" si="100">SUM(R450:AR450)</f>
        <v>9</v>
      </c>
      <c r="AU450" s="3" t="s">
        <v>1570</v>
      </c>
      <c r="AV450">
        <f t="shared" ref="AV450:AV513" si="101">IF(AT450&gt;0,1,0)</f>
        <v>1</v>
      </c>
      <c r="AW450">
        <f t="shared" ref="AW450:AW513" si="102">IF(AT450=0,1,0)</f>
        <v>0</v>
      </c>
      <c r="AX450">
        <f t="shared" ref="AX450:AX513" si="103">IF(AT450&gt;=8,1,0)</f>
        <v>1</v>
      </c>
      <c r="AY450">
        <v>20</v>
      </c>
      <c r="AZ450" t="s">
        <v>60</v>
      </c>
      <c r="BA450" t="s">
        <v>61</v>
      </c>
      <c r="BB450" t="s">
        <v>8</v>
      </c>
    </row>
    <row r="451" ht="168" spans="1:54">
      <c r="A451" t="s">
        <v>1571</v>
      </c>
      <c r="B451" t="s">
        <v>1041</v>
      </c>
      <c r="C451" t="s">
        <v>56</v>
      </c>
      <c r="D451">
        <v>8</v>
      </c>
      <c r="E451">
        <v>0</v>
      </c>
      <c r="F451">
        <v>68.3</v>
      </c>
      <c r="G451" t="s">
        <v>443</v>
      </c>
      <c r="H451" s="3" t="s">
        <v>1572</v>
      </c>
      <c r="I451" s="3" t="s">
        <v>1573</v>
      </c>
      <c r="J451">
        <f t="shared" si="91"/>
        <v>1</v>
      </c>
      <c r="K451">
        <f t="shared" si="92"/>
        <v>1</v>
      </c>
      <c r="L451">
        <f t="shared" si="93"/>
        <v>1</v>
      </c>
      <c r="M451">
        <f t="shared" si="94"/>
        <v>0</v>
      </c>
      <c r="N451">
        <f t="shared" si="95"/>
        <v>0</v>
      </c>
      <c r="O451">
        <f t="shared" si="96"/>
        <v>0</v>
      </c>
      <c r="P451">
        <f t="shared" si="97"/>
        <v>0</v>
      </c>
      <c r="Q451">
        <f t="shared" si="98"/>
        <v>0</v>
      </c>
      <c r="R451">
        <v>1</v>
      </c>
      <c r="S451">
        <v>0</v>
      </c>
      <c r="T451">
        <v>0</v>
      </c>
      <c r="U451">
        <v>0</v>
      </c>
      <c r="V451">
        <v>0</v>
      </c>
      <c r="W451">
        <v>1</v>
      </c>
      <c r="X451">
        <v>1</v>
      </c>
      <c r="Y451">
        <v>0</v>
      </c>
      <c r="Z451">
        <v>1</v>
      </c>
      <c r="AA451">
        <v>1</v>
      </c>
      <c r="AB451">
        <v>1</v>
      </c>
      <c r="AC451">
        <v>0</v>
      </c>
      <c r="AD451">
        <v>0</v>
      </c>
      <c r="AE451">
        <v>0</v>
      </c>
      <c r="AF451">
        <v>0</v>
      </c>
      <c r="AG451">
        <v>0</v>
      </c>
      <c r="AH451">
        <v>0</v>
      </c>
      <c r="AI451">
        <v>0</v>
      </c>
      <c r="AJ451">
        <v>0</v>
      </c>
      <c r="AK451">
        <v>0</v>
      </c>
      <c r="AL451">
        <v>0</v>
      </c>
      <c r="AM451">
        <v>0</v>
      </c>
      <c r="AN451">
        <v>0</v>
      </c>
      <c r="AO451">
        <v>0</v>
      </c>
      <c r="AP451">
        <v>0</v>
      </c>
      <c r="AQ451">
        <v>0</v>
      </c>
      <c r="AR451">
        <v>0</v>
      </c>
      <c r="AS451">
        <f t="shared" si="99"/>
        <v>3</v>
      </c>
      <c r="AT451">
        <f t="shared" si="100"/>
        <v>6</v>
      </c>
      <c r="AU451" s="3" t="s">
        <v>1574</v>
      </c>
      <c r="AV451">
        <f t="shared" si="101"/>
        <v>1</v>
      </c>
      <c r="AW451">
        <f t="shared" si="102"/>
        <v>0</v>
      </c>
      <c r="AX451">
        <f t="shared" si="103"/>
        <v>0</v>
      </c>
      <c r="AY451">
        <v>0.5</v>
      </c>
      <c r="AZ451" t="s">
        <v>60</v>
      </c>
      <c r="BA451" t="s">
        <v>61</v>
      </c>
      <c r="BB451" t="s">
        <v>8</v>
      </c>
    </row>
    <row r="452" ht="17" spans="1:54">
      <c r="A452" t="s">
        <v>1575</v>
      </c>
      <c r="B452" t="s">
        <v>1041</v>
      </c>
      <c r="C452" t="s">
        <v>56</v>
      </c>
      <c r="D452">
        <v>0</v>
      </c>
      <c r="E452">
        <v>0</v>
      </c>
      <c r="F452">
        <v>10.3</v>
      </c>
      <c r="G452" t="s">
        <v>451</v>
      </c>
      <c r="H452" s="3" t="s">
        <v>1576</v>
      </c>
      <c r="I452" s="3" t="s">
        <v>1513</v>
      </c>
      <c r="J452">
        <f t="shared" si="91"/>
        <v>0</v>
      </c>
      <c r="K452">
        <f t="shared" si="92"/>
        <v>0</v>
      </c>
      <c r="L452">
        <f t="shared" si="93"/>
        <v>0</v>
      </c>
      <c r="M452">
        <f t="shared" si="94"/>
        <v>0</v>
      </c>
      <c r="N452">
        <f t="shared" si="95"/>
        <v>0</v>
      </c>
      <c r="O452">
        <f t="shared" si="96"/>
        <v>0</v>
      </c>
      <c r="P452">
        <f t="shared" si="97"/>
        <v>0</v>
      </c>
      <c r="Q452">
        <f t="shared" si="98"/>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f t="shared" si="99"/>
        <v>0</v>
      </c>
      <c r="AT452">
        <f t="shared" si="100"/>
        <v>0</v>
      </c>
      <c r="AU452" s="3" t="s">
        <v>118</v>
      </c>
      <c r="AV452">
        <f t="shared" si="101"/>
        <v>0</v>
      </c>
      <c r="AW452">
        <f t="shared" si="102"/>
        <v>1</v>
      </c>
      <c r="AX452">
        <f t="shared" si="103"/>
        <v>0</v>
      </c>
      <c r="AY452">
        <v>1.5</v>
      </c>
      <c r="AZ452" t="s">
        <v>60</v>
      </c>
      <c r="BA452" t="s">
        <v>61</v>
      </c>
      <c r="BB452" t="s">
        <v>8</v>
      </c>
    </row>
    <row r="453" ht="286" spans="1:54">
      <c r="A453" t="s">
        <v>1577</v>
      </c>
      <c r="B453" t="s">
        <v>1041</v>
      </c>
      <c r="C453" t="s">
        <v>116</v>
      </c>
      <c r="D453">
        <v>6</v>
      </c>
      <c r="E453">
        <v>2</v>
      </c>
      <c r="F453">
        <v>1</v>
      </c>
      <c r="G453" t="s">
        <v>451</v>
      </c>
      <c r="H453" s="3" t="s">
        <v>1578</v>
      </c>
      <c r="I453" s="3" t="s">
        <v>1579</v>
      </c>
      <c r="J453">
        <f t="shared" si="91"/>
        <v>1</v>
      </c>
      <c r="K453">
        <f t="shared" si="92"/>
        <v>1</v>
      </c>
      <c r="L453">
        <f t="shared" si="93"/>
        <v>0</v>
      </c>
      <c r="M453">
        <f t="shared" si="94"/>
        <v>0</v>
      </c>
      <c r="N453">
        <f t="shared" si="95"/>
        <v>1</v>
      </c>
      <c r="O453">
        <f t="shared" si="96"/>
        <v>0</v>
      </c>
      <c r="P453">
        <f t="shared" si="97"/>
        <v>0</v>
      </c>
      <c r="Q453">
        <f t="shared" si="98"/>
        <v>0</v>
      </c>
      <c r="R453">
        <v>1</v>
      </c>
      <c r="S453">
        <v>1</v>
      </c>
      <c r="T453">
        <v>1</v>
      </c>
      <c r="U453">
        <v>0</v>
      </c>
      <c r="V453">
        <v>1</v>
      </c>
      <c r="W453">
        <v>0</v>
      </c>
      <c r="X453">
        <v>0</v>
      </c>
      <c r="Y453">
        <v>1</v>
      </c>
      <c r="Z453">
        <v>0</v>
      </c>
      <c r="AA453">
        <v>0</v>
      </c>
      <c r="AB453">
        <v>0</v>
      </c>
      <c r="AC453">
        <v>0</v>
      </c>
      <c r="AD453">
        <v>0</v>
      </c>
      <c r="AE453">
        <v>0</v>
      </c>
      <c r="AF453">
        <v>0</v>
      </c>
      <c r="AG453">
        <v>0</v>
      </c>
      <c r="AH453">
        <v>1</v>
      </c>
      <c r="AI453">
        <v>0</v>
      </c>
      <c r="AJ453">
        <v>0</v>
      </c>
      <c r="AK453">
        <v>0</v>
      </c>
      <c r="AL453">
        <v>0</v>
      </c>
      <c r="AM453">
        <v>0</v>
      </c>
      <c r="AN453">
        <v>0</v>
      </c>
      <c r="AO453">
        <v>0</v>
      </c>
      <c r="AP453">
        <v>0</v>
      </c>
      <c r="AQ453">
        <v>0</v>
      </c>
      <c r="AR453">
        <v>0</v>
      </c>
      <c r="AS453">
        <f t="shared" si="99"/>
        <v>3</v>
      </c>
      <c r="AT453">
        <f t="shared" si="100"/>
        <v>6</v>
      </c>
      <c r="AU453" s="3" t="s">
        <v>1580</v>
      </c>
      <c r="AV453">
        <f t="shared" si="101"/>
        <v>1</v>
      </c>
      <c r="AW453">
        <f t="shared" si="102"/>
        <v>0</v>
      </c>
      <c r="AX453">
        <f t="shared" si="103"/>
        <v>0</v>
      </c>
      <c r="AY453">
        <v>6.5</v>
      </c>
      <c r="AZ453" t="s">
        <v>60</v>
      </c>
      <c r="BA453" t="s">
        <v>61</v>
      </c>
      <c r="BB453" t="s">
        <v>8</v>
      </c>
    </row>
    <row r="454" ht="17" spans="1:54">
      <c r="A454" t="s">
        <v>1581</v>
      </c>
      <c r="B454" t="s">
        <v>1041</v>
      </c>
      <c r="C454" t="s">
        <v>56</v>
      </c>
      <c r="D454">
        <v>0</v>
      </c>
      <c r="E454">
        <v>0</v>
      </c>
      <c r="F454">
        <v>21.6</v>
      </c>
      <c r="G454" t="s">
        <v>451</v>
      </c>
      <c r="H454" s="3" t="s">
        <v>1582</v>
      </c>
      <c r="I454" s="3" t="s">
        <v>1583</v>
      </c>
      <c r="J454">
        <f t="shared" si="91"/>
        <v>1</v>
      </c>
      <c r="K454">
        <f t="shared" si="92"/>
        <v>1</v>
      </c>
      <c r="L454">
        <f t="shared" si="93"/>
        <v>0</v>
      </c>
      <c r="M454">
        <f t="shared" si="94"/>
        <v>0</v>
      </c>
      <c r="N454">
        <f t="shared" si="95"/>
        <v>0</v>
      </c>
      <c r="O454">
        <f t="shared" si="96"/>
        <v>0</v>
      </c>
      <c r="P454">
        <f t="shared" si="97"/>
        <v>0</v>
      </c>
      <c r="Q454">
        <f t="shared" si="98"/>
        <v>0</v>
      </c>
      <c r="R454">
        <v>1</v>
      </c>
      <c r="S454">
        <v>0</v>
      </c>
      <c r="T454">
        <v>0</v>
      </c>
      <c r="U454">
        <v>1</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f t="shared" si="99"/>
        <v>2</v>
      </c>
      <c r="AT454">
        <f t="shared" si="100"/>
        <v>2</v>
      </c>
      <c r="AU454" s="3" t="s">
        <v>1584</v>
      </c>
      <c r="AV454">
        <f t="shared" si="101"/>
        <v>1</v>
      </c>
      <c r="AW454">
        <f t="shared" si="102"/>
        <v>0</v>
      </c>
      <c r="AX454">
        <f t="shared" si="103"/>
        <v>0</v>
      </c>
      <c r="AY454">
        <v>0.5</v>
      </c>
      <c r="AZ454" t="s">
        <v>60</v>
      </c>
      <c r="BA454" t="s">
        <v>61</v>
      </c>
      <c r="BB454" t="s">
        <v>8</v>
      </c>
    </row>
    <row r="455" ht="252" spans="1:54">
      <c r="A455" t="s">
        <v>1585</v>
      </c>
      <c r="B455" t="s">
        <v>1041</v>
      </c>
      <c r="C455" t="s">
        <v>116</v>
      </c>
      <c r="D455">
        <v>11</v>
      </c>
      <c r="E455">
        <v>0</v>
      </c>
      <c r="F455">
        <v>27.5</v>
      </c>
      <c r="G455" t="s">
        <v>451</v>
      </c>
      <c r="H455" s="3" t="s">
        <v>1586</v>
      </c>
      <c r="I455" s="3" t="s">
        <v>1587</v>
      </c>
      <c r="J455">
        <f t="shared" si="91"/>
        <v>0</v>
      </c>
      <c r="K455">
        <f t="shared" si="92"/>
        <v>1</v>
      </c>
      <c r="L455">
        <f t="shared" si="93"/>
        <v>1</v>
      </c>
      <c r="M455">
        <f t="shared" si="94"/>
        <v>0</v>
      </c>
      <c r="N455">
        <f t="shared" si="95"/>
        <v>0</v>
      </c>
      <c r="O455">
        <f t="shared" si="96"/>
        <v>0</v>
      </c>
      <c r="P455">
        <f t="shared" si="97"/>
        <v>0</v>
      </c>
      <c r="Q455">
        <f t="shared" si="98"/>
        <v>0</v>
      </c>
      <c r="R455">
        <v>0</v>
      </c>
      <c r="S455">
        <v>0</v>
      </c>
      <c r="T455">
        <v>0</v>
      </c>
      <c r="U455">
        <v>0</v>
      </c>
      <c r="V455">
        <v>0</v>
      </c>
      <c r="W455">
        <v>1</v>
      </c>
      <c r="X455">
        <v>0</v>
      </c>
      <c r="Y455">
        <v>0</v>
      </c>
      <c r="Z455">
        <v>1</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f t="shared" si="99"/>
        <v>2</v>
      </c>
      <c r="AT455">
        <f t="shared" si="100"/>
        <v>2</v>
      </c>
      <c r="AU455" s="3" t="s">
        <v>1588</v>
      </c>
      <c r="AV455">
        <f t="shared" si="101"/>
        <v>1</v>
      </c>
      <c r="AW455">
        <f t="shared" si="102"/>
        <v>0</v>
      </c>
      <c r="AX455">
        <f t="shared" si="103"/>
        <v>0</v>
      </c>
      <c r="AY455">
        <v>10</v>
      </c>
      <c r="AZ455" t="s">
        <v>60</v>
      </c>
      <c r="BA455" t="s">
        <v>61</v>
      </c>
      <c r="BB455" t="s">
        <v>8</v>
      </c>
    </row>
    <row r="456" ht="409.5" spans="1:54">
      <c r="A456" t="s">
        <v>1589</v>
      </c>
      <c r="B456" t="s">
        <v>1041</v>
      </c>
      <c r="C456" t="s">
        <v>56</v>
      </c>
      <c r="D456">
        <v>6</v>
      </c>
      <c r="E456">
        <v>1</v>
      </c>
      <c r="F456">
        <v>68.5</v>
      </c>
      <c r="G456" t="s">
        <v>451</v>
      </c>
      <c r="H456" s="3" t="s">
        <v>1590</v>
      </c>
      <c r="I456" s="3" t="s">
        <v>1591</v>
      </c>
      <c r="J456">
        <f t="shared" si="91"/>
        <v>1</v>
      </c>
      <c r="K456">
        <f t="shared" si="92"/>
        <v>0</v>
      </c>
      <c r="L456">
        <f t="shared" si="93"/>
        <v>0</v>
      </c>
      <c r="M456">
        <f t="shared" si="94"/>
        <v>0</v>
      </c>
      <c r="N456">
        <f t="shared" si="95"/>
        <v>0</v>
      </c>
      <c r="O456">
        <f t="shared" si="96"/>
        <v>1</v>
      </c>
      <c r="P456">
        <f t="shared" si="97"/>
        <v>0</v>
      </c>
      <c r="Q456">
        <f t="shared" si="98"/>
        <v>0</v>
      </c>
      <c r="R456">
        <v>1</v>
      </c>
      <c r="S456">
        <v>0</v>
      </c>
      <c r="T456">
        <v>1</v>
      </c>
      <c r="U456">
        <v>0</v>
      </c>
      <c r="V456">
        <v>0</v>
      </c>
      <c r="W456">
        <v>0</v>
      </c>
      <c r="X456">
        <v>0</v>
      </c>
      <c r="Y456">
        <v>0</v>
      </c>
      <c r="Z456">
        <v>0</v>
      </c>
      <c r="AA456">
        <v>0</v>
      </c>
      <c r="AB456">
        <v>0</v>
      </c>
      <c r="AC456">
        <v>0</v>
      </c>
      <c r="AD456">
        <v>0</v>
      </c>
      <c r="AE456">
        <v>0</v>
      </c>
      <c r="AF456">
        <v>0</v>
      </c>
      <c r="AG456">
        <v>0</v>
      </c>
      <c r="AH456">
        <v>0</v>
      </c>
      <c r="AI456">
        <v>0</v>
      </c>
      <c r="AJ456">
        <v>0</v>
      </c>
      <c r="AK456">
        <v>0</v>
      </c>
      <c r="AL456">
        <v>1</v>
      </c>
      <c r="AM456">
        <v>0</v>
      </c>
      <c r="AN456">
        <v>0</v>
      </c>
      <c r="AO456">
        <v>0</v>
      </c>
      <c r="AP456">
        <v>0</v>
      </c>
      <c r="AQ456">
        <v>0</v>
      </c>
      <c r="AR456">
        <v>0</v>
      </c>
      <c r="AS456">
        <f t="shared" si="99"/>
        <v>2</v>
      </c>
      <c r="AT456">
        <f t="shared" si="100"/>
        <v>3</v>
      </c>
      <c r="AU456" s="3" t="s">
        <v>1592</v>
      </c>
      <c r="AV456">
        <f t="shared" si="101"/>
        <v>1</v>
      </c>
      <c r="AW456">
        <f t="shared" si="102"/>
        <v>0</v>
      </c>
      <c r="AX456">
        <f t="shared" si="103"/>
        <v>0</v>
      </c>
      <c r="AY456">
        <v>7</v>
      </c>
      <c r="AZ456" t="s">
        <v>60</v>
      </c>
      <c r="BA456" t="s">
        <v>61</v>
      </c>
      <c r="BB456" t="s">
        <v>8</v>
      </c>
    </row>
    <row r="457" ht="202" spans="1:54">
      <c r="A457" t="s">
        <v>1593</v>
      </c>
      <c r="B457" t="s">
        <v>1041</v>
      </c>
      <c r="C457" t="s">
        <v>56</v>
      </c>
      <c r="D457">
        <v>0</v>
      </c>
      <c r="E457">
        <v>0</v>
      </c>
      <c r="F457">
        <v>74.1</v>
      </c>
      <c r="G457" t="s">
        <v>451</v>
      </c>
      <c r="H457" s="3" t="s">
        <v>1594</v>
      </c>
      <c r="I457" s="3" t="s">
        <v>1595</v>
      </c>
      <c r="J457">
        <f t="shared" si="91"/>
        <v>1</v>
      </c>
      <c r="K457">
        <f t="shared" si="92"/>
        <v>0</v>
      </c>
      <c r="L457">
        <f t="shared" si="93"/>
        <v>0</v>
      </c>
      <c r="M457">
        <f t="shared" si="94"/>
        <v>0</v>
      </c>
      <c r="N457">
        <f t="shared" si="95"/>
        <v>1</v>
      </c>
      <c r="O457">
        <f t="shared" si="96"/>
        <v>0</v>
      </c>
      <c r="P457">
        <f t="shared" si="97"/>
        <v>0</v>
      </c>
      <c r="Q457">
        <f t="shared" si="98"/>
        <v>0</v>
      </c>
      <c r="R457">
        <v>1</v>
      </c>
      <c r="S457">
        <v>0</v>
      </c>
      <c r="T457">
        <v>0</v>
      </c>
      <c r="U457">
        <v>0</v>
      </c>
      <c r="V457">
        <v>0</v>
      </c>
      <c r="W457">
        <v>0</v>
      </c>
      <c r="X457">
        <v>0</v>
      </c>
      <c r="Y457">
        <v>0</v>
      </c>
      <c r="Z457">
        <v>0</v>
      </c>
      <c r="AA457">
        <v>0</v>
      </c>
      <c r="AB457">
        <v>0</v>
      </c>
      <c r="AC457">
        <v>0</v>
      </c>
      <c r="AD457">
        <v>0</v>
      </c>
      <c r="AE457">
        <v>0</v>
      </c>
      <c r="AF457">
        <v>0</v>
      </c>
      <c r="AG457">
        <v>0</v>
      </c>
      <c r="AH457">
        <v>1</v>
      </c>
      <c r="AI457">
        <v>0</v>
      </c>
      <c r="AJ457">
        <v>0</v>
      </c>
      <c r="AK457">
        <v>0</v>
      </c>
      <c r="AL457">
        <v>0</v>
      </c>
      <c r="AM457">
        <v>0</v>
      </c>
      <c r="AN457">
        <v>0</v>
      </c>
      <c r="AO457">
        <v>0</v>
      </c>
      <c r="AP457">
        <v>0</v>
      </c>
      <c r="AQ457">
        <v>0</v>
      </c>
      <c r="AR457">
        <v>0</v>
      </c>
      <c r="AS457">
        <f t="shared" si="99"/>
        <v>2</v>
      </c>
      <c r="AT457">
        <f t="shared" si="100"/>
        <v>2</v>
      </c>
      <c r="AU457" s="3" t="s">
        <v>1596</v>
      </c>
      <c r="AV457">
        <f t="shared" si="101"/>
        <v>1</v>
      </c>
      <c r="AW457">
        <f t="shared" si="102"/>
        <v>0</v>
      </c>
      <c r="AX457">
        <f t="shared" si="103"/>
        <v>0</v>
      </c>
      <c r="AY457">
        <v>5</v>
      </c>
      <c r="AZ457" t="s">
        <v>60</v>
      </c>
      <c r="BA457" t="s">
        <v>61</v>
      </c>
      <c r="BB457" t="s">
        <v>8</v>
      </c>
    </row>
    <row r="458" ht="101" spans="1:54">
      <c r="A458" t="s">
        <v>1597</v>
      </c>
      <c r="B458" t="s">
        <v>1041</v>
      </c>
      <c r="C458" t="s">
        <v>116</v>
      </c>
      <c r="D458">
        <v>2</v>
      </c>
      <c r="E458">
        <v>1</v>
      </c>
      <c r="F458">
        <v>37.7</v>
      </c>
      <c r="G458" t="s">
        <v>451</v>
      </c>
      <c r="H458" s="3" t="s">
        <v>1598</v>
      </c>
      <c r="I458" s="3" t="s">
        <v>1599</v>
      </c>
      <c r="J458">
        <f t="shared" si="91"/>
        <v>1</v>
      </c>
      <c r="K458">
        <f t="shared" si="92"/>
        <v>0</v>
      </c>
      <c r="L458">
        <f t="shared" si="93"/>
        <v>0</v>
      </c>
      <c r="M458">
        <f t="shared" si="94"/>
        <v>0</v>
      </c>
      <c r="N458">
        <f t="shared" si="95"/>
        <v>0</v>
      </c>
      <c r="O458">
        <f t="shared" si="96"/>
        <v>0</v>
      </c>
      <c r="P458">
        <f t="shared" si="97"/>
        <v>0</v>
      </c>
      <c r="Q458">
        <f t="shared" si="98"/>
        <v>0</v>
      </c>
      <c r="R458">
        <v>1</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f t="shared" si="99"/>
        <v>1</v>
      </c>
      <c r="AT458">
        <f t="shared" si="100"/>
        <v>1</v>
      </c>
      <c r="AU458" s="3" t="s">
        <v>1128</v>
      </c>
      <c r="AV458">
        <f t="shared" si="101"/>
        <v>1</v>
      </c>
      <c r="AW458">
        <f t="shared" si="102"/>
        <v>0</v>
      </c>
      <c r="AX458">
        <f t="shared" si="103"/>
        <v>0</v>
      </c>
      <c r="AY458">
        <v>-1</v>
      </c>
      <c r="AZ458" t="s">
        <v>133</v>
      </c>
      <c r="BA458" t="s">
        <v>134</v>
      </c>
      <c r="BB458" t="s">
        <v>8</v>
      </c>
    </row>
    <row r="459" ht="152" spans="1:54">
      <c r="A459" t="s">
        <v>1600</v>
      </c>
      <c r="B459" t="s">
        <v>1041</v>
      </c>
      <c r="C459" t="s">
        <v>56</v>
      </c>
      <c r="D459">
        <v>5</v>
      </c>
      <c r="E459">
        <v>0</v>
      </c>
      <c r="F459">
        <v>272.2</v>
      </c>
      <c r="G459" t="s">
        <v>464</v>
      </c>
      <c r="H459" s="3" t="s">
        <v>1601</v>
      </c>
      <c r="I459" s="3" t="s">
        <v>1602</v>
      </c>
      <c r="J459">
        <f t="shared" si="91"/>
        <v>0</v>
      </c>
      <c r="K459">
        <f t="shared" si="92"/>
        <v>0</v>
      </c>
      <c r="L459">
        <f t="shared" si="93"/>
        <v>0</v>
      </c>
      <c r="M459">
        <f t="shared" si="94"/>
        <v>0</v>
      </c>
      <c r="N459">
        <f t="shared" si="95"/>
        <v>1</v>
      </c>
      <c r="O459">
        <f t="shared" si="96"/>
        <v>0</v>
      </c>
      <c r="P459">
        <f t="shared" si="97"/>
        <v>0</v>
      </c>
      <c r="Q459">
        <f t="shared" si="98"/>
        <v>0</v>
      </c>
      <c r="R459">
        <v>0</v>
      </c>
      <c r="S459">
        <v>0</v>
      </c>
      <c r="T459">
        <v>0</v>
      </c>
      <c r="U459">
        <v>0</v>
      </c>
      <c r="V459">
        <v>0</v>
      </c>
      <c r="W459">
        <v>0</v>
      </c>
      <c r="X459">
        <v>0</v>
      </c>
      <c r="Y459">
        <v>0</v>
      </c>
      <c r="Z459">
        <v>0</v>
      </c>
      <c r="AA459">
        <v>0</v>
      </c>
      <c r="AB459">
        <v>0</v>
      </c>
      <c r="AC459">
        <v>0</v>
      </c>
      <c r="AD459">
        <v>0</v>
      </c>
      <c r="AE459">
        <v>0</v>
      </c>
      <c r="AF459">
        <v>0</v>
      </c>
      <c r="AG459">
        <v>0</v>
      </c>
      <c r="AH459">
        <v>1</v>
      </c>
      <c r="AI459">
        <v>0</v>
      </c>
      <c r="AJ459">
        <v>0</v>
      </c>
      <c r="AK459">
        <v>0</v>
      </c>
      <c r="AL459">
        <v>0</v>
      </c>
      <c r="AM459">
        <v>0</v>
      </c>
      <c r="AN459">
        <v>0</v>
      </c>
      <c r="AO459">
        <v>0</v>
      </c>
      <c r="AP459">
        <v>0</v>
      </c>
      <c r="AQ459">
        <v>0</v>
      </c>
      <c r="AR459">
        <v>0</v>
      </c>
      <c r="AS459">
        <f t="shared" si="99"/>
        <v>1</v>
      </c>
      <c r="AT459">
        <f t="shared" si="100"/>
        <v>1</v>
      </c>
      <c r="AU459" s="3" t="s">
        <v>129</v>
      </c>
      <c r="AV459">
        <f t="shared" si="101"/>
        <v>1</v>
      </c>
      <c r="AW459">
        <f t="shared" si="102"/>
        <v>0</v>
      </c>
      <c r="AX459">
        <f t="shared" si="103"/>
        <v>0</v>
      </c>
      <c r="AY459">
        <v>1.5</v>
      </c>
      <c r="AZ459" t="s">
        <v>60</v>
      </c>
      <c r="BA459" t="s">
        <v>61</v>
      </c>
      <c r="BB459" t="s">
        <v>8</v>
      </c>
    </row>
    <row r="460" ht="17" spans="1:54">
      <c r="A460" t="s">
        <v>1603</v>
      </c>
      <c r="B460" t="s">
        <v>1041</v>
      </c>
      <c r="C460" t="s">
        <v>116</v>
      </c>
      <c r="D460">
        <v>7</v>
      </c>
      <c r="E460">
        <v>5</v>
      </c>
      <c r="F460">
        <v>14.2</v>
      </c>
      <c r="G460" t="s">
        <v>464</v>
      </c>
      <c r="H460" s="3" t="s">
        <v>1604</v>
      </c>
      <c r="I460" s="3" t="s">
        <v>1605</v>
      </c>
      <c r="J460">
        <f t="shared" si="91"/>
        <v>0</v>
      </c>
      <c r="K460">
        <f t="shared" si="92"/>
        <v>0</v>
      </c>
      <c r="L460">
        <f t="shared" si="93"/>
        <v>0</v>
      </c>
      <c r="M460">
        <f t="shared" si="94"/>
        <v>0</v>
      </c>
      <c r="N460">
        <f t="shared" si="95"/>
        <v>1</v>
      </c>
      <c r="O460">
        <f t="shared" si="96"/>
        <v>0</v>
      </c>
      <c r="P460">
        <f t="shared" si="97"/>
        <v>0</v>
      </c>
      <c r="Q460">
        <f t="shared" si="98"/>
        <v>0</v>
      </c>
      <c r="R460">
        <v>0</v>
      </c>
      <c r="S460">
        <v>0</v>
      </c>
      <c r="T460">
        <v>0</v>
      </c>
      <c r="U460">
        <v>0</v>
      </c>
      <c r="V460">
        <v>0</v>
      </c>
      <c r="W460">
        <v>0</v>
      </c>
      <c r="X460">
        <v>0</v>
      </c>
      <c r="Y460">
        <v>0</v>
      </c>
      <c r="Z460">
        <v>0</v>
      </c>
      <c r="AA460">
        <v>0</v>
      </c>
      <c r="AB460">
        <v>0</v>
      </c>
      <c r="AC460">
        <v>0</v>
      </c>
      <c r="AD460">
        <v>0</v>
      </c>
      <c r="AE460">
        <v>0</v>
      </c>
      <c r="AF460">
        <v>0</v>
      </c>
      <c r="AG460">
        <v>0</v>
      </c>
      <c r="AH460">
        <v>1</v>
      </c>
      <c r="AI460">
        <v>0</v>
      </c>
      <c r="AJ460">
        <v>0</v>
      </c>
      <c r="AK460">
        <v>0</v>
      </c>
      <c r="AL460">
        <v>0</v>
      </c>
      <c r="AM460">
        <v>0</v>
      </c>
      <c r="AN460">
        <v>0</v>
      </c>
      <c r="AO460">
        <v>0</v>
      </c>
      <c r="AP460">
        <v>0</v>
      </c>
      <c r="AQ460">
        <v>0</v>
      </c>
      <c r="AR460">
        <v>0</v>
      </c>
      <c r="AS460">
        <f t="shared" si="99"/>
        <v>1</v>
      </c>
      <c r="AT460">
        <f t="shared" si="100"/>
        <v>1</v>
      </c>
      <c r="AU460" s="3" t="s">
        <v>129</v>
      </c>
      <c r="AV460">
        <f t="shared" si="101"/>
        <v>1</v>
      </c>
      <c r="AW460">
        <f t="shared" si="102"/>
        <v>0</v>
      </c>
      <c r="AX460">
        <f t="shared" si="103"/>
        <v>0</v>
      </c>
      <c r="AY460">
        <v>-1</v>
      </c>
      <c r="AZ460" t="s">
        <v>133</v>
      </c>
      <c r="BA460" t="s">
        <v>134</v>
      </c>
      <c r="BB460" t="s">
        <v>8</v>
      </c>
    </row>
    <row r="461" ht="409.5" spans="1:54">
      <c r="A461" t="s">
        <v>1606</v>
      </c>
      <c r="B461" t="s">
        <v>1041</v>
      </c>
      <c r="C461" t="s">
        <v>56</v>
      </c>
      <c r="D461">
        <v>6</v>
      </c>
      <c r="E461">
        <v>0</v>
      </c>
      <c r="F461">
        <v>80.2</v>
      </c>
      <c r="G461" t="s">
        <v>464</v>
      </c>
      <c r="H461" s="3" t="s">
        <v>1607</v>
      </c>
      <c r="I461" s="3" t="s">
        <v>1608</v>
      </c>
      <c r="J461">
        <f t="shared" si="91"/>
        <v>0</v>
      </c>
      <c r="K461">
        <f t="shared" si="92"/>
        <v>1</v>
      </c>
      <c r="L461">
        <f t="shared" si="93"/>
        <v>1</v>
      </c>
      <c r="M461">
        <f t="shared" si="94"/>
        <v>0</v>
      </c>
      <c r="N461">
        <f t="shared" si="95"/>
        <v>1</v>
      </c>
      <c r="O461">
        <f t="shared" si="96"/>
        <v>0</v>
      </c>
      <c r="P461">
        <f t="shared" si="97"/>
        <v>0</v>
      </c>
      <c r="Q461">
        <f t="shared" si="98"/>
        <v>0</v>
      </c>
      <c r="R461">
        <v>0</v>
      </c>
      <c r="S461">
        <v>0</v>
      </c>
      <c r="T461">
        <v>0</v>
      </c>
      <c r="U461">
        <v>1</v>
      </c>
      <c r="V461">
        <v>0</v>
      </c>
      <c r="W461">
        <v>0</v>
      </c>
      <c r="X461">
        <v>0</v>
      </c>
      <c r="Y461">
        <v>0</v>
      </c>
      <c r="Z461">
        <v>0</v>
      </c>
      <c r="AA461">
        <v>0</v>
      </c>
      <c r="AB461">
        <v>1</v>
      </c>
      <c r="AC461">
        <v>0</v>
      </c>
      <c r="AD461">
        <v>0</v>
      </c>
      <c r="AE461">
        <v>0</v>
      </c>
      <c r="AF461">
        <v>0</v>
      </c>
      <c r="AG461">
        <v>0</v>
      </c>
      <c r="AH461">
        <v>1</v>
      </c>
      <c r="AI461">
        <v>0</v>
      </c>
      <c r="AJ461">
        <v>0</v>
      </c>
      <c r="AK461">
        <v>0</v>
      </c>
      <c r="AL461">
        <v>0</v>
      </c>
      <c r="AM461">
        <v>0</v>
      </c>
      <c r="AN461">
        <v>0</v>
      </c>
      <c r="AO461">
        <v>0</v>
      </c>
      <c r="AP461">
        <v>0</v>
      </c>
      <c r="AQ461">
        <v>0</v>
      </c>
      <c r="AR461">
        <v>0</v>
      </c>
      <c r="AS461">
        <f t="shared" si="99"/>
        <v>3</v>
      </c>
      <c r="AT461">
        <f t="shared" si="100"/>
        <v>3</v>
      </c>
      <c r="AU461" s="3" t="s">
        <v>1609</v>
      </c>
      <c r="AV461">
        <f t="shared" si="101"/>
        <v>1</v>
      </c>
      <c r="AW461">
        <f t="shared" si="102"/>
        <v>0</v>
      </c>
      <c r="AX461">
        <f t="shared" si="103"/>
        <v>0</v>
      </c>
      <c r="AY461">
        <v>4</v>
      </c>
      <c r="AZ461" t="s">
        <v>60</v>
      </c>
      <c r="BA461" t="s">
        <v>61</v>
      </c>
      <c r="BB461" t="s">
        <v>8</v>
      </c>
    </row>
    <row r="462" ht="17" spans="1:54">
      <c r="A462" t="s">
        <v>1610</v>
      </c>
      <c r="B462" t="s">
        <v>1041</v>
      </c>
      <c r="C462" t="s">
        <v>116</v>
      </c>
      <c r="D462">
        <v>5</v>
      </c>
      <c r="E462">
        <v>0</v>
      </c>
      <c r="F462">
        <v>5</v>
      </c>
      <c r="G462" t="s">
        <v>464</v>
      </c>
      <c r="H462" s="3" t="s">
        <v>1611</v>
      </c>
      <c r="I462" s="3" t="s">
        <v>1612</v>
      </c>
      <c r="J462">
        <f t="shared" si="91"/>
        <v>0</v>
      </c>
      <c r="K462">
        <f t="shared" si="92"/>
        <v>0</v>
      </c>
      <c r="L462">
        <f t="shared" si="93"/>
        <v>0</v>
      </c>
      <c r="M462">
        <f t="shared" si="94"/>
        <v>1</v>
      </c>
      <c r="N462">
        <f t="shared" si="95"/>
        <v>0</v>
      </c>
      <c r="O462">
        <f t="shared" si="96"/>
        <v>0</v>
      </c>
      <c r="P462">
        <f t="shared" si="97"/>
        <v>0</v>
      </c>
      <c r="Q462">
        <f t="shared" si="98"/>
        <v>0</v>
      </c>
      <c r="R462">
        <v>0</v>
      </c>
      <c r="S462">
        <v>0</v>
      </c>
      <c r="T462">
        <v>0</v>
      </c>
      <c r="U462">
        <v>0</v>
      </c>
      <c r="V462">
        <v>0</v>
      </c>
      <c r="W462">
        <v>0</v>
      </c>
      <c r="X462">
        <v>0</v>
      </c>
      <c r="Y462">
        <v>0</v>
      </c>
      <c r="Z462">
        <v>0</v>
      </c>
      <c r="AA462">
        <v>0</v>
      </c>
      <c r="AB462">
        <v>0</v>
      </c>
      <c r="AC462">
        <v>0</v>
      </c>
      <c r="AD462">
        <v>0</v>
      </c>
      <c r="AE462">
        <v>1</v>
      </c>
      <c r="AF462">
        <v>0</v>
      </c>
      <c r="AG462">
        <v>0</v>
      </c>
      <c r="AH462">
        <v>0</v>
      </c>
      <c r="AI462">
        <v>0</v>
      </c>
      <c r="AJ462">
        <v>0</v>
      </c>
      <c r="AK462">
        <v>0</v>
      </c>
      <c r="AL462">
        <v>0</v>
      </c>
      <c r="AM462">
        <v>0</v>
      </c>
      <c r="AN462">
        <v>0</v>
      </c>
      <c r="AO462">
        <v>0</v>
      </c>
      <c r="AP462">
        <v>0</v>
      </c>
      <c r="AQ462">
        <v>0</v>
      </c>
      <c r="AR462">
        <v>0</v>
      </c>
      <c r="AS462">
        <f t="shared" si="99"/>
        <v>1</v>
      </c>
      <c r="AT462">
        <f t="shared" si="100"/>
        <v>1</v>
      </c>
      <c r="AU462" s="3" t="s">
        <v>1333</v>
      </c>
      <c r="AV462">
        <f t="shared" si="101"/>
        <v>1</v>
      </c>
      <c r="AW462">
        <f t="shared" si="102"/>
        <v>0</v>
      </c>
      <c r="AX462">
        <f t="shared" si="103"/>
        <v>0</v>
      </c>
      <c r="AY462">
        <v>0</v>
      </c>
      <c r="AZ462" t="s">
        <v>147</v>
      </c>
      <c r="BA462" t="s">
        <v>148</v>
      </c>
      <c r="BB462" t="s">
        <v>8</v>
      </c>
    </row>
    <row r="463" ht="17" spans="1:54">
      <c r="A463" t="s">
        <v>1613</v>
      </c>
      <c r="B463" t="s">
        <v>1041</v>
      </c>
      <c r="C463" t="s">
        <v>56</v>
      </c>
      <c r="D463">
        <v>2</v>
      </c>
      <c r="E463">
        <v>0</v>
      </c>
      <c r="F463">
        <v>118.1</v>
      </c>
      <c r="G463" t="s">
        <v>464</v>
      </c>
      <c r="H463" s="3" t="s">
        <v>1614</v>
      </c>
      <c r="I463" s="3" t="s">
        <v>1615</v>
      </c>
      <c r="J463">
        <f t="shared" si="91"/>
        <v>0</v>
      </c>
      <c r="K463">
        <f t="shared" si="92"/>
        <v>0</v>
      </c>
      <c r="L463">
        <f t="shared" si="93"/>
        <v>0</v>
      </c>
      <c r="M463">
        <f t="shared" si="94"/>
        <v>0</v>
      </c>
      <c r="N463">
        <f t="shared" si="95"/>
        <v>0</v>
      </c>
      <c r="O463">
        <f t="shared" si="96"/>
        <v>0</v>
      </c>
      <c r="P463">
        <f t="shared" si="97"/>
        <v>0</v>
      </c>
      <c r="Q463">
        <f t="shared" si="98"/>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f t="shared" si="99"/>
        <v>0</v>
      </c>
      <c r="AT463">
        <f t="shared" si="100"/>
        <v>0</v>
      </c>
      <c r="AU463" s="3" t="s">
        <v>118</v>
      </c>
      <c r="AV463">
        <f t="shared" si="101"/>
        <v>0</v>
      </c>
      <c r="AW463">
        <f t="shared" si="102"/>
        <v>1</v>
      </c>
      <c r="AX463">
        <f t="shared" si="103"/>
        <v>0</v>
      </c>
      <c r="AY463">
        <v>1</v>
      </c>
      <c r="AZ463" t="s">
        <v>60</v>
      </c>
      <c r="BA463" t="s">
        <v>61</v>
      </c>
      <c r="BB463" t="s">
        <v>8</v>
      </c>
    </row>
    <row r="464" ht="409.5" spans="1:54">
      <c r="A464" t="s">
        <v>1616</v>
      </c>
      <c r="B464" t="s">
        <v>1041</v>
      </c>
      <c r="C464" t="s">
        <v>56</v>
      </c>
      <c r="D464">
        <v>6</v>
      </c>
      <c r="E464">
        <v>0</v>
      </c>
      <c r="F464">
        <v>112.7</v>
      </c>
      <c r="G464" t="s">
        <v>468</v>
      </c>
      <c r="H464" s="3" t="s">
        <v>1617</v>
      </c>
      <c r="I464" s="3" t="s">
        <v>1618</v>
      </c>
      <c r="J464">
        <f t="shared" si="91"/>
        <v>0</v>
      </c>
      <c r="K464">
        <f t="shared" si="92"/>
        <v>1</v>
      </c>
      <c r="L464">
        <f t="shared" si="93"/>
        <v>1</v>
      </c>
      <c r="M464">
        <f t="shared" si="94"/>
        <v>0</v>
      </c>
      <c r="N464">
        <f t="shared" si="95"/>
        <v>0</v>
      </c>
      <c r="O464">
        <f t="shared" si="96"/>
        <v>0</v>
      </c>
      <c r="P464">
        <f t="shared" si="97"/>
        <v>0</v>
      </c>
      <c r="Q464">
        <f t="shared" si="98"/>
        <v>0</v>
      </c>
      <c r="R464">
        <v>0</v>
      </c>
      <c r="S464">
        <v>0</v>
      </c>
      <c r="T464">
        <v>0</v>
      </c>
      <c r="U464">
        <v>1</v>
      </c>
      <c r="V464">
        <v>1</v>
      </c>
      <c r="W464">
        <v>0</v>
      </c>
      <c r="X464">
        <v>0</v>
      </c>
      <c r="Y464">
        <v>0</v>
      </c>
      <c r="Z464">
        <v>1</v>
      </c>
      <c r="AA464">
        <v>0</v>
      </c>
      <c r="AB464">
        <v>1</v>
      </c>
      <c r="AC464">
        <v>0</v>
      </c>
      <c r="AD464">
        <v>0</v>
      </c>
      <c r="AE464">
        <v>0</v>
      </c>
      <c r="AF464">
        <v>0</v>
      </c>
      <c r="AG464">
        <v>0</v>
      </c>
      <c r="AH464">
        <v>0</v>
      </c>
      <c r="AI464">
        <v>0</v>
      </c>
      <c r="AJ464">
        <v>0</v>
      </c>
      <c r="AK464">
        <v>0</v>
      </c>
      <c r="AL464">
        <v>0</v>
      </c>
      <c r="AM464">
        <v>0</v>
      </c>
      <c r="AN464">
        <v>0</v>
      </c>
      <c r="AO464">
        <v>0</v>
      </c>
      <c r="AP464">
        <v>0</v>
      </c>
      <c r="AQ464">
        <v>0</v>
      </c>
      <c r="AR464">
        <v>0</v>
      </c>
      <c r="AS464">
        <f t="shared" si="99"/>
        <v>2</v>
      </c>
      <c r="AT464">
        <f t="shared" si="100"/>
        <v>4</v>
      </c>
      <c r="AU464" s="3" t="s">
        <v>1619</v>
      </c>
      <c r="AV464">
        <f t="shared" si="101"/>
        <v>1</v>
      </c>
      <c r="AW464">
        <f t="shared" si="102"/>
        <v>0</v>
      </c>
      <c r="AX464">
        <f t="shared" si="103"/>
        <v>0</v>
      </c>
      <c r="AY464">
        <v>5</v>
      </c>
      <c r="AZ464" t="s">
        <v>60</v>
      </c>
      <c r="BA464" t="s">
        <v>61</v>
      </c>
      <c r="BB464" t="s">
        <v>8</v>
      </c>
    </row>
    <row r="465" ht="101" spans="1:54">
      <c r="A465" t="s">
        <v>1620</v>
      </c>
      <c r="B465" t="s">
        <v>1041</v>
      </c>
      <c r="C465" t="s">
        <v>56</v>
      </c>
      <c r="D465">
        <v>0</v>
      </c>
      <c r="E465">
        <v>0</v>
      </c>
      <c r="F465">
        <v>67.6</v>
      </c>
      <c r="G465" t="s">
        <v>468</v>
      </c>
      <c r="H465" s="3" t="s">
        <v>1621</v>
      </c>
      <c r="I465" s="3" t="s">
        <v>1621</v>
      </c>
      <c r="J465">
        <f t="shared" si="91"/>
        <v>0</v>
      </c>
      <c r="K465">
        <f t="shared" si="92"/>
        <v>0</v>
      </c>
      <c r="L465">
        <f t="shared" si="93"/>
        <v>0</v>
      </c>
      <c r="M465">
        <f t="shared" si="94"/>
        <v>0</v>
      </c>
      <c r="N465">
        <f t="shared" si="95"/>
        <v>0</v>
      </c>
      <c r="O465">
        <f t="shared" si="96"/>
        <v>0</v>
      </c>
      <c r="P465">
        <f t="shared" si="97"/>
        <v>0</v>
      </c>
      <c r="Q465">
        <f t="shared" si="98"/>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f t="shared" si="99"/>
        <v>0</v>
      </c>
      <c r="AT465">
        <f t="shared" si="100"/>
        <v>0</v>
      </c>
      <c r="AU465" s="3" t="s">
        <v>118</v>
      </c>
      <c r="AV465">
        <f t="shared" si="101"/>
        <v>0</v>
      </c>
      <c r="AW465">
        <f t="shared" si="102"/>
        <v>1</v>
      </c>
      <c r="AX465">
        <f t="shared" si="103"/>
        <v>0</v>
      </c>
      <c r="AY465">
        <v>0</v>
      </c>
      <c r="AZ465" t="s">
        <v>147</v>
      </c>
      <c r="BA465" t="s">
        <v>148</v>
      </c>
      <c r="BB465" t="s">
        <v>8</v>
      </c>
    </row>
    <row r="466" ht="409.5" spans="1:54">
      <c r="A466" t="s">
        <v>1622</v>
      </c>
      <c r="B466" t="s">
        <v>1041</v>
      </c>
      <c r="C466" t="s">
        <v>56</v>
      </c>
      <c r="D466">
        <v>23</v>
      </c>
      <c r="E466">
        <v>0</v>
      </c>
      <c r="F466">
        <v>41.7</v>
      </c>
      <c r="G466" t="s">
        <v>468</v>
      </c>
      <c r="H466" s="3" t="s">
        <v>1623</v>
      </c>
      <c r="I466" s="3" t="s">
        <v>1624</v>
      </c>
      <c r="J466">
        <f t="shared" si="91"/>
        <v>1</v>
      </c>
      <c r="K466">
        <f t="shared" si="92"/>
        <v>1</v>
      </c>
      <c r="L466">
        <f t="shared" si="93"/>
        <v>0</v>
      </c>
      <c r="M466">
        <f t="shared" si="94"/>
        <v>0</v>
      </c>
      <c r="N466">
        <f t="shared" si="95"/>
        <v>1</v>
      </c>
      <c r="O466">
        <f t="shared" si="96"/>
        <v>0</v>
      </c>
      <c r="P466">
        <f t="shared" si="97"/>
        <v>0</v>
      </c>
      <c r="Q466">
        <f t="shared" si="98"/>
        <v>0</v>
      </c>
      <c r="R466">
        <v>1</v>
      </c>
      <c r="S466">
        <v>0</v>
      </c>
      <c r="T466">
        <v>0</v>
      </c>
      <c r="U466">
        <v>1</v>
      </c>
      <c r="V466">
        <v>0</v>
      </c>
      <c r="W466">
        <v>0</v>
      </c>
      <c r="X466">
        <v>0</v>
      </c>
      <c r="Y466">
        <v>0</v>
      </c>
      <c r="Z466">
        <v>0</v>
      </c>
      <c r="AA466">
        <v>0</v>
      </c>
      <c r="AB466">
        <v>0</v>
      </c>
      <c r="AC466">
        <v>0</v>
      </c>
      <c r="AD466">
        <v>0</v>
      </c>
      <c r="AE466">
        <v>0</v>
      </c>
      <c r="AF466">
        <v>0</v>
      </c>
      <c r="AG466">
        <v>0</v>
      </c>
      <c r="AH466">
        <v>1</v>
      </c>
      <c r="AI466">
        <v>0</v>
      </c>
      <c r="AJ466">
        <v>0</v>
      </c>
      <c r="AK466">
        <v>0</v>
      </c>
      <c r="AL466">
        <v>0</v>
      </c>
      <c r="AM466">
        <v>0</v>
      </c>
      <c r="AN466">
        <v>0</v>
      </c>
      <c r="AO466">
        <v>0</v>
      </c>
      <c r="AP466">
        <v>0</v>
      </c>
      <c r="AQ466">
        <v>0</v>
      </c>
      <c r="AR466">
        <v>0</v>
      </c>
      <c r="AS466">
        <f t="shared" si="99"/>
        <v>3</v>
      </c>
      <c r="AT466">
        <f t="shared" si="100"/>
        <v>3</v>
      </c>
      <c r="AU466" s="3" t="s">
        <v>1054</v>
      </c>
      <c r="AV466">
        <f t="shared" si="101"/>
        <v>1</v>
      </c>
      <c r="AW466">
        <f t="shared" si="102"/>
        <v>0</v>
      </c>
      <c r="AX466">
        <f t="shared" si="103"/>
        <v>0</v>
      </c>
      <c r="AY466">
        <v>3.5</v>
      </c>
      <c r="AZ466" t="s">
        <v>60</v>
      </c>
      <c r="BA466" t="s">
        <v>61</v>
      </c>
      <c r="BB466" t="s">
        <v>8</v>
      </c>
    </row>
    <row r="467" ht="34" spans="1:54">
      <c r="A467" t="s">
        <v>1625</v>
      </c>
      <c r="B467" t="s">
        <v>1041</v>
      </c>
      <c r="C467" t="s">
        <v>56</v>
      </c>
      <c r="D467">
        <v>0</v>
      </c>
      <c r="E467">
        <v>0</v>
      </c>
      <c r="F467">
        <v>52.8</v>
      </c>
      <c r="G467" t="s">
        <v>468</v>
      </c>
      <c r="H467" s="3" t="s">
        <v>1626</v>
      </c>
      <c r="I467" s="3" t="s">
        <v>1627</v>
      </c>
      <c r="J467">
        <f t="shared" si="91"/>
        <v>0</v>
      </c>
      <c r="K467">
        <f t="shared" si="92"/>
        <v>0</v>
      </c>
      <c r="L467">
        <f t="shared" si="93"/>
        <v>0</v>
      </c>
      <c r="M467">
        <f t="shared" si="94"/>
        <v>0</v>
      </c>
      <c r="N467">
        <f t="shared" si="95"/>
        <v>0</v>
      </c>
      <c r="O467">
        <f t="shared" si="96"/>
        <v>0</v>
      </c>
      <c r="P467">
        <f t="shared" si="97"/>
        <v>0</v>
      </c>
      <c r="Q467">
        <f t="shared" si="98"/>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f t="shared" si="99"/>
        <v>0</v>
      </c>
      <c r="AT467">
        <f t="shared" si="100"/>
        <v>0</v>
      </c>
      <c r="AU467" s="3" t="s">
        <v>118</v>
      </c>
      <c r="AV467">
        <f t="shared" si="101"/>
        <v>0</v>
      </c>
      <c r="AW467">
        <f t="shared" si="102"/>
        <v>1</v>
      </c>
      <c r="AX467">
        <f t="shared" si="103"/>
        <v>0</v>
      </c>
      <c r="AY467">
        <v>2.5</v>
      </c>
      <c r="AZ467" t="s">
        <v>60</v>
      </c>
      <c r="BA467" t="s">
        <v>61</v>
      </c>
      <c r="BB467" t="s">
        <v>8</v>
      </c>
    </row>
    <row r="468" ht="236" spans="1:54">
      <c r="A468" t="s">
        <v>1628</v>
      </c>
      <c r="B468" t="s">
        <v>1041</v>
      </c>
      <c r="C468" t="s">
        <v>56</v>
      </c>
      <c r="D468">
        <v>0</v>
      </c>
      <c r="E468">
        <v>0</v>
      </c>
      <c r="F468">
        <v>60.3</v>
      </c>
      <c r="G468" t="s">
        <v>468</v>
      </c>
      <c r="H468" s="3" t="s">
        <v>1629</v>
      </c>
      <c r="I468" s="3" t="s">
        <v>1630</v>
      </c>
      <c r="J468">
        <f t="shared" si="91"/>
        <v>0</v>
      </c>
      <c r="K468">
        <f t="shared" si="92"/>
        <v>1</v>
      </c>
      <c r="L468">
        <f t="shared" si="93"/>
        <v>0</v>
      </c>
      <c r="M468">
        <f t="shared" si="94"/>
        <v>0</v>
      </c>
      <c r="N468">
        <f t="shared" si="95"/>
        <v>0</v>
      </c>
      <c r="O468">
        <f t="shared" si="96"/>
        <v>1</v>
      </c>
      <c r="P468">
        <f t="shared" si="97"/>
        <v>1</v>
      </c>
      <c r="Q468">
        <f t="shared" si="98"/>
        <v>0</v>
      </c>
      <c r="R468">
        <v>0</v>
      </c>
      <c r="S468">
        <v>0</v>
      </c>
      <c r="T468">
        <v>0</v>
      </c>
      <c r="U468">
        <v>1</v>
      </c>
      <c r="V468">
        <v>0</v>
      </c>
      <c r="W468">
        <v>0</v>
      </c>
      <c r="X468">
        <v>0</v>
      </c>
      <c r="Y468">
        <v>0</v>
      </c>
      <c r="Z468">
        <v>0</v>
      </c>
      <c r="AA468">
        <v>0</v>
      </c>
      <c r="AB468">
        <v>0</v>
      </c>
      <c r="AC468">
        <v>0</v>
      </c>
      <c r="AD468">
        <v>0</v>
      </c>
      <c r="AE468">
        <v>0</v>
      </c>
      <c r="AF468">
        <v>0</v>
      </c>
      <c r="AG468">
        <v>0</v>
      </c>
      <c r="AH468">
        <v>0</v>
      </c>
      <c r="AI468">
        <v>1</v>
      </c>
      <c r="AJ468">
        <v>0</v>
      </c>
      <c r="AK468">
        <v>0</v>
      </c>
      <c r="AL468">
        <v>0</v>
      </c>
      <c r="AM468">
        <v>0</v>
      </c>
      <c r="AN468">
        <v>1</v>
      </c>
      <c r="AO468">
        <v>0</v>
      </c>
      <c r="AP468">
        <v>0</v>
      </c>
      <c r="AQ468">
        <v>0</v>
      </c>
      <c r="AR468">
        <v>0</v>
      </c>
      <c r="AS468">
        <f t="shared" si="99"/>
        <v>3</v>
      </c>
      <c r="AT468">
        <f t="shared" si="100"/>
        <v>3</v>
      </c>
      <c r="AU468" s="3" t="s">
        <v>1631</v>
      </c>
      <c r="AV468">
        <f t="shared" si="101"/>
        <v>1</v>
      </c>
      <c r="AW468">
        <f t="shared" si="102"/>
        <v>0</v>
      </c>
      <c r="AX468">
        <f t="shared" si="103"/>
        <v>0</v>
      </c>
      <c r="AY468">
        <v>5</v>
      </c>
      <c r="AZ468" t="s">
        <v>60</v>
      </c>
      <c r="BA468" t="s">
        <v>61</v>
      </c>
      <c r="BB468" t="s">
        <v>8</v>
      </c>
    </row>
    <row r="469" ht="17" spans="1:54">
      <c r="A469" t="s">
        <v>1632</v>
      </c>
      <c r="B469" t="s">
        <v>1041</v>
      </c>
      <c r="C469" t="s">
        <v>116</v>
      </c>
      <c r="D469">
        <v>4</v>
      </c>
      <c r="E469">
        <v>0</v>
      </c>
      <c r="F469">
        <v>51.6</v>
      </c>
      <c r="G469" t="s">
        <v>468</v>
      </c>
      <c r="H469" s="3" t="s">
        <v>1633</v>
      </c>
      <c r="I469" s="3" t="s">
        <v>1634</v>
      </c>
      <c r="J469">
        <f t="shared" si="91"/>
        <v>0</v>
      </c>
      <c r="K469">
        <f t="shared" si="92"/>
        <v>0</v>
      </c>
      <c r="L469">
        <f t="shared" si="93"/>
        <v>0</v>
      </c>
      <c r="M469">
        <f t="shared" si="94"/>
        <v>0</v>
      </c>
      <c r="N469">
        <f t="shared" si="95"/>
        <v>0</v>
      </c>
      <c r="O469">
        <f t="shared" si="96"/>
        <v>0</v>
      </c>
      <c r="P469">
        <f t="shared" si="97"/>
        <v>0</v>
      </c>
      <c r="Q469">
        <f t="shared" si="98"/>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f t="shared" si="99"/>
        <v>0</v>
      </c>
      <c r="AT469">
        <f t="shared" si="100"/>
        <v>0</v>
      </c>
      <c r="AU469" s="3" t="s">
        <v>118</v>
      </c>
      <c r="AV469">
        <f t="shared" si="101"/>
        <v>0</v>
      </c>
      <c r="AW469">
        <f t="shared" si="102"/>
        <v>1</v>
      </c>
      <c r="AX469">
        <f t="shared" si="103"/>
        <v>0</v>
      </c>
      <c r="AY469">
        <v>-1.5</v>
      </c>
      <c r="AZ469" t="s">
        <v>133</v>
      </c>
      <c r="BA469" t="s">
        <v>134</v>
      </c>
      <c r="BB469" t="s">
        <v>8</v>
      </c>
    </row>
    <row r="470" ht="409.5" spans="1:54">
      <c r="A470" t="s">
        <v>1635</v>
      </c>
      <c r="B470" t="s">
        <v>1041</v>
      </c>
      <c r="C470" t="s">
        <v>56</v>
      </c>
      <c r="D470">
        <v>0</v>
      </c>
      <c r="E470">
        <v>3</v>
      </c>
      <c r="F470">
        <v>190.6</v>
      </c>
      <c r="G470" t="s">
        <v>535</v>
      </c>
      <c r="H470" s="3" t="s">
        <v>1636</v>
      </c>
      <c r="I470" s="3" t="s">
        <v>1637</v>
      </c>
      <c r="J470">
        <f t="shared" si="91"/>
        <v>0</v>
      </c>
      <c r="K470">
        <f t="shared" si="92"/>
        <v>1</v>
      </c>
      <c r="L470">
        <f t="shared" si="93"/>
        <v>0</v>
      </c>
      <c r="M470">
        <f t="shared" si="94"/>
        <v>0</v>
      </c>
      <c r="N470">
        <f t="shared" si="95"/>
        <v>1</v>
      </c>
      <c r="O470">
        <f t="shared" si="96"/>
        <v>0</v>
      </c>
      <c r="P470">
        <f t="shared" si="97"/>
        <v>1</v>
      </c>
      <c r="Q470">
        <f t="shared" si="98"/>
        <v>0</v>
      </c>
      <c r="R470">
        <v>0</v>
      </c>
      <c r="S470">
        <v>0</v>
      </c>
      <c r="T470">
        <v>0</v>
      </c>
      <c r="U470">
        <v>1</v>
      </c>
      <c r="V470">
        <v>1</v>
      </c>
      <c r="W470">
        <v>1</v>
      </c>
      <c r="X470">
        <v>0</v>
      </c>
      <c r="Y470">
        <v>0</v>
      </c>
      <c r="Z470">
        <v>0</v>
      </c>
      <c r="AA470">
        <v>0</v>
      </c>
      <c r="AB470">
        <v>0</v>
      </c>
      <c r="AC470">
        <v>0</v>
      </c>
      <c r="AD470">
        <v>0</v>
      </c>
      <c r="AE470">
        <v>0</v>
      </c>
      <c r="AF470">
        <v>0</v>
      </c>
      <c r="AG470">
        <v>0</v>
      </c>
      <c r="AH470">
        <v>1</v>
      </c>
      <c r="AI470">
        <v>0</v>
      </c>
      <c r="AJ470">
        <v>0</v>
      </c>
      <c r="AK470">
        <v>0</v>
      </c>
      <c r="AL470">
        <v>0</v>
      </c>
      <c r="AM470">
        <v>0</v>
      </c>
      <c r="AN470">
        <v>0</v>
      </c>
      <c r="AO470">
        <v>0</v>
      </c>
      <c r="AP470">
        <v>1</v>
      </c>
      <c r="AQ470">
        <v>0</v>
      </c>
      <c r="AR470">
        <v>0</v>
      </c>
      <c r="AS470">
        <f t="shared" si="99"/>
        <v>3</v>
      </c>
      <c r="AT470">
        <f t="shared" si="100"/>
        <v>5</v>
      </c>
      <c r="AU470" s="3" t="s">
        <v>1638</v>
      </c>
      <c r="AV470">
        <f t="shared" si="101"/>
        <v>1</v>
      </c>
      <c r="AW470">
        <f t="shared" si="102"/>
        <v>0</v>
      </c>
      <c r="AX470">
        <f t="shared" si="103"/>
        <v>0</v>
      </c>
      <c r="AY470">
        <v>3.5</v>
      </c>
      <c r="AZ470" t="s">
        <v>60</v>
      </c>
      <c r="BA470" t="s">
        <v>61</v>
      </c>
      <c r="BB470" t="s">
        <v>8</v>
      </c>
    </row>
    <row r="471" ht="202" spans="1:54">
      <c r="A471" t="s">
        <v>1639</v>
      </c>
      <c r="B471" t="s">
        <v>1041</v>
      </c>
      <c r="C471" t="s">
        <v>56</v>
      </c>
      <c r="D471">
        <v>0</v>
      </c>
      <c r="E471">
        <v>0</v>
      </c>
      <c r="F471">
        <v>98.6</v>
      </c>
      <c r="G471" t="s">
        <v>535</v>
      </c>
      <c r="H471" s="3" t="s">
        <v>1640</v>
      </c>
      <c r="I471" s="3" t="s">
        <v>1641</v>
      </c>
      <c r="J471">
        <f t="shared" si="91"/>
        <v>1</v>
      </c>
      <c r="K471">
        <f t="shared" si="92"/>
        <v>1</v>
      </c>
      <c r="L471">
        <f t="shared" si="93"/>
        <v>0</v>
      </c>
      <c r="M471">
        <f t="shared" si="94"/>
        <v>1</v>
      </c>
      <c r="N471">
        <f t="shared" si="95"/>
        <v>1</v>
      </c>
      <c r="O471">
        <f t="shared" si="96"/>
        <v>0</v>
      </c>
      <c r="P471">
        <f t="shared" si="97"/>
        <v>0</v>
      </c>
      <c r="Q471">
        <f t="shared" si="98"/>
        <v>0</v>
      </c>
      <c r="R471">
        <v>1</v>
      </c>
      <c r="S471">
        <v>0</v>
      </c>
      <c r="T471">
        <v>0</v>
      </c>
      <c r="U471">
        <v>1</v>
      </c>
      <c r="V471">
        <v>0</v>
      </c>
      <c r="W471">
        <v>0</v>
      </c>
      <c r="X471">
        <v>0</v>
      </c>
      <c r="Y471">
        <v>0</v>
      </c>
      <c r="Z471">
        <v>0</v>
      </c>
      <c r="AA471">
        <v>0</v>
      </c>
      <c r="AB471">
        <v>0</v>
      </c>
      <c r="AC471">
        <v>0</v>
      </c>
      <c r="AD471">
        <v>1</v>
      </c>
      <c r="AE471">
        <v>0</v>
      </c>
      <c r="AF471">
        <v>0</v>
      </c>
      <c r="AG471">
        <v>0</v>
      </c>
      <c r="AH471">
        <v>1</v>
      </c>
      <c r="AI471">
        <v>0</v>
      </c>
      <c r="AJ471">
        <v>0</v>
      </c>
      <c r="AK471">
        <v>0</v>
      </c>
      <c r="AL471">
        <v>0</v>
      </c>
      <c r="AM471">
        <v>0</v>
      </c>
      <c r="AN471">
        <v>0</v>
      </c>
      <c r="AO471">
        <v>0</v>
      </c>
      <c r="AP471">
        <v>0</v>
      </c>
      <c r="AQ471">
        <v>0</v>
      </c>
      <c r="AR471">
        <v>0</v>
      </c>
      <c r="AS471">
        <f t="shared" si="99"/>
        <v>4</v>
      </c>
      <c r="AT471">
        <f t="shared" si="100"/>
        <v>4</v>
      </c>
      <c r="AU471" s="3" t="s">
        <v>341</v>
      </c>
      <c r="AV471">
        <f t="shared" si="101"/>
        <v>1</v>
      </c>
      <c r="AW471">
        <f t="shared" si="102"/>
        <v>0</v>
      </c>
      <c r="AX471">
        <f t="shared" si="103"/>
        <v>0</v>
      </c>
      <c r="AY471">
        <v>3</v>
      </c>
      <c r="AZ471" t="s">
        <v>60</v>
      </c>
      <c r="BA471" t="s">
        <v>61</v>
      </c>
      <c r="BB471" t="s">
        <v>8</v>
      </c>
    </row>
    <row r="472" ht="17" spans="1:54">
      <c r="A472" t="s">
        <v>1642</v>
      </c>
      <c r="B472" t="s">
        <v>1041</v>
      </c>
      <c r="C472" t="s">
        <v>116</v>
      </c>
      <c r="D472">
        <v>7</v>
      </c>
      <c r="E472">
        <v>1</v>
      </c>
      <c r="F472">
        <v>54.3</v>
      </c>
      <c r="G472" t="s">
        <v>535</v>
      </c>
      <c r="H472" s="3" t="s">
        <v>1643</v>
      </c>
      <c r="I472" s="3" t="s">
        <v>1644</v>
      </c>
      <c r="J472">
        <f t="shared" si="91"/>
        <v>0</v>
      </c>
      <c r="K472">
        <f t="shared" si="92"/>
        <v>0</v>
      </c>
      <c r="L472">
        <f t="shared" si="93"/>
        <v>0</v>
      </c>
      <c r="M472">
        <f t="shared" si="94"/>
        <v>0</v>
      </c>
      <c r="N472">
        <f t="shared" si="95"/>
        <v>0</v>
      </c>
      <c r="O472">
        <f t="shared" si="96"/>
        <v>0</v>
      </c>
      <c r="P472">
        <f t="shared" si="97"/>
        <v>0</v>
      </c>
      <c r="Q472">
        <f t="shared" si="98"/>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f t="shared" si="99"/>
        <v>0</v>
      </c>
      <c r="AT472">
        <f t="shared" si="100"/>
        <v>0</v>
      </c>
      <c r="AU472" s="3" t="s">
        <v>118</v>
      </c>
      <c r="AV472">
        <f t="shared" si="101"/>
        <v>0</v>
      </c>
      <c r="AW472">
        <f t="shared" si="102"/>
        <v>1</v>
      </c>
      <c r="AX472">
        <f t="shared" si="103"/>
        <v>0</v>
      </c>
      <c r="AY472">
        <v>0</v>
      </c>
      <c r="AZ472" t="s">
        <v>147</v>
      </c>
      <c r="BA472" t="s">
        <v>148</v>
      </c>
      <c r="BB472" t="s">
        <v>8</v>
      </c>
    </row>
    <row r="473" ht="34" spans="1:54">
      <c r="A473" t="s">
        <v>1645</v>
      </c>
      <c r="B473" t="s">
        <v>1041</v>
      </c>
      <c r="C473" t="s">
        <v>56</v>
      </c>
      <c r="D473">
        <v>0</v>
      </c>
      <c r="E473">
        <v>0</v>
      </c>
      <c r="F473">
        <v>45.4</v>
      </c>
      <c r="G473" t="s">
        <v>477</v>
      </c>
      <c r="H473" s="3" t="s">
        <v>1646</v>
      </c>
      <c r="I473" s="3" t="s">
        <v>1647</v>
      </c>
      <c r="J473">
        <f t="shared" si="91"/>
        <v>0</v>
      </c>
      <c r="K473">
        <f t="shared" si="92"/>
        <v>0</v>
      </c>
      <c r="L473">
        <f t="shared" si="93"/>
        <v>0</v>
      </c>
      <c r="M473">
        <f t="shared" si="94"/>
        <v>0</v>
      </c>
      <c r="N473">
        <f t="shared" si="95"/>
        <v>1</v>
      </c>
      <c r="O473">
        <f t="shared" si="96"/>
        <v>0</v>
      </c>
      <c r="P473">
        <f t="shared" si="97"/>
        <v>0</v>
      </c>
      <c r="Q473">
        <f t="shared" si="98"/>
        <v>0</v>
      </c>
      <c r="R473">
        <v>0</v>
      </c>
      <c r="S473">
        <v>0</v>
      </c>
      <c r="T473">
        <v>0</v>
      </c>
      <c r="U473">
        <v>0</v>
      </c>
      <c r="V473">
        <v>0</v>
      </c>
      <c r="W473">
        <v>0</v>
      </c>
      <c r="X473">
        <v>0</v>
      </c>
      <c r="Y473">
        <v>0</v>
      </c>
      <c r="Z473">
        <v>0</v>
      </c>
      <c r="AA473">
        <v>0</v>
      </c>
      <c r="AB473">
        <v>0</v>
      </c>
      <c r="AC473">
        <v>0</v>
      </c>
      <c r="AD473">
        <v>0</v>
      </c>
      <c r="AE473">
        <v>0</v>
      </c>
      <c r="AF473">
        <v>0</v>
      </c>
      <c r="AG473">
        <v>0</v>
      </c>
      <c r="AH473">
        <v>1</v>
      </c>
      <c r="AI473">
        <v>0</v>
      </c>
      <c r="AJ473">
        <v>0</v>
      </c>
      <c r="AK473">
        <v>0</v>
      </c>
      <c r="AL473">
        <v>0</v>
      </c>
      <c r="AM473">
        <v>0</v>
      </c>
      <c r="AN473">
        <v>0</v>
      </c>
      <c r="AO473">
        <v>0</v>
      </c>
      <c r="AP473">
        <v>0</v>
      </c>
      <c r="AQ473">
        <v>0</v>
      </c>
      <c r="AR473">
        <v>0</v>
      </c>
      <c r="AS473">
        <f t="shared" si="99"/>
        <v>1</v>
      </c>
      <c r="AT473">
        <f t="shared" si="100"/>
        <v>1</v>
      </c>
      <c r="AU473" s="3" t="s">
        <v>129</v>
      </c>
      <c r="AV473">
        <f t="shared" si="101"/>
        <v>1</v>
      </c>
      <c r="AW473">
        <f t="shared" si="102"/>
        <v>0</v>
      </c>
      <c r="AX473">
        <f t="shared" si="103"/>
        <v>0</v>
      </c>
      <c r="AY473">
        <v>3</v>
      </c>
      <c r="AZ473" t="s">
        <v>60</v>
      </c>
      <c r="BA473" t="s">
        <v>61</v>
      </c>
      <c r="BB473" t="s">
        <v>8</v>
      </c>
    </row>
    <row r="474" ht="320" spans="1:54">
      <c r="A474" t="s">
        <v>1648</v>
      </c>
      <c r="B474" t="s">
        <v>1041</v>
      </c>
      <c r="C474" t="s">
        <v>56</v>
      </c>
      <c r="D474">
        <v>0</v>
      </c>
      <c r="E474">
        <v>0</v>
      </c>
      <c r="F474">
        <v>14.2</v>
      </c>
      <c r="G474" t="s">
        <v>477</v>
      </c>
      <c r="H474" s="3" t="s">
        <v>1649</v>
      </c>
      <c r="I474" s="3" t="s">
        <v>1650</v>
      </c>
      <c r="J474">
        <f t="shared" si="91"/>
        <v>1</v>
      </c>
      <c r="K474">
        <f t="shared" si="92"/>
        <v>1</v>
      </c>
      <c r="L474">
        <f t="shared" si="93"/>
        <v>0</v>
      </c>
      <c r="M474">
        <f t="shared" si="94"/>
        <v>0</v>
      </c>
      <c r="N474">
        <f t="shared" si="95"/>
        <v>0</v>
      </c>
      <c r="O474">
        <f t="shared" si="96"/>
        <v>0</v>
      </c>
      <c r="P474">
        <f t="shared" si="97"/>
        <v>0</v>
      </c>
      <c r="Q474">
        <f t="shared" si="98"/>
        <v>0</v>
      </c>
      <c r="R474">
        <v>1</v>
      </c>
      <c r="S474">
        <v>0</v>
      </c>
      <c r="T474">
        <v>0</v>
      </c>
      <c r="U474">
        <v>1</v>
      </c>
      <c r="V474">
        <v>1</v>
      </c>
      <c r="W474">
        <v>1</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f t="shared" si="99"/>
        <v>2</v>
      </c>
      <c r="AT474">
        <f t="shared" si="100"/>
        <v>4</v>
      </c>
      <c r="AU474" s="3" t="s">
        <v>1651</v>
      </c>
      <c r="AV474">
        <f t="shared" si="101"/>
        <v>1</v>
      </c>
      <c r="AW474">
        <f t="shared" si="102"/>
        <v>0</v>
      </c>
      <c r="AX474">
        <f t="shared" si="103"/>
        <v>0</v>
      </c>
      <c r="AY474">
        <v>2</v>
      </c>
      <c r="AZ474" t="s">
        <v>60</v>
      </c>
      <c r="BA474" t="s">
        <v>61</v>
      </c>
      <c r="BB474" t="s">
        <v>8</v>
      </c>
    </row>
    <row r="475" ht="303" spans="1:54">
      <c r="A475" t="s">
        <v>1652</v>
      </c>
      <c r="B475" t="s">
        <v>1041</v>
      </c>
      <c r="C475" t="s">
        <v>56</v>
      </c>
      <c r="D475">
        <v>0</v>
      </c>
      <c r="E475">
        <v>0</v>
      </c>
      <c r="F475">
        <v>74.2</v>
      </c>
      <c r="G475" t="s">
        <v>477</v>
      </c>
      <c r="H475" s="3" t="s">
        <v>1653</v>
      </c>
      <c r="I475" s="3" t="s">
        <v>1653</v>
      </c>
      <c r="J475">
        <f t="shared" si="91"/>
        <v>1</v>
      </c>
      <c r="K475">
        <f t="shared" si="92"/>
        <v>1</v>
      </c>
      <c r="L475">
        <f t="shared" si="93"/>
        <v>0</v>
      </c>
      <c r="M475">
        <f t="shared" si="94"/>
        <v>0</v>
      </c>
      <c r="N475">
        <f t="shared" si="95"/>
        <v>1</v>
      </c>
      <c r="O475">
        <f t="shared" si="96"/>
        <v>1</v>
      </c>
      <c r="P475">
        <f t="shared" si="97"/>
        <v>0</v>
      </c>
      <c r="Q475">
        <f t="shared" si="98"/>
        <v>1</v>
      </c>
      <c r="R475">
        <v>1</v>
      </c>
      <c r="S475">
        <v>0</v>
      </c>
      <c r="T475">
        <v>0</v>
      </c>
      <c r="U475">
        <v>1</v>
      </c>
      <c r="V475">
        <v>0</v>
      </c>
      <c r="W475">
        <v>0</v>
      </c>
      <c r="X475">
        <v>0</v>
      </c>
      <c r="Y475">
        <v>0</v>
      </c>
      <c r="Z475">
        <v>0</v>
      </c>
      <c r="AA475">
        <v>0</v>
      </c>
      <c r="AB475">
        <v>0</v>
      </c>
      <c r="AC475">
        <v>0</v>
      </c>
      <c r="AD475">
        <v>0</v>
      </c>
      <c r="AE475">
        <v>0</v>
      </c>
      <c r="AF475">
        <v>0</v>
      </c>
      <c r="AG475">
        <v>0</v>
      </c>
      <c r="AH475">
        <v>1</v>
      </c>
      <c r="AI475">
        <v>1</v>
      </c>
      <c r="AJ475">
        <v>1</v>
      </c>
      <c r="AK475">
        <v>1</v>
      </c>
      <c r="AL475">
        <v>0</v>
      </c>
      <c r="AM475">
        <v>0</v>
      </c>
      <c r="AN475">
        <v>0</v>
      </c>
      <c r="AO475">
        <v>0</v>
      </c>
      <c r="AP475">
        <v>0</v>
      </c>
      <c r="AQ475">
        <v>0</v>
      </c>
      <c r="AR475">
        <v>1</v>
      </c>
      <c r="AS475">
        <f t="shared" si="99"/>
        <v>5</v>
      </c>
      <c r="AT475">
        <f t="shared" si="100"/>
        <v>7</v>
      </c>
      <c r="AU475" s="3" t="s">
        <v>1654</v>
      </c>
      <c r="AV475">
        <f t="shared" si="101"/>
        <v>1</v>
      </c>
      <c r="AW475">
        <f t="shared" si="102"/>
        <v>0</v>
      </c>
      <c r="AX475">
        <f t="shared" si="103"/>
        <v>0</v>
      </c>
      <c r="AY475">
        <v>24.5</v>
      </c>
      <c r="AZ475" t="s">
        <v>60</v>
      </c>
      <c r="BA475" t="s">
        <v>61</v>
      </c>
      <c r="BB475" t="s">
        <v>8</v>
      </c>
    </row>
    <row r="476" ht="34" spans="1:54">
      <c r="A476" t="s">
        <v>1655</v>
      </c>
      <c r="B476" t="s">
        <v>1041</v>
      </c>
      <c r="C476" t="s">
        <v>56</v>
      </c>
      <c r="D476">
        <v>0</v>
      </c>
      <c r="E476">
        <v>0</v>
      </c>
      <c r="F476">
        <v>70.2</v>
      </c>
      <c r="G476" t="s">
        <v>477</v>
      </c>
      <c r="H476" s="3" t="s">
        <v>1656</v>
      </c>
      <c r="I476" s="3" t="s">
        <v>1656</v>
      </c>
      <c r="J476">
        <f t="shared" si="91"/>
        <v>0</v>
      </c>
      <c r="K476">
        <f t="shared" si="92"/>
        <v>0</v>
      </c>
      <c r="L476">
        <f t="shared" si="93"/>
        <v>0</v>
      </c>
      <c r="M476">
        <f t="shared" si="94"/>
        <v>0</v>
      </c>
      <c r="N476">
        <f t="shared" si="95"/>
        <v>0</v>
      </c>
      <c r="O476">
        <f t="shared" si="96"/>
        <v>0</v>
      </c>
      <c r="P476">
        <f t="shared" si="97"/>
        <v>0</v>
      </c>
      <c r="Q476">
        <f t="shared" si="98"/>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f t="shared" si="99"/>
        <v>0</v>
      </c>
      <c r="AT476">
        <f t="shared" si="100"/>
        <v>0</v>
      </c>
      <c r="AU476" s="3" t="s">
        <v>118</v>
      </c>
      <c r="AV476">
        <f t="shared" si="101"/>
        <v>0</v>
      </c>
      <c r="AW476">
        <f t="shared" si="102"/>
        <v>1</v>
      </c>
      <c r="AX476">
        <f t="shared" si="103"/>
        <v>0</v>
      </c>
      <c r="AY476">
        <v>2</v>
      </c>
      <c r="AZ476" t="s">
        <v>60</v>
      </c>
      <c r="BA476" t="s">
        <v>61</v>
      </c>
      <c r="BB476" t="s">
        <v>8</v>
      </c>
    </row>
    <row r="477" ht="68" spans="1:54">
      <c r="A477" t="s">
        <v>1657</v>
      </c>
      <c r="B477" t="s">
        <v>1041</v>
      </c>
      <c r="C477" t="s">
        <v>116</v>
      </c>
      <c r="D477">
        <v>3</v>
      </c>
      <c r="E477">
        <v>0</v>
      </c>
      <c r="F477">
        <v>59.2</v>
      </c>
      <c r="G477" t="s">
        <v>477</v>
      </c>
      <c r="H477" s="3" t="s">
        <v>1658</v>
      </c>
      <c r="I477" s="3" t="s">
        <v>1659</v>
      </c>
      <c r="J477">
        <f t="shared" si="91"/>
        <v>1</v>
      </c>
      <c r="K477">
        <f t="shared" si="92"/>
        <v>1</v>
      </c>
      <c r="L477">
        <f t="shared" si="93"/>
        <v>0</v>
      </c>
      <c r="M477">
        <f t="shared" si="94"/>
        <v>1</v>
      </c>
      <c r="N477">
        <f t="shared" si="95"/>
        <v>0</v>
      </c>
      <c r="O477">
        <f t="shared" si="96"/>
        <v>1</v>
      </c>
      <c r="P477">
        <f t="shared" si="97"/>
        <v>0</v>
      </c>
      <c r="Q477">
        <f t="shared" si="98"/>
        <v>0</v>
      </c>
      <c r="R477">
        <v>0</v>
      </c>
      <c r="S477">
        <v>0</v>
      </c>
      <c r="T477">
        <v>1</v>
      </c>
      <c r="U477">
        <v>0</v>
      </c>
      <c r="V477">
        <v>1</v>
      </c>
      <c r="W477">
        <v>0</v>
      </c>
      <c r="X477">
        <v>0</v>
      </c>
      <c r="Y477">
        <v>0</v>
      </c>
      <c r="Z477">
        <v>0</v>
      </c>
      <c r="AA477">
        <v>0</v>
      </c>
      <c r="AB477">
        <v>0</v>
      </c>
      <c r="AC477">
        <v>0</v>
      </c>
      <c r="AD477">
        <v>0</v>
      </c>
      <c r="AE477">
        <v>1</v>
      </c>
      <c r="AF477">
        <v>0</v>
      </c>
      <c r="AG477">
        <v>0</v>
      </c>
      <c r="AH477">
        <v>0</v>
      </c>
      <c r="AI477">
        <v>0</v>
      </c>
      <c r="AJ477">
        <v>0</v>
      </c>
      <c r="AK477">
        <v>1</v>
      </c>
      <c r="AL477">
        <v>0</v>
      </c>
      <c r="AM477">
        <v>0</v>
      </c>
      <c r="AN477">
        <v>0</v>
      </c>
      <c r="AO477">
        <v>0</v>
      </c>
      <c r="AP477">
        <v>0</v>
      </c>
      <c r="AQ477">
        <v>0</v>
      </c>
      <c r="AR477">
        <v>0</v>
      </c>
      <c r="AS477">
        <f t="shared" si="99"/>
        <v>4</v>
      </c>
      <c r="AT477">
        <f t="shared" si="100"/>
        <v>4</v>
      </c>
      <c r="AU477" s="3" t="s">
        <v>1660</v>
      </c>
      <c r="AV477">
        <f t="shared" si="101"/>
        <v>1</v>
      </c>
      <c r="AW477">
        <f t="shared" si="102"/>
        <v>0</v>
      </c>
      <c r="AX477">
        <f t="shared" si="103"/>
        <v>0</v>
      </c>
      <c r="AY477">
        <v>-4</v>
      </c>
      <c r="AZ477" t="s">
        <v>133</v>
      </c>
      <c r="BA477" t="s">
        <v>134</v>
      </c>
      <c r="BB477" t="s">
        <v>8</v>
      </c>
    </row>
    <row r="478" ht="17" spans="1:54">
      <c r="A478" t="s">
        <v>1661</v>
      </c>
      <c r="B478" t="s">
        <v>1041</v>
      </c>
      <c r="C478" t="s">
        <v>56</v>
      </c>
      <c r="D478">
        <v>0</v>
      </c>
      <c r="E478">
        <v>0</v>
      </c>
      <c r="F478">
        <v>37.9</v>
      </c>
      <c r="G478" t="s">
        <v>477</v>
      </c>
      <c r="H478" s="3" t="s">
        <v>1662</v>
      </c>
      <c r="I478" s="3" t="s">
        <v>1662</v>
      </c>
      <c r="J478">
        <f t="shared" si="91"/>
        <v>0</v>
      </c>
      <c r="K478">
        <f t="shared" si="92"/>
        <v>0</v>
      </c>
      <c r="L478">
        <f t="shared" si="93"/>
        <v>0</v>
      </c>
      <c r="M478">
        <f t="shared" si="94"/>
        <v>0</v>
      </c>
      <c r="N478">
        <f t="shared" si="95"/>
        <v>0</v>
      </c>
      <c r="O478">
        <f t="shared" si="96"/>
        <v>0</v>
      </c>
      <c r="P478">
        <f t="shared" si="97"/>
        <v>0</v>
      </c>
      <c r="Q478">
        <f t="shared" si="9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f t="shared" si="99"/>
        <v>0</v>
      </c>
      <c r="AT478">
        <f t="shared" si="100"/>
        <v>0</v>
      </c>
      <c r="AU478" s="3" t="s">
        <v>118</v>
      </c>
      <c r="AV478">
        <f t="shared" si="101"/>
        <v>0</v>
      </c>
      <c r="AW478">
        <f t="shared" si="102"/>
        <v>1</v>
      </c>
      <c r="AX478">
        <f t="shared" si="103"/>
        <v>0</v>
      </c>
      <c r="AY478">
        <v>0</v>
      </c>
      <c r="AZ478" t="s">
        <v>147</v>
      </c>
      <c r="BA478" t="s">
        <v>148</v>
      </c>
      <c r="BB478" t="s">
        <v>8</v>
      </c>
    </row>
    <row r="479" ht="252" spans="1:54">
      <c r="A479" t="s">
        <v>1663</v>
      </c>
      <c r="B479" t="s">
        <v>1041</v>
      </c>
      <c r="C479" t="s">
        <v>116</v>
      </c>
      <c r="D479">
        <v>3</v>
      </c>
      <c r="E479">
        <v>0</v>
      </c>
      <c r="F479">
        <v>193.1</v>
      </c>
      <c r="G479" t="s">
        <v>477</v>
      </c>
      <c r="H479" s="3" t="s">
        <v>1664</v>
      </c>
      <c r="I479" s="3" t="s">
        <v>1665</v>
      </c>
      <c r="J479">
        <f t="shared" si="91"/>
        <v>1</v>
      </c>
      <c r="K479">
        <f t="shared" si="92"/>
        <v>0</v>
      </c>
      <c r="L479">
        <f t="shared" si="93"/>
        <v>0</v>
      </c>
      <c r="M479">
        <f t="shared" si="94"/>
        <v>1</v>
      </c>
      <c r="N479">
        <f t="shared" si="95"/>
        <v>1</v>
      </c>
      <c r="O479">
        <f t="shared" si="96"/>
        <v>0</v>
      </c>
      <c r="P479">
        <f t="shared" si="97"/>
        <v>0</v>
      </c>
      <c r="Q479">
        <f t="shared" si="98"/>
        <v>0</v>
      </c>
      <c r="R479">
        <v>1</v>
      </c>
      <c r="S479">
        <v>0</v>
      </c>
      <c r="T479">
        <v>0</v>
      </c>
      <c r="U479">
        <v>0</v>
      </c>
      <c r="V479">
        <v>0</v>
      </c>
      <c r="W479">
        <v>0</v>
      </c>
      <c r="X479">
        <v>0</v>
      </c>
      <c r="Y479">
        <v>0</v>
      </c>
      <c r="Z479">
        <v>0</v>
      </c>
      <c r="AA479">
        <v>0</v>
      </c>
      <c r="AB479">
        <v>0</v>
      </c>
      <c r="AC479">
        <v>0</v>
      </c>
      <c r="AD479">
        <v>1</v>
      </c>
      <c r="AE479">
        <v>1</v>
      </c>
      <c r="AF479">
        <v>0</v>
      </c>
      <c r="AG479">
        <v>0</v>
      </c>
      <c r="AH479">
        <v>1</v>
      </c>
      <c r="AI479">
        <v>0</v>
      </c>
      <c r="AJ479">
        <v>0</v>
      </c>
      <c r="AK479">
        <v>0</v>
      </c>
      <c r="AL479">
        <v>0</v>
      </c>
      <c r="AM479">
        <v>0</v>
      </c>
      <c r="AN479">
        <v>0</v>
      </c>
      <c r="AO479">
        <v>0</v>
      </c>
      <c r="AP479">
        <v>0</v>
      </c>
      <c r="AQ479">
        <v>0</v>
      </c>
      <c r="AR479">
        <v>0</v>
      </c>
      <c r="AS479">
        <f t="shared" si="99"/>
        <v>3</v>
      </c>
      <c r="AT479">
        <f t="shared" si="100"/>
        <v>4</v>
      </c>
      <c r="AU479" s="3" t="s">
        <v>1666</v>
      </c>
      <c r="AV479">
        <f t="shared" si="101"/>
        <v>1</v>
      </c>
      <c r="AW479">
        <f t="shared" si="102"/>
        <v>0</v>
      </c>
      <c r="AX479">
        <f t="shared" si="103"/>
        <v>0</v>
      </c>
      <c r="AY479">
        <v>-1</v>
      </c>
      <c r="AZ479" t="s">
        <v>133</v>
      </c>
      <c r="BA479" t="s">
        <v>134</v>
      </c>
      <c r="BB479" t="s">
        <v>8</v>
      </c>
    </row>
    <row r="480" ht="17" spans="1:54">
      <c r="A480" t="s">
        <v>1667</v>
      </c>
      <c r="B480" t="s">
        <v>1041</v>
      </c>
      <c r="C480" t="s">
        <v>56</v>
      </c>
      <c r="D480">
        <v>0</v>
      </c>
      <c r="E480">
        <v>0</v>
      </c>
      <c r="F480">
        <v>27.7</v>
      </c>
      <c r="G480" t="s">
        <v>487</v>
      </c>
      <c r="H480" s="3" t="s">
        <v>1668</v>
      </c>
      <c r="I480" s="3" t="s">
        <v>1669</v>
      </c>
      <c r="J480">
        <f t="shared" si="91"/>
        <v>0</v>
      </c>
      <c r="K480">
        <f t="shared" si="92"/>
        <v>0</v>
      </c>
      <c r="L480">
        <f t="shared" si="93"/>
        <v>0</v>
      </c>
      <c r="M480">
        <f t="shared" si="94"/>
        <v>0</v>
      </c>
      <c r="N480">
        <f t="shared" si="95"/>
        <v>0</v>
      </c>
      <c r="O480">
        <f t="shared" si="96"/>
        <v>0</v>
      </c>
      <c r="P480">
        <f t="shared" si="97"/>
        <v>0</v>
      </c>
      <c r="Q480">
        <f t="shared" si="98"/>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f t="shared" si="99"/>
        <v>0</v>
      </c>
      <c r="AT480">
        <f t="shared" si="100"/>
        <v>0</v>
      </c>
      <c r="AU480" s="3" t="s">
        <v>118</v>
      </c>
      <c r="AV480">
        <f t="shared" si="101"/>
        <v>0</v>
      </c>
      <c r="AW480">
        <f t="shared" si="102"/>
        <v>1</v>
      </c>
      <c r="AX480">
        <f t="shared" si="103"/>
        <v>0</v>
      </c>
      <c r="AY480">
        <v>1.5</v>
      </c>
      <c r="AZ480" t="s">
        <v>60</v>
      </c>
      <c r="BA480" t="s">
        <v>61</v>
      </c>
      <c r="BB480" t="s">
        <v>8</v>
      </c>
    </row>
    <row r="481" ht="135" spans="1:54">
      <c r="A481" t="s">
        <v>1670</v>
      </c>
      <c r="B481" t="s">
        <v>1041</v>
      </c>
      <c r="C481" t="s">
        <v>56</v>
      </c>
      <c r="D481">
        <v>867</v>
      </c>
      <c r="E481">
        <v>36</v>
      </c>
      <c r="F481">
        <v>51.4</v>
      </c>
      <c r="G481" t="s">
        <v>487</v>
      </c>
      <c r="H481" s="3" t="s">
        <v>1671</v>
      </c>
      <c r="I481" s="3" t="s">
        <v>1672</v>
      </c>
      <c r="J481">
        <f t="shared" si="91"/>
        <v>1</v>
      </c>
      <c r="K481">
        <f t="shared" si="92"/>
        <v>1</v>
      </c>
      <c r="L481">
        <f t="shared" si="93"/>
        <v>1</v>
      </c>
      <c r="M481">
        <f t="shared" si="94"/>
        <v>0</v>
      </c>
      <c r="N481">
        <f t="shared" si="95"/>
        <v>1</v>
      </c>
      <c r="O481">
        <f t="shared" si="96"/>
        <v>1</v>
      </c>
      <c r="P481">
        <f t="shared" si="97"/>
        <v>0</v>
      </c>
      <c r="Q481">
        <f t="shared" si="98"/>
        <v>0</v>
      </c>
      <c r="R481">
        <v>1</v>
      </c>
      <c r="S481">
        <v>1</v>
      </c>
      <c r="T481">
        <v>0</v>
      </c>
      <c r="U481">
        <v>1</v>
      </c>
      <c r="V481">
        <v>1</v>
      </c>
      <c r="W481">
        <v>0</v>
      </c>
      <c r="X481">
        <v>0</v>
      </c>
      <c r="Y481">
        <v>0</v>
      </c>
      <c r="Z481">
        <v>1</v>
      </c>
      <c r="AA481">
        <v>0</v>
      </c>
      <c r="AB481">
        <v>1</v>
      </c>
      <c r="AC481">
        <v>1</v>
      </c>
      <c r="AD481">
        <v>0</v>
      </c>
      <c r="AE481">
        <v>0</v>
      </c>
      <c r="AF481">
        <v>0</v>
      </c>
      <c r="AG481">
        <v>0</v>
      </c>
      <c r="AH481">
        <v>1</v>
      </c>
      <c r="AI481">
        <v>0</v>
      </c>
      <c r="AJ481">
        <v>0</v>
      </c>
      <c r="AK481">
        <v>0</v>
      </c>
      <c r="AL481">
        <v>1</v>
      </c>
      <c r="AM481">
        <v>0</v>
      </c>
      <c r="AN481">
        <v>0</v>
      </c>
      <c r="AO481">
        <v>0</v>
      </c>
      <c r="AP481">
        <v>0</v>
      </c>
      <c r="AQ481">
        <v>0</v>
      </c>
      <c r="AR481">
        <v>0</v>
      </c>
      <c r="AS481">
        <f t="shared" si="99"/>
        <v>5</v>
      </c>
      <c r="AT481">
        <f t="shared" si="100"/>
        <v>9</v>
      </c>
      <c r="AU481" s="3" t="s">
        <v>1673</v>
      </c>
      <c r="AV481">
        <f t="shared" si="101"/>
        <v>1</v>
      </c>
      <c r="AW481">
        <f t="shared" si="102"/>
        <v>0</v>
      </c>
      <c r="AX481">
        <f t="shared" si="103"/>
        <v>1</v>
      </c>
      <c r="AY481">
        <v>5.5</v>
      </c>
      <c r="AZ481" t="s">
        <v>60</v>
      </c>
      <c r="BA481" t="s">
        <v>61</v>
      </c>
      <c r="BB481" t="s">
        <v>8</v>
      </c>
    </row>
    <row r="482" ht="68" spans="1:54">
      <c r="A482" t="s">
        <v>1674</v>
      </c>
      <c r="B482" t="s">
        <v>1041</v>
      </c>
      <c r="C482" t="s">
        <v>56</v>
      </c>
      <c r="D482">
        <v>0</v>
      </c>
      <c r="E482">
        <v>0</v>
      </c>
      <c r="F482">
        <v>37.5</v>
      </c>
      <c r="G482" t="s">
        <v>487</v>
      </c>
      <c r="H482" s="3" t="s">
        <v>1675</v>
      </c>
      <c r="I482" s="3" t="s">
        <v>1676</v>
      </c>
      <c r="J482">
        <f t="shared" si="91"/>
        <v>0</v>
      </c>
      <c r="K482">
        <f t="shared" si="92"/>
        <v>1</v>
      </c>
      <c r="L482">
        <f t="shared" si="93"/>
        <v>0</v>
      </c>
      <c r="M482">
        <f t="shared" si="94"/>
        <v>0</v>
      </c>
      <c r="N482">
        <f t="shared" si="95"/>
        <v>0</v>
      </c>
      <c r="O482">
        <f t="shared" si="96"/>
        <v>1</v>
      </c>
      <c r="P482">
        <f t="shared" si="97"/>
        <v>1</v>
      </c>
      <c r="Q482">
        <f t="shared" si="98"/>
        <v>0</v>
      </c>
      <c r="R482">
        <v>0</v>
      </c>
      <c r="S482">
        <v>0</v>
      </c>
      <c r="T482">
        <v>0</v>
      </c>
      <c r="U482">
        <v>0</v>
      </c>
      <c r="V482">
        <v>1</v>
      </c>
      <c r="W482">
        <v>0</v>
      </c>
      <c r="X482">
        <v>0</v>
      </c>
      <c r="Y482">
        <v>0</v>
      </c>
      <c r="Z482">
        <v>0</v>
      </c>
      <c r="AA482">
        <v>0</v>
      </c>
      <c r="AB482">
        <v>0</v>
      </c>
      <c r="AC482">
        <v>0</v>
      </c>
      <c r="AD482">
        <v>0</v>
      </c>
      <c r="AE482">
        <v>0</v>
      </c>
      <c r="AF482">
        <v>0</v>
      </c>
      <c r="AG482">
        <v>0</v>
      </c>
      <c r="AH482">
        <v>0</v>
      </c>
      <c r="AI482">
        <v>1</v>
      </c>
      <c r="AJ482">
        <v>0</v>
      </c>
      <c r="AK482">
        <v>0</v>
      </c>
      <c r="AL482">
        <v>0</v>
      </c>
      <c r="AM482">
        <v>0</v>
      </c>
      <c r="AN482">
        <v>1</v>
      </c>
      <c r="AO482">
        <v>0</v>
      </c>
      <c r="AP482">
        <v>1</v>
      </c>
      <c r="AQ482">
        <v>0</v>
      </c>
      <c r="AR482">
        <v>0</v>
      </c>
      <c r="AS482">
        <f t="shared" si="99"/>
        <v>3</v>
      </c>
      <c r="AT482">
        <f t="shared" si="100"/>
        <v>4</v>
      </c>
      <c r="AU482" s="3" t="s">
        <v>1677</v>
      </c>
      <c r="AV482">
        <f t="shared" si="101"/>
        <v>1</v>
      </c>
      <c r="AW482">
        <f t="shared" si="102"/>
        <v>0</v>
      </c>
      <c r="AX482">
        <f t="shared" si="103"/>
        <v>0</v>
      </c>
      <c r="AY482">
        <v>10</v>
      </c>
      <c r="AZ482" t="s">
        <v>60</v>
      </c>
      <c r="BA482" t="s">
        <v>61</v>
      </c>
      <c r="BB482" t="s">
        <v>8</v>
      </c>
    </row>
    <row r="483" ht="101" spans="1:54">
      <c r="A483" t="s">
        <v>1678</v>
      </c>
      <c r="B483" t="s">
        <v>1041</v>
      </c>
      <c r="C483" t="s">
        <v>56</v>
      </c>
      <c r="D483">
        <v>2</v>
      </c>
      <c r="E483">
        <v>0</v>
      </c>
      <c r="F483">
        <v>7.6</v>
      </c>
      <c r="G483" t="s">
        <v>487</v>
      </c>
      <c r="H483" s="3" t="s">
        <v>1679</v>
      </c>
      <c r="I483" s="3" t="s">
        <v>1680</v>
      </c>
      <c r="J483">
        <f t="shared" si="91"/>
        <v>0</v>
      </c>
      <c r="K483">
        <f t="shared" si="92"/>
        <v>1</v>
      </c>
      <c r="L483">
        <f t="shared" si="93"/>
        <v>0</v>
      </c>
      <c r="M483">
        <f t="shared" si="94"/>
        <v>0</v>
      </c>
      <c r="N483">
        <f t="shared" si="95"/>
        <v>0</v>
      </c>
      <c r="O483">
        <f t="shared" si="96"/>
        <v>0</v>
      </c>
      <c r="P483">
        <f t="shared" si="97"/>
        <v>0</v>
      </c>
      <c r="Q483">
        <f t="shared" si="98"/>
        <v>0</v>
      </c>
      <c r="R483">
        <v>0</v>
      </c>
      <c r="S483">
        <v>0</v>
      </c>
      <c r="T483">
        <v>0</v>
      </c>
      <c r="U483">
        <v>1</v>
      </c>
      <c r="V483">
        <v>1</v>
      </c>
      <c r="W483">
        <v>1</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f t="shared" si="99"/>
        <v>1</v>
      </c>
      <c r="AT483">
        <f t="shared" si="100"/>
        <v>3</v>
      </c>
      <c r="AU483" s="3" t="s">
        <v>1681</v>
      </c>
      <c r="AV483">
        <f t="shared" si="101"/>
        <v>1</v>
      </c>
      <c r="AW483">
        <f t="shared" si="102"/>
        <v>0</v>
      </c>
      <c r="AX483">
        <f t="shared" si="103"/>
        <v>0</v>
      </c>
      <c r="AY483">
        <v>0</v>
      </c>
      <c r="AZ483" t="s">
        <v>147</v>
      </c>
      <c r="BA483" t="s">
        <v>148</v>
      </c>
      <c r="BB483" t="s">
        <v>8</v>
      </c>
    </row>
    <row r="484" ht="101" spans="1:54">
      <c r="A484" t="s">
        <v>1682</v>
      </c>
      <c r="B484" t="s">
        <v>1041</v>
      </c>
      <c r="C484" t="s">
        <v>56</v>
      </c>
      <c r="D484">
        <v>0</v>
      </c>
      <c r="E484">
        <v>0</v>
      </c>
      <c r="F484">
        <v>53.3</v>
      </c>
      <c r="G484" t="s">
        <v>487</v>
      </c>
      <c r="H484" s="3" t="s">
        <v>1683</v>
      </c>
      <c r="I484" s="3" t="s">
        <v>1684</v>
      </c>
      <c r="J484">
        <f t="shared" si="91"/>
        <v>0</v>
      </c>
      <c r="K484">
        <f t="shared" si="92"/>
        <v>1</v>
      </c>
      <c r="L484">
        <f t="shared" si="93"/>
        <v>0</v>
      </c>
      <c r="M484">
        <f t="shared" si="94"/>
        <v>0</v>
      </c>
      <c r="N484">
        <f t="shared" si="95"/>
        <v>1</v>
      </c>
      <c r="O484">
        <f t="shared" si="96"/>
        <v>0</v>
      </c>
      <c r="P484">
        <f t="shared" si="97"/>
        <v>0</v>
      </c>
      <c r="Q484">
        <f t="shared" si="98"/>
        <v>0</v>
      </c>
      <c r="R484">
        <v>0</v>
      </c>
      <c r="S484">
        <v>0</v>
      </c>
      <c r="T484">
        <v>0</v>
      </c>
      <c r="U484">
        <v>0</v>
      </c>
      <c r="V484">
        <v>1</v>
      </c>
      <c r="W484">
        <v>0</v>
      </c>
      <c r="X484">
        <v>0</v>
      </c>
      <c r="Y484">
        <v>0</v>
      </c>
      <c r="Z484">
        <v>0</v>
      </c>
      <c r="AA484">
        <v>0</v>
      </c>
      <c r="AB484">
        <v>0</v>
      </c>
      <c r="AC484">
        <v>0</v>
      </c>
      <c r="AD484">
        <v>0</v>
      </c>
      <c r="AE484">
        <v>0</v>
      </c>
      <c r="AF484">
        <v>0</v>
      </c>
      <c r="AG484">
        <v>0</v>
      </c>
      <c r="AH484">
        <v>1</v>
      </c>
      <c r="AI484">
        <v>0</v>
      </c>
      <c r="AJ484">
        <v>0</v>
      </c>
      <c r="AK484">
        <v>0</v>
      </c>
      <c r="AL484">
        <v>0</v>
      </c>
      <c r="AM484">
        <v>0</v>
      </c>
      <c r="AN484">
        <v>0</v>
      </c>
      <c r="AO484">
        <v>0</v>
      </c>
      <c r="AP484">
        <v>0</v>
      </c>
      <c r="AQ484">
        <v>0</v>
      </c>
      <c r="AR484">
        <v>0</v>
      </c>
      <c r="AS484">
        <f t="shared" si="99"/>
        <v>2</v>
      </c>
      <c r="AT484">
        <f t="shared" si="100"/>
        <v>2</v>
      </c>
      <c r="AU484" s="3" t="s">
        <v>1124</v>
      </c>
      <c r="AV484">
        <f t="shared" si="101"/>
        <v>1</v>
      </c>
      <c r="AW484">
        <f t="shared" si="102"/>
        <v>0</v>
      </c>
      <c r="AX484">
        <f t="shared" si="103"/>
        <v>0</v>
      </c>
      <c r="AY484">
        <v>2.5</v>
      </c>
      <c r="AZ484" t="s">
        <v>60</v>
      </c>
      <c r="BA484" t="s">
        <v>61</v>
      </c>
      <c r="BB484" t="s">
        <v>8</v>
      </c>
    </row>
    <row r="485" ht="409.5" spans="1:54">
      <c r="A485" t="s">
        <v>1685</v>
      </c>
      <c r="B485" t="s">
        <v>1041</v>
      </c>
      <c r="C485" t="s">
        <v>116</v>
      </c>
      <c r="D485">
        <v>17</v>
      </c>
      <c r="E485">
        <v>3</v>
      </c>
      <c r="F485">
        <v>40.8</v>
      </c>
      <c r="G485" t="s">
        <v>491</v>
      </c>
      <c r="H485" s="3" t="s">
        <v>1686</v>
      </c>
      <c r="I485" s="3" t="s">
        <v>1687</v>
      </c>
      <c r="J485">
        <f t="shared" si="91"/>
        <v>0</v>
      </c>
      <c r="K485">
        <f t="shared" si="92"/>
        <v>1</v>
      </c>
      <c r="L485">
        <f t="shared" si="93"/>
        <v>0</v>
      </c>
      <c r="M485">
        <f t="shared" si="94"/>
        <v>0</v>
      </c>
      <c r="N485">
        <f t="shared" si="95"/>
        <v>1</v>
      </c>
      <c r="O485">
        <f t="shared" si="96"/>
        <v>0</v>
      </c>
      <c r="P485">
        <f t="shared" si="97"/>
        <v>0</v>
      </c>
      <c r="Q485">
        <f t="shared" si="98"/>
        <v>0</v>
      </c>
      <c r="R485">
        <v>0</v>
      </c>
      <c r="S485">
        <v>0</v>
      </c>
      <c r="T485">
        <v>0</v>
      </c>
      <c r="U485">
        <v>1</v>
      </c>
      <c r="V485">
        <v>0</v>
      </c>
      <c r="W485">
        <v>0</v>
      </c>
      <c r="X485">
        <v>0</v>
      </c>
      <c r="Y485">
        <v>0</v>
      </c>
      <c r="Z485">
        <v>0</v>
      </c>
      <c r="AA485">
        <v>0</v>
      </c>
      <c r="AB485">
        <v>0</v>
      </c>
      <c r="AC485">
        <v>0</v>
      </c>
      <c r="AD485">
        <v>0</v>
      </c>
      <c r="AE485">
        <v>0</v>
      </c>
      <c r="AF485">
        <v>0</v>
      </c>
      <c r="AG485">
        <v>1</v>
      </c>
      <c r="AH485">
        <v>1</v>
      </c>
      <c r="AI485">
        <v>0</v>
      </c>
      <c r="AJ485">
        <v>0</v>
      </c>
      <c r="AK485">
        <v>0</v>
      </c>
      <c r="AL485">
        <v>0</v>
      </c>
      <c r="AM485">
        <v>0</v>
      </c>
      <c r="AN485">
        <v>0</v>
      </c>
      <c r="AO485">
        <v>0</v>
      </c>
      <c r="AP485">
        <v>0</v>
      </c>
      <c r="AQ485">
        <v>0</v>
      </c>
      <c r="AR485">
        <v>0</v>
      </c>
      <c r="AS485">
        <f t="shared" si="99"/>
        <v>2</v>
      </c>
      <c r="AT485">
        <f t="shared" si="100"/>
        <v>3</v>
      </c>
      <c r="AU485" s="3" t="s">
        <v>1688</v>
      </c>
      <c r="AV485">
        <f t="shared" si="101"/>
        <v>1</v>
      </c>
      <c r="AW485">
        <f t="shared" si="102"/>
        <v>0</v>
      </c>
      <c r="AX485">
        <f t="shared" si="103"/>
        <v>0</v>
      </c>
      <c r="AY485">
        <v>7</v>
      </c>
      <c r="AZ485" t="s">
        <v>60</v>
      </c>
      <c r="BA485" t="s">
        <v>61</v>
      </c>
      <c r="BB485" t="s">
        <v>8</v>
      </c>
    </row>
    <row r="486" ht="34" spans="1:54">
      <c r="A486" t="s">
        <v>1689</v>
      </c>
      <c r="B486" t="s">
        <v>1041</v>
      </c>
      <c r="C486" t="s">
        <v>56</v>
      </c>
      <c r="D486">
        <v>0</v>
      </c>
      <c r="E486">
        <v>0</v>
      </c>
      <c r="F486">
        <v>113.7</v>
      </c>
      <c r="G486" t="s">
        <v>491</v>
      </c>
      <c r="H486" s="3" t="s">
        <v>1690</v>
      </c>
      <c r="I486" s="3" t="s">
        <v>1691</v>
      </c>
      <c r="J486">
        <f t="shared" si="91"/>
        <v>0</v>
      </c>
      <c r="K486">
        <f t="shared" si="92"/>
        <v>1</v>
      </c>
      <c r="L486">
        <f t="shared" si="93"/>
        <v>0</v>
      </c>
      <c r="M486">
        <f t="shared" si="94"/>
        <v>0</v>
      </c>
      <c r="N486">
        <f t="shared" si="95"/>
        <v>1</v>
      </c>
      <c r="O486">
        <f t="shared" si="96"/>
        <v>0</v>
      </c>
      <c r="P486">
        <f t="shared" si="97"/>
        <v>0</v>
      </c>
      <c r="Q486">
        <f t="shared" si="98"/>
        <v>0</v>
      </c>
      <c r="R486">
        <v>0</v>
      </c>
      <c r="S486">
        <v>0</v>
      </c>
      <c r="T486">
        <v>0</v>
      </c>
      <c r="U486">
        <v>1</v>
      </c>
      <c r="V486">
        <v>0</v>
      </c>
      <c r="W486">
        <v>1</v>
      </c>
      <c r="X486">
        <v>0</v>
      </c>
      <c r="Y486">
        <v>0</v>
      </c>
      <c r="Z486">
        <v>0</v>
      </c>
      <c r="AA486">
        <v>0</v>
      </c>
      <c r="AB486">
        <v>0</v>
      </c>
      <c r="AC486">
        <v>0</v>
      </c>
      <c r="AD486">
        <v>0</v>
      </c>
      <c r="AE486">
        <v>0</v>
      </c>
      <c r="AF486">
        <v>0</v>
      </c>
      <c r="AG486">
        <v>0</v>
      </c>
      <c r="AH486">
        <v>1</v>
      </c>
      <c r="AI486">
        <v>0</v>
      </c>
      <c r="AJ486">
        <v>0</v>
      </c>
      <c r="AK486">
        <v>0</v>
      </c>
      <c r="AL486">
        <v>0</v>
      </c>
      <c r="AM486">
        <v>0</v>
      </c>
      <c r="AN486">
        <v>0</v>
      </c>
      <c r="AO486">
        <v>0</v>
      </c>
      <c r="AP486">
        <v>0</v>
      </c>
      <c r="AQ486">
        <v>0</v>
      </c>
      <c r="AR486">
        <v>0</v>
      </c>
      <c r="AS486">
        <f t="shared" si="99"/>
        <v>2</v>
      </c>
      <c r="AT486">
        <f t="shared" si="100"/>
        <v>3</v>
      </c>
      <c r="AU486" s="3" t="s">
        <v>1237</v>
      </c>
      <c r="AV486">
        <f t="shared" si="101"/>
        <v>1</v>
      </c>
      <c r="AW486">
        <f t="shared" si="102"/>
        <v>0</v>
      </c>
      <c r="AX486">
        <f t="shared" si="103"/>
        <v>0</v>
      </c>
      <c r="AY486">
        <v>3</v>
      </c>
      <c r="AZ486" t="s">
        <v>60</v>
      </c>
      <c r="BA486" t="s">
        <v>61</v>
      </c>
      <c r="BB486" t="s">
        <v>8</v>
      </c>
    </row>
    <row r="487" ht="353" spans="1:54">
      <c r="A487" t="s">
        <v>1692</v>
      </c>
      <c r="B487" t="s">
        <v>1041</v>
      </c>
      <c r="C487" t="s">
        <v>56</v>
      </c>
      <c r="D487">
        <v>20</v>
      </c>
      <c r="E487">
        <v>0</v>
      </c>
      <c r="F487">
        <v>42</v>
      </c>
      <c r="G487" t="s">
        <v>491</v>
      </c>
      <c r="H487" s="3" t="s">
        <v>1693</v>
      </c>
      <c r="I487" s="3" t="s">
        <v>1694</v>
      </c>
      <c r="J487">
        <f t="shared" si="91"/>
        <v>0</v>
      </c>
      <c r="K487">
        <f t="shared" si="92"/>
        <v>1</v>
      </c>
      <c r="L487">
        <f t="shared" si="93"/>
        <v>1</v>
      </c>
      <c r="M487">
        <f t="shared" si="94"/>
        <v>0</v>
      </c>
      <c r="N487">
        <f t="shared" si="95"/>
        <v>1</v>
      </c>
      <c r="O487">
        <f t="shared" si="96"/>
        <v>1</v>
      </c>
      <c r="P487">
        <f t="shared" si="97"/>
        <v>0</v>
      </c>
      <c r="Q487">
        <f t="shared" si="98"/>
        <v>0</v>
      </c>
      <c r="R487">
        <v>0</v>
      </c>
      <c r="S487">
        <v>0</v>
      </c>
      <c r="T487">
        <v>0</v>
      </c>
      <c r="U487">
        <v>0</v>
      </c>
      <c r="V487">
        <v>1</v>
      </c>
      <c r="W487">
        <v>1</v>
      </c>
      <c r="X487">
        <v>0</v>
      </c>
      <c r="Y487">
        <v>0</v>
      </c>
      <c r="Z487">
        <v>1</v>
      </c>
      <c r="AA487">
        <v>0</v>
      </c>
      <c r="AB487">
        <v>1</v>
      </c>
      <c r="AC487">
        <v>0</v>
      </c>
      <c r="AD487">
        <v>0</v>
      </c>
      <c r="AE487">
        <v>0</v>
      </c>
      <c r="AF487">
        <v>0</v>
      </c>
      <c r="AG487">
        <v>0</v>
      </c>
      <c r="AH487">
        <v>1</v>
      </c>
      <c r="AI487">
        <v>1</v>
      </c>
      <c r="AJ487">
        <v>0</v>
      </c>
      <c r="AK487">
        <v>0</v>
      </c>
      <c r="AL487">
        <v>0</v>
      </c>
      <c r="AM487">
        <v>0</v>
      </c>
      <c r="AN487">
        <v>0</v>
      </c>
      <c r="AO487">
        <v>0</v>
      </c>
      <c r="AP487">
        <v>0</v>
      </c>
      <c r="AQ487">
        <v>0</v>
      </c>
      <c r="AR487">
        <v>0</v>
      </c>
      <c r="AS487">
        <f t="shared" si="99"/>
        <v>4</v>
      </c>
      <c r="AT487">
        <f t="shared" si="100"/>
        <v>6</v>
      </c>
      <c r="AU487" s="3" t="s">
        <v>1695</v>
      </c>
      <c r="AV487">
        <f t="shared" si="101"/>
        <v>1</v>
      </c>
      <c r="AW487">
        <f t="shared" si="102"/>
        <v>0</v>
      </c>
      <c r="AX487">
        <f t="shared" si="103"/>
        <v>0</v>
      </c>
      <c r="AY487">
        <v>6</v>
      </c>
      <c r="AZ487" t="s">
        <v>60</v>
      </c>
      <c r="BA487" t="s">
        <v>61</v>
      </c>
      <c r="BB487" t="s">
        <v>8</v>
      </c>
    </row>
    <row r="488" ht="185" spans="1:54">
      <c r="A488" t="s">
        <v>1696</v>
      </c>
      <c r="B488" t="s">
        <v>1041</v>
      </c>
      <c r="C488" t="s">
        <v>116</v>
      </c>
      <c r="D488">
        <v>7</v>
      </c>
      <c r="E488">
        <v>1</v>
      </c>
      <c r="F488">
        <v>67.3</v>
      </c>
      <c r="G488" t="s">
        <v>491</v>
      </c>
      <c r="H488" s="3" t="s">
        <v>1697</v>
      </c>
      <c r="I488" s="3" t="s">
        <v>1698</v>
      </c>
      <c r="J488">
        <f t="shared" si="91"/>
        <v>0</v>
      </c>
      <c r="K488">
        <f t="shared" si="92"/>
        <v>0</v>
      </c>
      <c r="L488">
        <f t="shared" si="93"/>
        <v>1</v>
      </c>
      <c r="M488">
        <f t="shared" si="94"/>
        <v>0</v>
      </c>
      <c r="N488">
        <f t="shared" si="95"/>
        <v>1</v>
      </c>
      <c r="O488">
        <f t="shared" si="96"/>
        <v>0</v>
      </c>
      <c r="P488">
        <f t="shared" si="97"/>
        <v>1</v>
      </c>
      <c r="Q488">
        <f t="shared" si="98"/>
        <v>0</v>
      </c>
      <c r="R488">
        <v>0</v>
      </c>
      <c r="S488">
        <v>0</v>
      </c>
      <c r="T488">
        <v>0</v>
      </c>
      <c r="U488">
        <v>0</v>
      </c>
      <c r="V488">
        <v>0</v>
      </c>
      <c r="W488">
        <v>0</v>
      </c>
      <c r="X488">
        <v>0</v>
      </c>
      <c r="Y488">
        <v>0</v>
      </c>
      <c r="Z488">
        <v>1</v>
      </c>
      <c r="AA488">
        <v>0</v>
      </c>
      <c r="AB488">
        <v>0</v>
      </c>
      <c r="AC488">
        <v>1</v>
      </c>
      <c r="AD488">
        <v>0</v>
      </c>
      <c r="AE488">
        <v>0</v>
      </c>
      <c r="AF488">
        <v>0</v>
      </c>
      <c r="AG488">
        <v>0</v>
      </c>
      <c r="AH488">
        <v>1</v>
      </c>
      <c r="AI488">
        <v>0</v>
      </c>
      <c r="AJ488">
        <v>0</v>
      </c>
      <c r="AK488">
        <v>0</v>
      </c>
      <c r="AL488">
        <v>0</v>
      </c>
      <c r="AM488">
        <v>0</v>
      </c>
      <c r="AN488">
        <v>0</v>
      </c>
      <c r="AO488">
        <v>0</v>
      </c>
      <c r="AP488">
        <v>1</v>
      </c>
      <c r="AQ488">
        <v>0</v>
      </c>
      <c r="AR488">
        <v>0</v>
      </c>
      <c r="AS488">
        <f t="shared" si="99"/>
        <v>3</v>
      </c>
      <c r="AT488">
        <f t="shared" si="100"/>
        <v>4</v>
      </c>
      <c r="AU488" s="3" t="s">
        <v>1699</v>
      </c>
      <c r="AV488">
        <f t="shared" si="101"/>
        <v>1</v>
      </c>
      <c r="AW488">
        <f t="shared" si="102"/>
        <v>0</v>
      </c>
      <c r="AX488">
        <f t="shared" si="103"/>
        <v>0</v>
      </c>
      <c r="AY488">
        <v>1.5</v>
      </c>
      <c r="AZ488" t="s">
        <v>60</v>
      </c>
      <c r="BA488" t="s">
        <v>61</v>
      </c>
      <c r="BB488" t="s">
        <v>8</v>
      </c>
    </row>
    <row r="489" ht="370" spans="1:54">
      <c r="A489" t="s">
        <v>1700</v>
      </c>
      <c r="B489" t="s">
        <v>1041</v>
      </c>
      <c r="C489" t="s">
        <v>116</v>
      </c>
      <c r="D489">
        <v>12</v>
      </c>
      <c r="E489">
        <v>0</v>
      </c>
      <c r="F489">
        <v>39.9</v>
      </c>
      <c r="G489" t="s">
        <v>491</v>
      </c>
      <c r="H489" s="3" t="s">
        <v>1701</v>
      </c>
      <c r="I489" s="3" t="s">
        <v>1702</v>
      </c>
      <c r="J489">
        <f t="shared" si="91"/>
        <v>0</v>
      </c>
      <c r="K489">
        <f t="shared" si="92"/>
        <v>1</v>
      </c>
      <c r="L489">
        <f t="shared" si="93"/>
        <v>0</v>
      </c>
      <c r="M489">
        <f t="shared" si="94"/>
        <v>0</v>
      </c>
      <c r="N489">
        <f t="shared" si="95"/>
        <v>0</v>
      </c>
      <c r="O489">
        <f t="shared" si="96"/>
        <v>1</v>
      </c>
      <c r="P489">
        <f t="shared" si="97"/>
        <v>1</v>
      </c>
      <c r="Q489">
        <f t="shared" si="98"/>
        <v>0</v>
      </c>
      <c r="R489">
        <v>0</v>
      </c>
      <c r="S489">
        <v>0</v>
      </c>
      <c r="T489">
        <v>0</v>
      </c>
      <c r="U489">
        <v>1</v>
      </c>
      <c r="V489">
        <v>0</v>
      </c>
      <c r="W489">
        <v>0</v>
      </c>
      <c r="X489">
        <v>0</v>
      </c>
      <c r="Y489">
        <v>0</v>
      </c>
      <c r="Z489">
        <v>0</v>
      </c>
      <c r="AA489">
        <v>0</v>
      </c>
      <c r="AB489">
        <v>0</v>
      </c>
      <c r="AC489">
        <v>0</v>
      </c>
      <c r="AD489">
        <v>0</v>
      </c>
      <c r="AE489">
        <v>0</v>
      </c>
      <c r="AF489">
        <v>0</v>
      </c>
      <c r="AG489">
        <v>0</v>
      </c>
      <c r="AH489">
        <v>0</v>
      </c>
      <c r="AI489">
        <v>1</v>
      </c>
      <c r="AJ489">
        <v>0</v>
      </c>
      <c r="AK489">
        <v>0</v>
      </c>
      <c r="AL489">
        <v>0</v>
      </c>
      <c r="AM489">
        <v>1</v>
      </c>
      <c r="AN489">
        <v>0</v>
      </c>
      <c r="AO489">
        <v>0</v>
      </c>
      <c r="AP489">
        <v>0</v>
      </c>
      <c r="AQ489">
        <v>0</v>
      </c>
      <c r="AR489">
        <v>0</v>
      </c>
      <c r="AS489">
        <f t="shared" si="99"/>
        <v>3</v>
      </c>
      <c r="AT489">
        <f t="shared" si="100"/>
        <v>3</v>
      </c>
      <c r="AU489" s="3" t="s">
        <v>1703</v>
      </c>
      <c r="AV489">
        <f t="shared" si="101"/>
        <v>1</v>
      </c>
      <c r="AW489">
        <f t="shared" si="102"/>
        <v>0</v>
      </c>
      <c r="AX489">
        <f t="shared" si="103"/>
        <v>0</v>
      </c>
      <c r="AY489">
        <v>0</v>
      </c>
      <c r="AZ489" t="s">
        <v>147</v>
      </c>
      <c r="BA489" t="s">
        <v>148</v>
      </c>
      <c r="BB489" t="s">
        <v>8</v>
      </c>
    </row>
    <row r="490" ht="236" spans="1:54">
      <c r="A490" t="s">
        <v>1704</v>
      </c>
      <c r="B490" t="s">
        <v>1041</v>
      </c>
      <c r="C490" t="s">
        <v>56</v>
      </c>
      <c r="D490">
        <v>0</v>
      </c>
      <c r="E490">
        <v>0</v>
      </c>
      <c r="F490">
        <v>120.2</v>
      </c>
      <c r="G490" t="s">
        <v>491</v>
      </c>
      <c r="H490" s="3" t="s">
        <v>1705</v>
      </c>
      <c r="I490" s="3" t="s">
        <v>1706</v>
      </c>
      <c r="J490">
        <f t="shared" si="91"/>
        <v>0</v>
      </c>
      <c r="K490">
        <f t="shared" si="92"/>
        <v>1</v>
      </c>
      <c r="L490">
        <f t="shared" si="93"/>
        <v>0</v>
      </c>
      <c r="M490">
        <f t="shared" si="94"/>
        <v>0</v>
      </c>
      <c r="N490">
        <f t="shared" si="95"/>
        <v>0</v>
      </c>
      <c r="O490">
        <f t="shared" si="96"/>
        <v>0</v>
      </c>
      <c r="P490">
        <f t="shared" si="97"/>
        <v>0</v>
      </c>
      <c r="Q490">
        <f t="shared" si="98"/>
        <v>0</v>
      </c>
      <c r="R490">
        <v>0</v>
      </c>
      <c r="S490">
        <v>0</v>
      </c>
      <c r="T490">
        <v>0</v>
      </c>
      <c r="U490">
        <v>1</v>
      </c>
      <c r="V490">
        <v>0</v>
      </c>
      <c r="W490">
        <v>1</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f t="shared" si="99"/>
        <v>1</v>
      </c>
      <c r="AT490">
        <f t="shared" si="100"/>
        <v>2</v>
      </c>
      <c r="AU490" s="3" t="s">
        <v>1707</v>
      </c>
      <c r="AV490">
        <f t="shared" si="101"/>
        <v>1</v>
      </c>
      <c r="AW490">
        <f t="shared" si="102"/>
        <v>0</v>
      </c>
      <c r="AX490">
        <f t="shared" si="103"/>
        <v>0</v>
      </c>
      <c r="AY490">
        <v>4.5</v>
      </c>
      <c r="AZ490" t="s">
        <v>60</v>
      </c>
      <c r="BA490" t="s">
        <v>61</v>
      </c>
      <c r="BB490" t="s">
        <v>8</v>
      </c>
    </row>
    <row r="491" ht="269" spans="1:54">
      <c r="A491" t="s">
        <v>1708</v>
      </c>
      <c r="B491" t="s">
        <v>1041</v>
      </c>
      <c r="C491" t="s">
        <v>56</v>
      </c>
      <c r="D491">
        <v>23</v>
      </c>
      <c r="E491">
        <v>6</v>
      </c>
      <c r="F491">
        <v>36</v>
      </c>
      <c r="G491" t="s">
        <v>491</v>
      </c>
      <c r="H491" s="3" t="s">
        <v>1709</v>
      </c>
      <c r="I491" s="3" t="s">
        <v>1710</v>
      </c>
      <c r="J491">
        <f t="shared" si="91"/>
        <v>0</v>
      </c>
      <c r="K491">
        <f t="shared" si="92"/>
        <v>1</v>
      </c>
      <c r="L491">
        <f t="shared" si="93"/>
        <v>1</v>
      </c>
      <c r="M491">
        <f t="shared" si="94"/>
        <v>0</v>
      </c>
      <c r="N491">
        <f t="shared" si="95"/>
        <v>1</v>
      </c>
      <c r="O491">
        <f t="shared" si="96"/>
        <v>0</v>
      </c>
      <c r="P491">
        <f t="shared" si="97"/>
        <v>0</v>
      </c>
      <c r="Q491">
        <f t="shared" si="98"/>
        <v>0</v>
      </c>
      <c r="R491">
        <v>0</v>
      </c>
      <c r="S491">
        <v>0</v>
      </c>
      <c r="T491">
        <v>0</v>
      </c>
      <c r="U491">
        <v>1</v>
      </c>
      <c r="V491">
        <v>1</v>
      </c>
      <c r="W491">
        <v>0</v>
      </c>
      <c r="X491">
        <v>0</v>
      </c>
      <c r="Y491">
        <v>0</v>
      </c>
      <c r="Z491">
        <v>0</v>
      </c>
      <c r="AA491">
        <v>0</v>
      </c>
      <c r="AB491">
        <v>1</v>
      </c>
      <c r="AC491">
        <v>0</v>
      </c>
      <c r="AD491">
        <v>0</v>
      </c>
      <c r="AE491">
        <v>0</v>
      </c>
      <c r="AF491">
        <v>0</v>
      </c>
      <c r="AG491">
        <v>1</v>
      </c>
      <c r="AH491">
        <v>1</v>
      </c>
      <c r="AI491">
        <v>0</v>
      </c>
      <c r="AJ491">
        <v>0</v>
      </c>
      <c r="AK491">
        <v>0</v>
      </c>
      <c r="AL491">
        <v>0</v>
      </c>
      <c r="AM491">
        <v>0</v>
      </c>
      <c r="AN491">
        <v>0</v>
      </c>
      <c r="AO491">
        <v>0</v>
      </c>
      <c r="AP491">
        <v>0</v>
      </c>
      <c r="AQ491">
        <v>0</v>
      </c>
      <c r="AR491">
        <v>0</v>
      </c>
      <c r="AS491">
        <f t="shared" si="99"/>
        <v>3</v>
      </c>
      <c r="AT491">
        <f t="shared" si="100"/>
        <v>5</v>
      </c>
      <c r="AU491" s="3" t="s">
        <v>1711</v>
      </c>
      <c r="AV491">
        <f t="shared" si="101"/>
        <v>1</v>
      </c>
      <c r="AW491">
        <f t="shared" si="102"/>
        <v>0</v>
      </c>
      <c r="AX491">
        <f t="shared" si="103"/>
        <v>0</v>
      </c>
      <c r="AY491">
        <v>4.5</v>
      </c>
      <c r="AZ491" t="s">
        <v>60</v>
      </c>
      <c r="BA491" t="s">
        <v>61</v>
      </c>
      <c r="BB491" t="s">
        <v>8</v>
      </c>
    </row>
    <row r="492" ht="152" spans="1:54">
      <c r="A492" t="s">
        <v>1712</v>
      </c>
      <c r="B492" t="s">
        <v>1041</v>
      </c>
      <c r="C492" t="s">
        <v>56</v>
      </c>
      <c r="D492">
        <v>0</v>
      </c>
      <c r="E492">
        <v>0</v>
      </c>
      <c r="F492">
        <v>70</v>
      </c>
      <c r="G492" t="s">
        <v>491</v>
      </c>
      <c r="H492" s="3" t="s">
        <v>1713</v>
      </c>
      <c r="I492" s="3" t="s">
        <v>1714</v>
      </c>
      <c r="J492">
        <f t="shared" si="91"/>
        <v>0</v>
      </c>
      <c r="K492">
        <f t="shared" si="92"/>
        <v>1</v>
      </c>
      <c r="L492">
        <f t="shared" si="93"/>
        <v>1</v>
      </c>
      <c r="M492">
        <f t="shared" si="94"/>
        <v>0</v>
      </c>
      <c r="N492">
        <f t="shared" si="95"/>
        <v>1</v>
      </c>
      <c r="O492">
        <f t="shared" si="96"/>
        <v>0</v>
      </c>
      <c r="P492">
        <f t="shared" si="97"/>
        <v>0</v>
      </c>
      <c r="Q492">
        <f t="shared" si="98"/>
        <v>0</v>
      </c>
      <c r="R492">
        <v>0</v>
      </c>
      <c r="S492">
        <v>0</v>
      </c>
      <c r="T492">
        <v>0</v>
      </c>
      <c r="U492">
        <v>1</v>
      </c>
      <c r="V492">
        <v>0</v>
      </c>
      <c r="W492">
        <v>0</v>
      </c>
      <c r="X492">
        <v>0</v>
      </c>
      <c r="Y492">
        <v>0</v>
      </c>
      <c r="Z492">
        <v>0</v>
      </c>
      <c r="AA492">
        <v>1</v>
      </c>
      <c r="AB492">
        <v>0</v>
      </c>
      <c r="AC492">
        <v>0</v>
      </c>
      <c r="AD492">
        <v>0</v>
      </c>
      <c r="AE492">
        <v>0</v>
      </c>
      <c r="AF492">
        <v>0</v>
      </c>
      <c r="AG492">
        <v>0</v>
      </c>
      <c r="AH492">
        <v>1</v>
      </c>
      <c r="AI492">
        <v>0</v>
      </c>
      <c r="AJ492">
        <v>0</v>
      </c>
      <c r="AK492">
        <v>0</v>
      </c>
      <c r="AL492">
        <v>0</v>
      </c>
      <c r="AM492">
        <v>0</v>
      </c>
      <c r="AN492">
        <v>0</v>
      </c>
      <c r="AO492">
        <v>0</v>
      </c>
      <c r="AP492">
        <v>0</v>
      </c>
      <c r="AQ492">
        <v>0</v>
      </c>
      <c r="AR492">
        <v>0</v>
      </c>
      <c r="AS492">
        <f t="shared" si="99"/>
        <v>3</v>
      </c>
      <c r="AT492">
        <f t="shared" si="100"/>
        <v>3</v>
      </c>
      <c r="AU492" s="3" t="s">
        <v>1715</v>
      </c>
      <c r="AV492">
        <f t="shared" si="101"/>
        <v>1</v>
      </c>
      <c r="AW492">
        <f t="shared" si="102"/>
        <v>0</v>
      </c>
      <c r="AX492">
        <f t="shared" si="103"/>
        <v>0</v>
      </c>
      <c r="AY492">
        <v>6</v>
      </c>
      <c r="AZ492" t="s">
        <v>60</v>
      </c>
      <c r="BA492" t="s">
        <v>61</v>
      </c>
      <c r="BB492" t="s">
        <v>8</v>
      </c>
    </row>
    <row r="493" ht="409.5" spans="1:54">
      <c r="A493" t="s">
        <v>1716</v>
      </c>
      <c r="B493" t="s">
        <v>1041</v>
      </c>
      <c r="C493" t="s">
        <v>56</v>
      </c>
      <c r="D493">
        <v>0</v>
      </c>
      <c r="E493">
        <v>0</v>
      </c>
      <c r="F493">
        <v>67.7</v>
      </c>
      <c r="G493" t="s">
        <v>1717</v>
      </c>
      <c r="H493" s="3" t="s">
        <v>1718</v>
      </c>
      <c r="I493" s="3" t="s">
        <v>1719</v>
      </c>
      <c r="J493">
        <f t="shared" si="91"/>
        <v>0</v>
      </c>
      <c r="K493">
        <f t="shared" si="92"/>
        <v>1</v>
      </c>
      <c r="L493">
        <f t="shared" si="93"/>
        <v>0</v>
      </c>
      <c r="M493">
        <f t="shared" si="94"/>
        <v>0</v>
      </c>
      <c r="N493">
        <f t="shared" si="95"/>
        <v>0</v>
      </c>
      <c r="O493">
        <f t="shared" si="96"/>
        <v>0</v>
      </c>
      <c r="P493">
        <f t="shared" si="97"/>
        <v>0</v>
      </c>
      <c r="Q493">
        <f t="shared" si="98"/>
        <v>0</v>
      </c>
      <c r="R493">
        <v>0</v>
      </c>
      <c r="S493">
        <v>0</v>
      </c>
      <c r="T493">
        <v>0</v>
      </c>
      <c r="U493">
        <v>1</v>
      </c>
      <c r="V493">
        <v>1</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v>0</v>
      </c>
      <c r="AR493">
        <v>0</v>
      </c>
      <c r="AS493">
        <f t="shared" si="99"/>
        <v>1</v>
      </c>
      <c r="AT493">
        <f t="shared" si="100"/>
        <v>2</v>
      </c>
      <c r="AU493" s="3" t="s">
        <v>1195</v>
      </c>
      <c r="AV493">
        <f t="shared" si="101"/>
        <v>1</v>
      </c>
      <c r="AW493">
        <f t="shared" si="102"/>
        <v>0</v>
      </c>
      <c r="AX493">
        <f t="shared" si="103"/>
        <v>0</v>
      </c>
      <c r="AY493">
        <v>-1</v>
      </c>
      <c r="AZ493" t="s">
        <v>133</v>
      </c>
      <c r="BA493" t="s">
        <v>134</v>
      </c>
      <c r="BB493" t="s">
        <v>8</v>
      </c>
    </row>
    <row r="494" ht="409.5" spans="1:54">
      <c r="A494" t="s">
        <v>1720</v>
      </c>
      <c r="B494" t="s">
        <v>1041</v>
      </c>
      <c r="C494" t="s">
        <v>56</v>
      </c>
      <c r="D494">
        <v>2</v>
      </c>
      <c r="E494">
        <v>0</v>
      </c>
      <c r="F494">
        <v>119.8</v>
      </c>
      <c r="G494" t="s">
        <v>1717</v>
      </c>
      <c r="H494" s="3" t="s">
        <v>1721</v>
      </c>
      <c r="I494" s="3" t="s">
        <v>1722</v>
      </c>
      <c r="J494">
        <f t="shared" si="91"/>
        <v>0</v>
      </c>
      <c r="K494">
        <f t="shared" si="92"/>
        <v>1</v>
      </c>
      <c r="L494">
        <f t="shared" si="93"/>
        <v>0</v>
      </c>
      <c r="M494">
        <f t="shared" si="94"/>
        <v>0</v>
      </c>
      <c r="N494">
        <f t="shared" si="95"/>
        <v>1</v>
      </c>
      <c r="O494">
        <f t="shared" si="96"/>
        <v>0</v>
      </c>
      <c r="P494">
        <f t="shared" si="97"/>
        <v>0</v>
      </c>
      <c r="Q494">
        <f t="shared" si="98"/>
        <v>0</v>
      </c>
      <c r="R494">
        <v>0</v>
      </c>
      <c r="S494">
        <v>0</v>
      </c>
      <c r="T494">
        <v>0</v>
      </c>
      <c r="U494">
        <v>1</v>
      </c>
      <c r="V494">
        <v>0</v>
      </c>
      <c r="W494">
        <v>0</v>
      </c>
      <c r="X494">
        <v>0</v>
      </c>
      <c r="Y494">
        <v>0</v>
      </c>
      <c r="Z494">
        <v>0</v>
      </c>
      <c r="AA494">
        <v>0</v>
      </c>
      <c r="AB494">
        <v>0</v>
      </c>
      <c r="AC494">
        <v>0</v>
      </c>
      <c r="AD494">
        <v>0</v>
      </c>
      <c r="AE494">
        <v>0</v>
      </c>
      <c r="AF494">
        <v>0</v>
      </c>
      <c r="AG494">
        <v>0</v>
      </c>
      <c r="AH494">
        <v>1</v>
      </c>
      <c r="AI494">
        <v>0</v>
      </c>
      <c r="AJ494">
        <v>0</v>
      </c>
      <c r="AK494">
        <v>0</v>
      </c>
      <c r="AL494">
        <v>0</v>
      </c>
      <c r="AM494">
        <v>0</v>
      </c>
      <c r="AN494">
        <v>0</v>
      </c>
      <c r="AO494">
        <v>0</v>
      </c>
      <c r="AP494">
        <v>0</v>
      </c>
      <c r="AQ494">
        <v>0</v>
      </c>
      <c r="AR494">
        <v>0</v>
      </c>
      <c r="AS494">
        <f t="shared" si="99"/>
        <v>2</v>
      </c>
      <c r="AT494">
        <f t="shared" si="100"/>
        <v>2</v>
      </c>
      <c r="AU494" s="3" t="s">
        <v>685</v>
      </c>
      <c r="AV494">
        <f t="shared" si="101"/>
        <v>1</v>
      </c>
      <c r="AW494">
        <f t="shared" si="102"/>
        <v>0</v>
      </c>
      <c r="AX494">
        <f t="shared" si="103"/>
        <v>0</v>
      </c>
      <c r="AY494">
        <v>8.5</v>
      </c>
      <c r="AZ494" t="s">
        <v>60</v>
      </c>
      <c r="BA494" t="s">
        <v>61</v>
      </c>
      <c r="BB494" t="s">
        <v>8</v>
      </c>
    </row>
    <row r="495" ht="101" spans="1:54">
      <c r="A495" t="s">
        <v>1723</v>
      </c>
      <c r="B495" t="s">
        <v>1041</v>
      </c>
      <c r="C495" t="s">
        <v>56</v>
      </c>
      <c r="D495">
        <v>0</v>
      </c>
      <c r="E495">
        <v>0</v>
      </c>
      <c r="F495">
        <v>46.6</v>
      </c>
      <c r="G495" t="s">
        <v>1724</v>
      </c>
      <c r="H495" s="3" t="s">
        <v>1725</v>
      </c>
      <c r="I495" s="3" t="s">
        <v>1726</v>
      </c>
      <c r="J495">
        <f t="shared" si="91"/>
        <v>1</v>
      </c>
      <c r="K495">
        <f t="shared" si="92"/>
        <v>1</v>
      </c>
      <c r="L495">
        <f t="shared" si="93"/>
        <v>1</v>
      </c>
      <c r="M495">
        <f t="shared" si="94"/>
        <v>0</v>
      </c>
      <c r="N495">
        <f t="shared" si="95"/>
        <v>1</v>
      </c>
      <c r="O495">
        <f t="shared" si="96"/>
        <v>1</v>
      </c>
      <c r="P495">
        <f t="shared" si="97"/>
        <v>0</v>
      </c>
      <c r="Q495">
        <f t="shared" si="98"/>
        <v>0</v>
      </c>
      <c r="R495">
        <v>1</v>
      </c>
      <c r="S495">
        <v>0</v>
      </c>
      <c r="T495">
        <v>1</v>
      </c>
      <c r="U495">
        <v>0</v>
      </c>
      <c r="V495">
        <v>1</v>
      </c>
      <c r="W495">
        <v>1</v>
      </c>
      <c r="X495">
        <v>0</v>
      </c>
      <c r="Y495">
        <v>0</v>
      </c>
      <c r="Z495">
        <v>0</v>
      </c>
      <c r="AA495">
        <v>0</v>
      </c>
      <c r="AB495">
        <v>1</v>
      </c>
      <c r="AC495">
        <v>0</v>
      </c>
      <c r="AD495">
        <v>0</v>
      </c>
      <c r="AE495">
        <v>0</v>
      </c>
      <c r="AF495">
        <v>0</v>
      </c>
      <c r="AG495">
        <v>0</v>
      </c>
      <c r="AH495">
        <v>1</v>
      </c>
      <c r="AI495">
        <v>1</v>
      </c>
      <c r="AJ495">
        <v>0</v>
      </c>
      <c r="AK495">
        <v>1</v>
      </c>
      <c r="AL495">
        <v>0</v>
      </c>
      <c r="AM495">
        <v>0</v>
      </c>
      <c r="AN495">
        <v>0</v>
      </c>
      <c r="AO495">
        <v>0</v>
      </c>
      <c r="AP495">
        <v>0</v>
      </c>
      <c r="AQ495">
        <v>0</v>
      </c>
      <c r="AR495">
        <v>0</v>
      </c>
      <c r="AS495">
        <f t="shared" si="99"/>
        <v>5</v>
      </c>
      <c r="AT495">
        <f t="shared" si="100"/>
        <v>8</v>
      </c>
      <c r="AU495" s="3" t="s">
        <v>1727</v>
      </c>
      <c r="AV495">
        <f t="shared" si="101"/>
        <v>1</v>
      </c>
      <c r="AW495">
        <f t="shared" si="102"/>
        <v>0</v>
      </c>
      <c r="AX495">
        <f t="shared" si="103"/>
        <v>1</v>
      </c>
      <c r="AY495">
        <v>3.5</v>
      </c>
      <c r="AZ495" t="s">
        <v>60</v>
      </c>
      <c r="BA495" t="s">
        <v>61</v>
      </c>
      <c r="BB495" t="s">
        <v>8</v>
      </c>
    </row>
    <row r="496" ht="17" spans="1:54">
      <c r="A496" t="s">
        <v>1728</v>
      </c>
      <c r="B496" t="s">
        <v>1041</v>
      </c>
      <c r="C496" t="s">
        <v>56</v>
      </c>
      <c r="D496">
        <v>3</v>
      </c>
      <c r="E496">
        <v>0</v>
      </c>
      <c r="F496">
        <v>52.7</v>
      </c>
      <c r="G496" t="s">
        <v>1724</v>
      </c>
      <c r="H496" s="3" t="s">
        <v>1729</v>
      </c>
      <c r="I496" s="3" t="s">
        <v>1729</v>
      </c>
      <c r="J496">
        <f t="shared" si="91"/>
        <v>0</v>
      </c>
      <c r="K496">
        <f t="shared" si="92"/>
        <v>0</v>
      </c>
      <c r="L496">
        <f t="shared" si="93"/>
        <v>0</v>
      </c>
      <c r="M496">
        <f t="shared" si="94"/>
        <v>0</v>
      </c>
      <c r="N496">
        <f t="shared" si="95"/>
        <v>1</v>
      </c>
      <c r="O496">
        <f t="shared" si="96"/>
        <v>0</v>
      </c>
      <c r="P496">
        <f t="shared" si="97"/>
        <v>0</v>
      </c>
      <c r="Q496">
        <f t="shared" si="98"/>
        <v>0</v>
      </c>
      <c r="R496">
        <v>0</v>
      </c>
      <c r="S496">
        <v>0</v>
      </c>
      <c r="T496">
        <v>0</v>
      </c>
      <c r="U496">
        <v>0</v>
      </c>
      <c r="V496">
        <v>0</v>
      </c>
      <c r="W496">
        <v>0</v>
      </c>
      <c r="X496">
        <v>0</v>
      </c>
      <c r="Y496">
        <v>0</v>
      </c>
      <c r="Z496">
        <v>0</v>
      </c>
      <c r="AA496">
        <v>0</v>
      </c>
      <c r="AB496">
        <v>0</v>
      </c>
      <c r="AC496">
        <v>0</v>
      </c>
      <c r="AD496">
        <v>0</v>
      </c>
      <c r="AE496">
        <v>0</v>
      </c>
      <c r="AF496">
        <v>0</v>
      </c>
      <c r="AG496">
        <v>0</v>
      </c>
      <c r="AH496">
        <v>1</v>
      </c>
      <c r="AI496">
        <v>0</v>
      </c>
      <c r="AJ496">
        <v>0</v>
      </c>
      <c r="AK496">
        <v>0</v>
      </c>
      <c r="AL496">
        <v>0</v>
      </c>
      <c r="AM496">
        <v>0</v>
      </c>
      <c r="AN496">
        <v>0</v>
      </c>
      <c r="AO496">
        <v>0</v>
      </c>
      <c r="AP496">
        <v>0</v>
      </c>
      <c r="AQ496">
        <v>0</v>
      </c>
      <c r="AR496">
        <v>0</v>
      </c>
      <c r="AS496">
        <f t="shared" si="99"/>
        <v>1</v>
      </c>
      <c r="AT496">
        <f t="shared" si="100"/>
        <v>1</v>
      </c>
      <c r="AU496" s="3" t="s">
        <v>129</v>
      </c>
      <c r="AV496">
        <f t="shared" si="101"/>
        <v>1</v>
      </c>
      <c r="AW496">
        <f t="shared" si="102"/>
        <v>0</v>
      </c>
      <c r="AX496">
        <f t="shared" si="103"/>
        <v>0</v>
      </c>
      <c r="AY496">
        <v>0</v>
      </c>
      <c r="AZ496" t="s">
        <v>147</v>
      </c>
      <c r="BA496" t="s">
        <v>148</v>
      </c>
      <c r="BB496" t="s">
        <v>8</v>
      </c>
    </row>
    <row r="497" ht="219" spans="1:54">
      <c r="A497" t="s">
        <v>1730</v>
      </c>
      <c r="B497" t="s">
        <v>1041</v>
      </c>
      <c r="C497" t="s">
        <v>56</v>
      </c>
      <c r="D497">
        <v>2</v>
      </c>
      <c r="E497">
        <v>0</v>
      </c>
      <c r="F497">
        <v>55.6</v>
      </c>
      <c r="G497" t="s">
        <v>219</v>
      </c>
      <c r="H497" s="3" t="s">
        <v>1731</v>
      </c>
      <c r="I497" s="3" t="s">
        <v>1732</v>
      </c>
      <c r="J497">
        <f t="shared" si="91"/>
        <v>0</v>
      </c>
      <c r="K497">
        <f t="shared" si="92"/>
        <v>1</v>
      </c>
      <c r="L497">
        <f t="shared" si="93"/>
        <v>1</v>
      </c>
      <c r="M497">
        <f t="shared" si="94"/>
        <v>1</v>
      </c>
      <c r="N497">
        <f t="shared" si="95"/>
        <v>0</v>
      </c>
      <c r="O497">
        <f t="shared" si="96"/>
        <v>0</v>
      </c>
      <c r="P497">
        <f t="shared" si="97"/>
        <v>0</v>
      </c>
      <c r="Q497">
        <f t="shared" si="98"/>
        <v>0</v>
      </c>
      <c r="R497">
        <v>0</v>
      </c>
      <c r="S497">
        <v>0</v>
      </c>
      <c r="T497">
        <v>0</v>
      </c>
      <c r="U497">
        <v>1</v>
      </c>
      <c r="V497">
        <v>1</v>
      </c>
      <c r="W497">
        <v>0</v>
      </c>
      <c r="X497">
        <v>0</v>
      </c>
      <c r="Y497">
        <v>0</v>
      </c>
      <c r="Z497">
        <v>0</v>
      </c>
      <c r="AA497">
        <v>0</v>
      </c>
      <c r="AB497">
        <v>1</v>
      </c>
      <c r="AC497">
        <v>0</v>
      </c>
      <c r="AD497">
        <v>1</v>
      </c>
      <c r="AE497">
        <v>0</v>
      </c>
      <c r="AF497">
        <v>1</v>
      </c>
      <c r="AG497">
        <v>0</v>
      </c>
      <c r="AH497">
        <v>0</v>
      </c>
      <c r="AI497">
        <v>0</v>
      </c>
      <c r="AJ497">
        <v>0</v>
      </c>
      <c r="AK497">
        <v>0</v>
      </c>
      <c r="AL497">
        <v>0</v>
      </c>
      <c r="AM497">
        <v>0</v>
      </c>
      <c r="AN497">
        <v>0</v>
      </c>
      <c r="AO497">
        <v>0</v>
      </c>
      <c r="AP497">
        <v>0</v>
      </c>
      <c r="AQ497">
        <v>0</v>
      </c>
      <c r="AR497">
        <v>0</v>
      </c>
      <c r="AS497">
        <f t="shared" si="99"/>
        <v>3</v>
      </c>
      <c r="AT497">
        <f t="shared" si="100"/>
        <v>5</v>
      </c>
      <c r="AU497" s="3" t="s">
        <v>1733</v>
      </c>
      <c r="AV497">
        <f t="shared" si="101"/>
        <v>1</v>
      </c>
      <c r="AW497">
        <f t="shared" si="102"/>
        <v>0</v>
      </c>
      <c r="AX497">
        <f t="shared" si="103"/>
        <v>0</v>
      </c>
      <c r="AY497">
        <v>6</v>
      </c>
      <c r="AZ497" t="s">
        <v>60</v>
      </c>
      <c r="BA497" t="s">
        <v>61</v>
      </c>
      <c r="BB497" t="s">
        <v>8</v>
      </c>
    </row>
    <row r="498" ht="336" spans="1:54">
      <c r="A498" t="s">
        <v>1734</v>
      </c>
      <c r="B498" t="s">
        <v>1041</v>
      </c>
      <c r="C498" t="s">
        <v>56</v>
      </c>
      <c r="D498">
        <v>14</v>
      </c>
      <c r="E498">
        <v>0</v>
      </c>
      <c r="F498">
        <v>99.5</v>
      </c>
      <c r="G498" t="s">
        <v>219</v>
      </c>
      <c r="H498" s="3" t="s">
        <v>1735</v>
      </c>
      <c r="I498" s="3" t="s">
        <v>1736</v>
      </c>
      <c r="J498">
        <f t="shared" si="91"/>
        <v>0</v>
      </c>
      <c r="K498">
        <f t="shared" si="92"/>
        <v>1</v>
      </c>
      <c r="L498">
        <f t="shared" si="93"/>
        <v>0</v>
      </c>
      <c r="M498">
        <f t="shared" si="94"/>
        <v>0</v>
      </c>
      <c r="N498">
        <f t="shared" si="95"/>
        <v>0</v>
      </c>
      <c r="O498">
        <f t="shared" si="96"/>
        <v>1</v>
      </c>
      <c r="P498">
        <f t="shared" si="97"/>
        <v>0</v>
      </c>
      <c r="Q498">
        <f t="shared" si="98"/>
        <v>0</v>
      </c>
      <c r="R498">
        <v>0</v>
      </c>
      <c r="S498">
        <v>0</v>
      </c>
      <c r="T498">
        <v>0</v>
      </c>
      <c r="U498">
        <v>0</v>
      </c>
      <c r="V498">
        <v>1</v>
      </c>
      <c r="W498">
        <v>0</v>
      </c>
      <c r="X498">
        <v>0</v>
      </c>
      <c r="Y498">
        <v>0</v>
      </c>
      <c r="Z498">
        <v>0</v>
      </c>
      <c r="AA498">
        <v>0</v>
      </c>
      <c r="AB498">
        <v>0</v>
      </c>
      <c r="AC498">
        <v>0</v>
      </c>
      <c r="AD498">
        <v>0</v>
      </c>
      <c r="AE498">
        <v>0</v>
      </c>
      <c r="AF498">
        <v>0</v>
      </c>
      <c r="AG498">
        <v>0</v>
      </c>
      <c r="AH498">
        <v>0</v>
      </c>
      <c r="AI498">
        <v>1</v>
      </c>
      <c r="AJ498">
        <v>0</v>
      </c>
      <c r="AK498">
        <v>0</v>
      </c>
      <c r="AL498">
        <v>0</v>
      </c>
      <c r="AM498">
        <v>0</v>
      </c>
      <c r="AN498">
        <v>0</v>
      </c>
      <c r="AO498">
        <v>0</v>
      </c>
      <c r="AP498">
        <v>0</v>
      </c>
      <c r="AQ498">
        <v>0</v>
      </c>
      <c r="AR498">
        <v>0</v>
      </c>
      <c r="AS498">
        <f t="shared" si="99"/>
        <v>2</v>
      </c>
      <c r="AT498">
        <f t="shared" si="100"/>
        <v>2</v>
      </c>
      <c r="AU498" s="3" t="s">
        <v>82</v>
      </c>
      <c r="AV498">
        <f t="shared" si="101"/>
        <v>1</v>
      </c>
      <c r="AW498">
        <f t="shared" si="102"/>
        <v>0</v>
      </c>
      <c r="AX498">
        <f t="shared" si="103"/>
        <v>0</v>
      </c>
      <c r="AY498">
        <v>3</v>
      </c>
      <c r="AZ498" t="s">
        <v>60</v>
      </c>
      <c r="BA498" t="s">
        <v>61</v>
      </c>
      <c r="BB498" t="s">
        <v>8</v>
      </c>
    </row>
    <row r="499" ht="17" spans="1:54">
      <c r="A499" t="s">
        <v>1737</v>
      </c>
      <c r="B499" t="s">
        <v>1041</v>
      </c>
      <c r="C499" t="s">
        <v>56</v>
      </c>
      <c r="D499">
        <v>3</v>
      </c>
      <c r="E499">
        <v>1</v>
      </c>
      <c r="F499">
        <v>80.3</v>
      </c>
      <c r="G499" t="s">
        <v>219</v>
      </c>
      <c r="H499" s="3" t="s">
        <v>1738</v>
      </c>
      <c r="I499" s="3" t="s">
        <v>1739</v>
      </c>
      <c r="J499">
        <f t="shared" si="91"/>
        <v>0</v>
      </c>
      <c r="K499">
        <f t="shared" si="92"/>
        <v>0</v>
      </c>
      <c r="L499">
        <f t="shared" si="93"/>
        <v>1</v>
      </c>
      <c r="M499">
        <f t="shared" si="94"/>
        <v>0</v>
      </c>
      <c r="N499">
        <f t="shared" si="95"/>
        <v>1</v>
      </c>
      <c r="O499">
        <f t="shared" si="96"/>
        <v>0</v>
      </c>
      <c r="P499">
        <f t="shared" si="97"/>
        <v>0</v>
      </c>
      <c r="Q499">
        <f t="shared" si="98"/>
        <v>0</v>
      </c>
      <c r="R499">
        <v>0</v>
      </c>
      <c r="S499">
        <v>0</v>
      </c>
      <c r="T499">
        <v>0</v>
      </c>
      <c r="U499">
        <v>0</v>
      </c>
      <c r="V499">
        <v>0</v>
      </c>
      <c r="W499">
        <v>0</v>
      </c>
      <c r="X499">
        <v>0</v>
      </c>
      <c r="Y499">
        <v>0</v>
      </c>
      <c r="Z499">
        <v>1</v>
      </c>
      <c r="AA499">
        <v>0</v>
      </c>
      <c r="AB499">
        <v>0</v>
      </c>
      <c r="AC499">
        <v>0</v>
      </c>
      <c r="AD499">
        <v>0</v>
      </c>
      <c r="AE499">
        <v>0</v>
      </c>
      <c r="AF499">
        <v>0</v>
      </c>
      <c r="AG499">
        <v>0</v>
      </c>
      <c r="AH499">
        <v>1</v>
      </c>
      <c r="AI499">
        <v>0</v>
      </c>
      <c r="AJ499">
        <v>0</v>
      </c>
      <c r="AK499">
        <v>0</v>
      </c>
      <c r="AL499">
        <v>0</v>
      </c>
      <c r="AM499">
        <v>0</v>
      </c>
      <c r="AN499">
        <v>0</v>
      </c>
      <c r="AO499">
        <v>0</v>
      </c>
      <c r="AP499">
        <v>0</v>
      </c>
      <c r="AQ499">
        <v>0</v>
      </c>
      <c r="AR499">
        <v>0</v>
      </c>
      <c r="AS499">
        <f t="shared" si="99"/>
        <v>2</v>
      </c>
      <c r="AT499">
        <f t="shared" si="100"/>
        <v>2</v>
      </c>
      <c r="AU499" s="3" t="s">
        <v>1521</v>
      </c>
      <c r="AV499">
        <f t="shared" si="101"/>
        <v>1</v>
      </c>
      <c r="AW499">
        <f t="shared" si="102"/>
        <v>0</v>
      </c>
      <c r="AX499">
        <f t="shared" si="103"/>
        <v>0</v>
      </c>
      <c r="AY499">
        <v>1</v>
      </c>
      <c r="AZ499" t="s">
        <v>60</v>
      </c>
      <c r="BA499" t="s">
        <v>61</v>
      </c>
      <c r="BB499" t="s">
        <v>8</v>
      </c>
    </row>
    <row r="500" ht="152" spans="1:54">
      <c r="A500" t="s">
        <v>1740</v>
      </c>
      <c r="B500" t="s">
        <v>1041</v>
      </c>
      <c r="C500" t="s">
        <v>116</v>
      </c>
      <c r="D500">
        <v>9</v>
      </c>
      <c r="E500">
        <v>3</v>
      </c>
      <c r="F500">
        <v>10.2</v>
      </c>
      <c r="G500" t="s">
        <v>511</v>
      </c>
      <c r="H500" s="3" t="s">
        <v>1741</v>
      </c>
      <c r="I500" s="3" t="s">
        <v>1742</v>
      </c>
      <c r="J500">
        <f t="shared" si="91"/>
        <v>0</v>
      </c>
      <c r="K500">
        <f t="shared" si="92"/>
        <v>0</v>
      </c>
      <c r="L500">
        <f t="shared" si="93"/>
        <v>0</v>
      </c>
      <c r="M500">
        <f t="shared" si="94"/>
        <v>0</v>
      </c>
      <c r="N500">
        <f t="shared" si="95"/>
        <v>1</v>
      </c>
      <c r="O500">
        <f t="shared" si="96"/>
        <v>1</v>
      </c>
      <c r="P500">
        <f t="shared" si="97"/>
        <v>0</v>
      </c>
      <c r="Q500">
        <f t="shared" si="98"/>
        <v>0</v>
      </c>
      <c r="R500">
        <v>0</v>
      </c>
      <c r="S500">
        <v>0</v>
      </c>
      <c r="T500">
        <v>0</v>
      </c>
      <c r="U500">
        <v>0</v>
      </c>
      <c r="V500">
        <v>0</v>
      </c>
      <c r="W500">
        <v>0</v>
      </c>
      <c r="X500">
        <v>0</v>
      </c>
      <c r="Y500">
        <v>0</v>
      </c>
      <c r="Z500">
        <v>0</v>
      </c>
      <c r="AA500">
        <v>0</v>
      </c>
      <c r="AB500">
        <v>0</v>
      </c>
      <c r="AC500">
        <v>0</v>
      </c>
      <c r="AD500">
        <v>0</v>
      </c>
      <c r="AE500">
        <v>0</v>
      </c>
      <c r="AF500">
        <v>0</v>
      </c>
      <c r="AG500">
        <v>0</v>
      </c>
      <c r="AH500">
        <v>1</v>
      </c>
      <c r="AI500">
        <v>1</v>
      </c>
      <c r="AJ500">
        <v>0</v>
      </c>
      <c r="AK500">
        <v>0</v>
      </c>
      <c r="AL500">
        <v>0</v>
      </c>
      <c r="AM500">
        <v>0</v>
      </c>
      <c r="AN500">
        <v>0</v>
      </c>
      <c r="AO500">
        <v>0</v>
      </c>
      <c r="AP500">
        <v>0</v>
      </c>
      <c r="AQ500">
        <v>0</v>
      </c>
      <c r="AR500">
        <v>0</v>
      </c>
      <c r="AS500">
        <f t="shared" si="99"/>
        <v>2</v>
      </c>
      <c r="AT500">
        <f t="shared" si="100"/>
        <v>2</v>
      </c>
      <c r="AU500" s="3" t="s">
        <v>103</v>
      </c>
      <c r="AV500">
        <f t="shared" si="101"/>
        <v>1</v>
      </c>
      <c r="AW500">
        <f t="shared" si="102"/>
        <v>0</v>
      </c>
      <c r="AX500">
        <f t="shared" si="103"/>
        <v>0</v>
      </c>
      <c r="AY500">
        <v>0.5</v>
      </c>
      <c r="AZ500" t="s">
        <v>60</v>
      </c>
      <c r="BA500" t="s">
        <v>61</v>
      </c>
      <c r="BB500" t="s">
        <v>8</v>
      </c>
    </row>
    <row r="501" ht="409.5" spans="1:54">
      <c r="A501" t="s">
        <v>1743</v>
      </c>
      <c r="B501" t="s">
        <v>1041</v>
      </c>
      <c r="C501" t="s">
        <v>116</v>
      </c>
      <c r="D501">
        <v>23</v>
      </c>
      <c r="E501">
        <v>2</v>
      </c>
      <c r="F501">
        <v>71</v>
      </c>
      <c r="G501" t="s">
        <v>519</v>
      </c>
      <c r="H501" s="3" t="s">
        <v>1744</v>
      </c>
      <c r="I501" s="3" t="s">
        <v>1745</v>
      </c>
      <c r="J501">
        <f t="shared" si="91"/>
        <v>0</v>
      </c>
      <c r="K501">
        <f t="shared" si="92"/>
        <v>1</v>
      </c>
      <c r="L501">
        <f t="shared" si="93"/>
        <v>0</v>
      </c>
      <c r="M501">
        <f t="shared" si="94"/>
        <v>0</v>
      </c>
      <c r="N501">
        <f t="shared" si="95"/>
        <v>1</v>
      </c>
      <c r="O501">
        <f t="shared" si="96"/>
        <v>0</v>
      </c>
      <c r="P501">
        <f t="shared" si="97"/>
        <v>0</v>
      </c>
      <c r="Q501">
        <f t="shared" si="98"/>
        <v>0</v>
      </c>
      <c r="R501">
        <v>0</v>
      </c>
      <c r="S501">
        <v>0</v>
      </c>
      <c r="T501">
        <v>0</v>
      </c>
      <c r="U501">
        <v>1</v>
      </c>
      <c r="V501">
        <v>1</v>
      </c>
      <c r="W501">
        <v>0</v>
      </c>
      <c r="X501">
        <v>0</v>
      </c>
      <c r="Y501">
        <v>0</v>
      </c>
      <c r="Z501">
        <v>0</v>
      </c>
      <c r="AA501">
        <v>0</v>
      </c>
      <c r="AB501">
        <v>0</v>
      </c>
      <c r="AC501">
        <v>0</v>
      </c>
      <c r="AD501">
        <v>0</v>
      </c>
      <c r="AE501">
        <v>0</v>
      </c>
      <c r="AF501">
        <v>0</v>
      </c>
      <c r="AG501">
        <v>0</v>
      </c>
      <c r="AH501">
        <v>1</v>
      </c>
      <c r="AI501">
        <v>0</v>
      </c>
      <c r="AJ501">
        <v>0</v>
      </c>
      <c r="AK501">
        <v>0</v>
      </c>
      <c r="AL501">
        <v>0</v>
      </c>
      <c r="AM501">
        <v>0</v>
      </c>
      <c r="AN501">
        <v>0</v>
      </c>
      <c r="AO501">
        <v>0</v>
      </c>
      <c r="AP501">
        <v>0</v>
      </c>
      <c r="AQ501">
        <v>0</v>
      </c>
      <c r="AR501">
        <v>0</v>
      </c>
      <c r="AS501">
        <f t="shared" si="99"/>
        <v>2</v>
      </c>
      <c r="AT501">
        <f t="shared" si="100"/>
        <v>3</v>
      </c>
      <c r="AU501" s="3" t="s">
        <v>489</v>
      </c>
      <c r="AV501">
        <f t="shared" si="101"/>
        <v>1</v>
      </c>
      <c r="AW501">
        <f t="shared" si="102"/>
        <v>0</v>
      </c>
      <c r="AX501">
        <f t="shared" si="103"/>
        <v>0</v>
      </c>
      <c r="AY501">
        <v>5.5</v>
      </c>
      <c r="AZ501" t="s">
        <v>60</v>
      </c>
      <c r="BA501" t="s">
        <v>61</v>
      </c>
      <c r="BB501" t="s">
        <v>8</v>
      </c>
    </row>
    <row r="502" ht="409.5" spans="1:54">
      <c r="A502" t="s">
        <v>1746</v>
      </c>
      <c r="B502" t="s">
        <v>1041</v>
      </c>
      <c r="C502" t="s">
        <v>116</v>
      </c>
      <c r="D502">
        <v>11</v>
      </c>
      <c r="E502">
        <v>4</v>
      </c>
      <c r="F502">
        <v>45.5</v>
      </c>
      <c r="G502" t="s">
        <v>530</v>
      </c>
      <c r="H502" s="3" t="s">
        <v>1747</v>
      </c>
      <c r="I502" s="3" t="s">
        <v>1748</v>
      </c>
      <c r="J502">
        <f t="shared" si="91"/>
        <v>0</v>
      </c>
      <c r="K502">
        <f t="shared" si="92"/>
        <v>1</v>
      </c>
      <c r="L502">
        <f t="shared" si="93"/>
        <v>1</v>
      </c>
      <c r="M502">
        <f t="shared" si="94"/>
        <v>1</v>
      </c>
      <c r="N502">
        <f t="shared" si="95"/>
        <v>0</v>
      </c>
      <c r="O502">
        <f t="shared" si="96"/>
        <v>0</v>
      </c>
      <c r="P502">
        <f t="shared" si="97"/>
        <v>0</v>
      </c>
      <c r="Q502">
        <f t="shared" si="98"/>
        <v>0</v>
      </c>
      <c r="R502">
        <v>0</v>
      </c>
      <c r="S502">
        <v>0</v>
      </c>
      <c r="T502">
        <v>0</v>
      </c>
      <c r="U502">
        <v>1</v>
      </c>
      <c r="V502">
        <v>0</v>
      </c>
      <c r="W502">
        <v>1</v>
      </c>
      <c r="X502">
        <v>0</v>
      </c>
      <c r="Y502">
        <v>0</v>
      </c>
      <c r="Z502">
        <v>0</v>
      </c>
      <c r="AA502">
        <v>1</v>
      </c>
      <c r="AB502">
        <v>1</v>
      </c>
      <c r="AC502">
        <v>0</v>
      </c>
      <c r="AD502">
        <v>0</v>
      </c>
      <c r="AE502">
        <v>1</v>
      </c>
      <c r="AF502">
        <v>0</v>
      </c>
      <c r="AG502">
        <v>0</v>
      </c>
      <c r="AH502">
        <v>0</v>
      </c>
      <c r="AI502">
        <v>0</v>
      </c>
      <c r="AJ502">
        <v>0</v>
      </c>
      <c r="AK502">
        <v>0</v>
      </c>
      <c r="AL502">
        <v>0</v>
      </c>
      <c r="AM502">
        <v>0</v>
      </c>
      <c r="AN502">
        <v>0</v>
      </c>
      <c r="AO502">
        <v>0</v>
      </c>
      <c r="AP502">
        <v>0</v>
      </c>
      <c r="AQ502">
        <v>0</v>
      </c>
      <c r="AR502">
        <v>0</v>
      </c>
      <c r="AS502">
        <f t="shared" si="99"/>
        <v>3</v>
      </c>
      <c r="AT502">
        <f t="shared" si="100"/>
        <v>5</v>
      </c>
      <c r="AU502" s="3" t="s">
        <v>1749</v>
      </c>
      <c r="AV502">
        <f t="shared" si="101"/>
        <v>1</v>
      </c>
      <c r="AW502">
        <f t="shared" si="102"/>
        <v>0</v>
      </c>
      <c r="AX502">
        <f t="shared" si="103"/>
        <v>0</v>
      </c>
      <c r="AY502">
        <v>6.5</v>
      </c>
      <c r="AZ502" t="s">
        <v>60</v>
      </c>
      <c r="BA502" t="s">
        <v>61</v>
      </c>
      <c r="BB502" t="s">
        <v>8</v>
      </c>
    </row>
    <row r="503" ht="409.5" spans="1:54">
      <c r="A503" t="s">
        <v>1750</v>
      </c>
      <c r="B503" t="s">
        <v>1041</v>
      </c>
      <c r="C503" t="s">
        <v>56</v>
      </c>
      <c r="D503">
        <v>10</v>
      </c>
      <c r="E503">
        <v>2</v>
      </c>
      <c r="F503">
        <v>170.3</v>
      </c>
      <c r="G503" t="s">
        <v>530</v>
      </c>
      <c r="H503" s="3" t="s">
        <v>1751</v>
      </c>
      <c r="I503" s="3" t="s">
        <v>1752</v>
      </c>
      <c r="J503">
        <f t="shared" si="91"/>
        <v>1</v>
      </c>
      <c r="K503">
        <f t="shared" si="92"/>
        <v>1</v>
      </c>
      <c r="L503">
        <f t="shared" si="93"/>
        <v>0</v>
      </c>
      <c r="M503">
        <f t="shared" si="94"/>
        <v>0</v>
      </c>
      <c r="N503">
        <f t="shared" si="95"/>
        <v>0</v>
      </c>
      <c r="O503">
        <f t="shared" si="96"/>
        <v>1</v>
      </c>
      <c r="P503">
        <f t="shared" si="97"/>
        <v>0</v>
      </c>
      <c r="Q503">
        <f t="shared" si="98"/>
        <v>0</v>
      </c>
      <c r="R503">
        <v>1</v>
      </c>
      <c r="S503">
        <v>1</v>
      </c>
      <c r="T503">
        <v>0</v>
      </c>
      <c r="U503">
        <v>1</v>
      </c>
      <c r="V503">
        <v>1</v>
      </c>
      <c r="W503">
        <v>1</v>
      </c>
      <c r="X503">
        <v>0</v>
      </c>
      <c r="Y503">
        <v>0</v>
      </c>
      <c r="Z503">
        <v>0</v>
      </c>
      <c r="AA503">
        <v>0</v>
      </c>
      <c r="AB503">
        <v>0</v>
      </c>
      <c r="AC503">
        <v>0</v>
      </c>
      <c r="AD503">
        <v>0</v>
      </c>
      <c r="AE503">
        <v>0</v>
      </c>
      <c r="AF503">
        <v>0</v>
      </c>
      <c r="AG503">
        <v>0</v>
      </c>
      <c r="AH503">
        <v>0</v>
      </c>
      <c r="AI503">
        <v>1</v>
      </c>
      <c r="AJ503">
        <v>0</v>
      </c>
      <c r="AK503">
        <v>0</v>
      </c>
      <c r="AL503">
        <v>0</v>
      </c>
      <c r="AM503">
        <v>0</v>
      </c>
      <c r="AN503">
        <v>0</v>
      </c>
      <c r="AO503">
        <v>0</v>
      </c>
      <c r="AP503">
        <v>0</v>
      </c>
      <c r="AQ503">
        <v>0</v>
      </c>
      <c r="AR503">
        <v>0</v>
      </c>
      <c r="AS503">
        <f t="shared" si="99"/>
        <v>3</v>
      </c>
      <c r="AT503">
        <f t="shared" si="100"/>
        <v>6</v>
      </c>
      <c r="AU503" s="3" t="s">
        <v>1753</v>
      </c>
      <c r="AV503">
        <f t="shared" si="101"/>
        <v>1</v>
      </c>
      <c r="AW503">
        <f t="shared" si="102"/>
        <v>0</v>
      </c>
      <c r="AX503">
        <f t="shared" si="103"/>
        <v>0</v>
      </c>
      <c r="AY503">
        <v>6</v>
      </c>
      <c r="AZ503" t="s">
        <v>60</v>
      </c>
      <c r="BA503" t="s">
        <v>61</v>
      </c>
      <c r="BB503" t="s">
        <v>8</v>
      </c>
    </row>
    <row r="504" ht="409.5" spans="1:54">
      <c r="A504" t="s">
        <v>1754</v>
      </c>
      <c r="B504" t="s">
        <v>1041</v>
      </c>
      <c r="C504" t="s">
        <v>56</v>
      </c>
      <c r="D504">
        <v>5</v>
      </c>
      <c r="E504">
        <v>0</v>
      </c>
      <c r="F504">
        <v>30</v>
      </c>
      <c r="G504" t="s">
        <v>1755</v>
      </c>
      <c r="H504" s="3" t="s">
        <v>1756</v>
      </c>
      <c r="I504" s="3" t="s">
        <v>1757</v>
      </c>
      <c r="J504">
        <f t="shared" si="91"/>
        <v>0</v>
      </c>
      <c r="K504">
        <f t="shared" si="92"/>
        <v>1</v>
      </c>
      <c r="L504">
        <f t="shared" si="93"/>
        <v>1</v>
      </c>
      <c r="M504">
        <f t="shared" si="94"/>
        <v>0</v>
      </c>
      <c r="N504">
        <f t="shared" si="95"/>
        <v>1</v>
      </c>
      <c r="O504">
        <f t="shared" si="96"/>
        <v>0</v>
      </c>
      <c r="P504">
        <f t="shared" si="97"/>
        <v>0</v>
      </c>
      <c r="Q504">
        <f t="shared" si="98"/>
        <v>0</v>
      </c>
      <c r="R504">
        <v>0</v>
      </c>
      <c r="S504">
        <v>0</v>
      </c>
      <c r="T504">
        <v>0</v>
      </c>
      <c r="U504">
        <v>0</v>
      </c>
      <c r="V504">
        <v>1</v>
      </c>
      <c r="W504">
        <v>0</v>
      </c>
      <c r="X504">
        <v>0</v>
      </c>
      <c r="Y504">
        <v>0</v>
      </c>
      <c r="Z504">
        <v>1</v>
      </c>
      <c r="AA504">
        <v>0</v>
      </c>
      <c r="AB504">
        <v>1</v>
      </c>
      <c r="AC504">
        <v>0</v>
      </c>
      <c r="AD504">
        <v>0</v>
      </c>
      <c r="AE504">
        <v>0</v>
      </c>
      <c r="AF504">
        <v>0</v>
      </c>
      <c r="AG504">
        <v>0</v>
      </c>
      <c r="AH504">
        <v>1</v>
      </c>
      <c r="AI504">
        <v>0</v>
      </c>
      <c r="AJ504">
        <v>0</v>
      </c>
      <c r="AK504">
        <v>0</v>
      </c>
      <c r="AL504">
        <v>0</v>
      </c>
      <c r="AM504">
        <v>0</v>
      </c>
      <c r="AN504">
        <v>0</v>
      </c>
      <c r="AO504">
        <v>0</v>
      </c>
      <c r="AP504">
        <v>0</v>
      </c>
      <c r="AQ504">
        <v>0</v>
      </c>
      <c r="AR504">
        <v>0</v>
      </c>
      <c r="AS504">
        <f t="shared" si="99"/>
        <v>3</v>
      </c>
      <c r="AT504">
        <f t="shared" si="100"/>
        <v>4</v>
      </c>
      <c r="AU504" s="3" t="s">
        <v>1758</v>
      </c>
      <c r="AV504">
        <f t="shared" si="101"/>
        <v>1</v>
      </c>
      <c r="AW504">
        <f t="shared" si="102"/>
        <v>0</v>
      </c>
      <c r="AX504">
        <f t="shared" si="103"/>
        <v>0</v>
      </c>
      <c r="AY504">
        <v>6.5</v>
      </c>
      <c r="AZ504" t="s">
        <v>60</v>
      </c>
      <c r="BA504" t="s">
        <v>61</v>
      </c>
      <c r="BB504" t="s">
        <v>8</v>
      </c>
    </row>
    <row r="505" ht="202" spans="1:54">
      <c r="A505" t="s">
        <v>1759</v>
      </c>
      <c r="B505" t="s">
        <v>1041</v>
      </c>
      <c r="C505" t="s">
        <v>116</v>
      </c>
      <c r="D505">
        <v>24</v>
      </c>
      <c r="E505">
        <v>2</v>
      </c>
      <c r="F505">
        <v>76.1</v>
      </c>
      <c r="G505" t="s">
        <v>1755</v>
      </c>
      <c r="H505" s="3" t="s">
        <v>1760</v>
      </c>
      <c r="I505" s="3" t="s">
        <v>1761</v>
      </c>
      <c r="J505">
        <f t="shared" si="91"/>
        <v>0</v>
      </c>
      <c r="K505">
        <f t="shared" si="92"/>
        <v>1</v>
      </c>
      <c r="L505">
        <f t="shared" si="93"/>
        <v>0</v>
      </c>
      <c r="M505">
        <f t="shared" si="94"/>
        <v>0</v>
      </c>
      <c r="N505">
        <f t="shared" si="95"/>
        <v>0</v>
      </c>
      <c r="O505">
        <f t="shared" si="96"/>
        <v>0</v>
      </c>
      <c r="P505">
        <f t="shared" si="97"/>
        <v>0</v>
      </c>
      <c r="Q505">
        <f t="shared" si="98"/>
        <v>0</v>
      </c>
      <c r="R505">
        <v>0</v>
      </c>
      <c r="S505">
        <v>0</v>
      </c>
      <c r="T505">
        <v>0</v>
      </c>
      <c r="U505">
        <v>1</v>
      </c>
      <c r="V505">
        <v>1</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f t="shared" si="99"/>
        <v>1</v>
      </c>
      <c r="AT505">
        <f t="shared" si="100"/>
        <v>2</v>
      </c>
      <c r="AU505" s="3" t="s">
        <v>1195</v>
      </c>
      <c r="AV505">
        <f t="shared" si="101"/>
        <v>1</v>
      </c>
      <c r="AW505">
        <f t="shared" si="102"/>
        <v>0</v>
      </c>
      <c r="AX505">
        <f t="shared" si="103"/>
        <v>0</v>
      </c>
      <c r="AY505">
        <v>1</v>
      </c>
      <c r="AZ505" t="s">
        <v>60</v>
      </c>
      <c r="BA505" t="s">
        <v>61</v>
      </c>
      <c r="BB505" t="s">
        <v>8</v>
      </c>
    </row>
    <row r="506" ht="17" spans="1:54">
      <c r="A506" t="s">
        <v>1762</v>
      </c>
      <c r="B506" t="s">
        <v>1041</v>
      </c>
      <c r="C506" t="s">
        <v>56</v>
      </c>
      <c r="D506">
        <v>0</v>
      </c>
      <c r="E506">
        <v>0</v>
      </c>
      <c r="F506">
        <v>32.8</v>
      </c>
      <c r="G506" t="s">
        <v>539</v>
      </c>
      <c r="H506" s="3" t="s">
        <v>1763</v>
      </c>
      <c r="I506" s="3" t="s">
        <v>1764</v>
      </c>
      <c r="J506">
        <f t="shared" si="91"/>
        <v>0</v>
      </c>
      <c r="K506">
        <f t="shared" si="92"/>
        <v>0</v>
      </c>
      <c r="L506">
        <f t="shared" si="93"/>
        <v>0</v>
      </c>
      <c r="M506">
        <f t="shared" si="94"/>
        <v>0</v>
      </c>
      <c r="N506">
        <f t="shared" si="95"/>
        <v>0</v>
      </c>
      <c r="O506">
        <f t="shared" si="96"/>
        <v>0</v>
      </c>
      <c r="P506">
        <f t="shared" si="97"/>
        <v>0</v>
      </c>
      <c r="Q506">
        <f t="shared" si="98"/>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f t="shared" si="99"/>
        <v>0</v>
      </c>
      <c r="AT506">
        <f t="shared" si="100"/>
        <v>0</v>
      </c>
      <c r="AU506" s="3" t="s">
        <v>118</v>
      </c>
      <c r="AV506">
        <f t="shared" si="101"/>
        <v>0</v>
      </c>
      <c r="AW506">
        <f t="shared" si="102"/>
        <v>1</v>
      </c>
      <c r="AX506">
        <f t="shared" si="103"/>
        <v>0</v>
      </c>
      <c r="AY506">
        <v>0</v>
      </c>
      <c r="AZ506" t="s">
        <v>147</v>
      </c>
      <c r="BA506" t="s">
        <v>148</v>
      </c>
      <c r="BB506" t="s">
        <v>8</v>
      </c>
    </row>
    <row r="507" ht="409.5" spans="1:54">
      <c r="A507" t="s">
        <v>1765</v>
      </c>
      <c r="B507" t="s">
        <v>1041</v>
      </c>
      <c r="C507" t="s">
        <v>116</v>
      </c>
      <c r="D507">
        <v>6</v>
      </c>
      <c r="E507">
        <v>0</v>
      </c>
      <c r="F507">
        <v>89.9</v>
      </c>
      <c r="G507" t="s">
        <v>539</v>
      </c>
      <c r="H507" s="3" t="s">
        <v>1766</v>
      </c>
      <c r="I507" s="3" t="s">
        <v>1767</v>
      </c>
      <c r="J507">
        <f t="shared" si="91"/>
        <v>0</v>
      </c>
      <c r="K507">
        <f t="shared" si="92"/>
        <v>1</v>
      </c>
      <c r="L507">
        <f t="shared" si="93"/>
        <v>0</v>
      </c>
      <c r="M507">
        <f t="shared" si="94"/>
        <v>0</v>
      </c>
      <c r="N507">
        <f t="shared" si="95"/>
        <v>1</v>
      </c>
      <c r="O507">
        <f t="shared" si="96"/>
        <v>1</v>
      </c>
      <c r="P507">
        <f t="shared" si="97"/>
        <v>0</v>
      </c>
      <c r="Q507">
        <f t="shared" si="98"/>
        <v>0</v>
      </c>
      <c r="R507">
        <v>0</v>
      </c>
      <c r="S507">
        <v>0</v>
      </c>
      <c r="T507">
        <v>0</v>
      </c>
      <c r="U507">
        <v>1</v>
      </c>
      <c r="V507">
        <v>0</v>
      </c>
      <c r="W507">
        <v>0</v>
      </c>
      <c r="X507">
        <v>0</v>
      </c>
      <c r="Y507">
        <v>0</v>
      </c>
      <c r="Z507">
        <v>0</v>
      </c>
      <c r="AA507">
        <v>0</v>
      </c>
      <c r="AB507">
        <v>0</v>
      </c>
      <c r="AC507">
        <v>0</v>
      </c>
      <c r="AD507">
        <v>0</v>
      </c>
      <c r="AE507">
        <v>0</v>
      </c>
      <c r="AF507">
        <v>0</v>
      </c>
      <c r="AG507">
        <v>0</v>
      </c>
      <c r="AH507">
        <v>1</v>
      </c>
      <c r="AI507">
        <v>1</v>
      </c>
      <c r="AJ507">
        <v>0</v>
      </c>
      <c r="AK507">
        <v>0</v>
      </c>
      <c r="AL507">
        <v>1</v>
      </c>
      <c r="AM507">
        <v>0</v>
      </c>
      <c r="AN507">
        <v>0</v>
      </c>
      <c r="AO507">
        <v>0</v>
      </c>
      <c r="AP507">
        <v>0</v>
      </c>
      <c r="AQ507">
        <v>0</v>
      </c>
      <c r="AR507">
        <v>0</v>
      </c>
      <c r="AS507">
        <f t="shared" si="99"/>
        <v>3</v>
      </c>
      <c r="AT507">
        <f t="shared" si="100"/>
        <v>4</v>
      </c>
      <c r="AU507" s="3" t="s">
        <v>1768</v>
      </c>
      <c r="AV507">
        <f t="shared" si="101"/>
        <v>1</v>
      </c>
      <c r="AW507">
        <f t="shared" si="102"/>
        <v>0</v>
      </c>
      <c r="AX507">
        <f t="shared" si="103"/>
        <v>0</v>
      </c>
      <c r="AY507">
        <v>1</v>
      </c>
      <c r="AZ507" t="s">
        <v>60</v>
      </c>
      <c r="BA507" t="s">
        <v>61</v>
      </c>
      <c r="BB507" t="s">
        <v>8</v>
      </c>
    </row>
    <row r="508" ht="409.5" spans="1:54">
      <c r="A508" t="s">
        <v>1769</v>
      </c>
      <c r="B508" t="s">
        <v>1041</v>
      </c>
      <c r="C508" t="s">
        <v>116</v>
      </c>
      <c r="D508">
        <v>2</v>
      </c>
      <c r="E508">
        <v>1</v>
      </c>
      <c r="F508">
        <v>36.8</v>
      </c>
      <c r="G508" t="s">
        <v>539</v>
      </c>
      <c r="H508" s="3" t="s">
        <v>1770</v>
      </c>
      <c r="I508" s="3" t="s">
        <v>1771</v>
      </c>
      <c r="J508">
        <f t="shared" si="91"/>
        <v>0</v>
      </c>
      <c r="K508">
        <f t="shared" si="92"/>
        <v>0</v>
      </c>
      <c r="L508">
        <f t="shared" si="93"/>
        <v>0</v>
      </c>
      <c r="M508">
        <f t="shared" si="94"/>
        <v>1</v>
      </c>
      <c r="N508">
        <f t="shared" si="95"/>
        <v>0</v>
      </c>
      <c r="O508">
        <f t="shared" si="96"/>
        <v>0</v>
      </c>
      <c r="P508">
        <f t="shared" si="97"/>
        <v>0</v>
      </c>
      <c r="Q508">
        <f t="shared" si="98"/>
        <v>0</v>
      </c>
      <c r="R508">
        <v>0</v>
      </c>
      <c r="S508">
        <v>0</v>
      </c>
      <c r="T508">
        <v>0</v>
      </c>
      <c r="U508">
        <v>0</v>
      </c>
      <c r="V508">
        <v>0</v>
      </c>
      <c r="W508">
        <v>0</v>
      </c>
      <c r="X508">
        <v>0</v>
      </c>
      <c r="Y508">
        <v>0</v>
      </c>
      <c r="Z508">
        <v>0</v>
      </c>
      <c r="AA508">
        <v>0</v>
      </c>
      <c r="AB508">
        <v>0</v>
      </c>
      <c r="AC508">
        <v>0</v>
      </c>
      <c r="AD508">
        <v>0</v>
      </c>
      <c r="AE508">
        <v>0</v>
      </c>
      <c r="AF508">
        <v>1</v>
      </c>
      <c r="AG508">
        <v>0</v>
      </c>
      <c r="AH508">
        <v>0</v>
      </c>
      <c r="AI508">
        <v>0</v>
      </c>
      <c r="AJ508">
        <v>0</v>
      </c>
      <c r="AK508">
        <v>0</v>
      </c>
      <c r="AL508">
        <v>0</v>
      </c>
      <c r="AM508">
        <v>0</v>
      </c>
      <c r="AN508">
        <v>0</v>
      </c>
      <c r="AO508">
        <v>0</v>
      </c>
      <c r="AP508">
        <v>0</v>
      </c>
      <c r="AQ508">
        <v>0</v>
      </c>
      <c r="AR508">
        <v>0</v>
      </c>
      <c r="AS508">
        <f t="shared" si="99"/>
        <v>1</v>
      </c>
      <c r="AT508">
        <f t="shared" si="100"/>
        <v>1</v>
      </c>
      <c r="AU508" s="3" t="s">
        <v>1359</v>
      </c>
      <c r="AV508">
        <f t="shared" si="101"/>
        <v>1</v>
      </c>
      <c r="AW508">
        <f t="shared" si="102"/>
        <v>0</v>
      </c>
      <c r="AX508">
        <f t="shared" si="103"/>
        <v>0</v>
      </c>
      <c r="AY508">
        <v>-1</v>
      </c>
      <c r="AZ508" t="s">
        <v>133</v>
      </c>
      <c r="BA508" t="s">
        <v>134</v>
      </c>
      <c r="BB508" t="s">
        <v>8</v>
      </c>
    </row>
    <row r="509" ht="409.5" spans="1:54">
      <c r="A509" t="s">
        <v>1772</v>
      </c>
      <c r="B509" t="s">
        <v>1041</v>
      </c>
      <c r="C509" t="s">
        <v>56</v>
      </c>
      <c r="D509">
        <v>10</v>
      </c>
      <c r="E509">
        <v>0</v>
      </c>
      <c r="F509">
        <v>54.8</v>
      </c>
      <c r="G509" t="s">
        <v>539</v>
      </c>
      <c r="H509" s="3" t="s">
        <v>1773</v>
      </c>
      <c r="I509" s="3" t="s">
        <v>1774</v>
      </c>
      <c r="J509">
        <f t="shared" si="91"/>
        <v>1</v>
      </c>
      <c r="K509">
        <f t="shared" si="92"/>
        <v>1</v>
      </c>
      <c r="L509">
        <f t="shared" si="93"/>
        <v>0</v>
      </c>
      <c r="M509">
        <f t="shared" si="94"/>
        <v>0</v>
      </c>
      <c r="N509">
        <f t="shared" si="95"/>
        <v>0</v>
      </c>
      <c r="O509">
        <f t="shared" si="96"/>
        <v>0</v>
      </c>
      <c r="P509">
        <f t="shared" si="97"/>
        <v>0</v>
      </c>
      <c r="Q509">
        <f t="shared" si="98"/>
        <v>0</v>
      </c>
      <c r="R509">
        <v>1</v>
      </c>
      <c r="S509">
        <v>0</v>
      </c>
      <c r="T509">
        <v>1</v>
      </c>
      <c r="U509">
        <v>0</v>
      </c>
      <c r="V509">
        <v>1</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f t="shared" si="99"/>
        <v>2</v>
      </c>
      <c r="AT509">
        <f t="shared" si="100"/>
        <v>3</v>
      </c>
      <c r="AU509" s="3" t="s">
        <v>1775</v>
      </c>
      <c r="AV509">
        <f t="shared" si="101"/>
        <v>1</v>
      </c>
      <c r="AW509">
        <f t="shared" si="102"/>
        <v>0</v>
      </c>
      <c r="AX509">
        <f t="shared" si="103"/>
        <v>0</v>
      </c>
      <c r="AY509">
        <v>-1</v>
      </c>
      <c r="AZ509" t="s">
        <v>133</v>
      </c>
      <c r="BA509" t="s">
        <v>134</v>
      </c>
      <c r="BB509" t="s">
        <v>8</v>
      </c>
    </row>
    <row r="510" ht="17" spans="1:54">
      <c r="A510" t="s">
        <v>1776</v>
      </c>
      <c r="B510" t="s">
        <v>1041</v>
      </c>
      <c r="C510" t="s">
        <v>56</v>
      </c>
      <c r="D510">
        <v>0</v>
      </c>
      <c r="E510">
        <v>0</v>
      </c>
      <c r="F510">
        <v>107</v>
      </c>
      <c r="G510" t="s">
        <v>1777</v>
      </c>
      <c r="H510" s="3" t="s">
        <v>1778</v>
      </c>
      <c r="I510" s="3" t="s">
        <v>1779</v>
      </c>
      <c r="J510">
        <f t="shared" si="91"/>
        <v>0</v>
      </c>
      <c r="K510">
        <f t="shared" si="92"/>
        <v>1</v>
      </c>
      <c r="L510">
        <f t="shared" si="93"/>
        <v>0</v>
      </c>
      <c r="M510">
        <f t="shared" si="94"/>
        <v>0</v>
      </c>
      <c r="N510">
        <f t="shared" si="95"/>
        <v>1</v>
      </c>
      <c r="O510">
        <f t="shared" si="96"/>
        <v>0</v>
      </c>
      <c r="P510">
        <f t="shared" si="97"/>
        <v>0</v>
      </c>
      <c r="Q510">
        <f t="shared" si="98"/>
        <v>0</v>
      </c>
      <c r="R510">
        <v>0</v>
      </c>
      <c r="S510">
        <v>0</v>
      </c>
      <c r="T510">
        <v>0</v>
      </c>
      <c r="U510">
        <v>0</v>
      </c>
      <c r="V510">
        <v>0</v>
      </c>
      <c r="W510">
        <v>1</v>
      </c>
      <c r="X510">
        <v>0</v>
      </c>
      <c r="Y510">
        <v>0</v>
      </c>
      <c r="Z510">
        <v>0</v>
      </c>
      <c r="AA510">
        <v>0</v>
      </c>
      <c r="AB510">
        <v>0</v>
      </c>
      <c r="AC510">
        <v>0</v>
      </c>
      <c r="AD510">
        <v>0</v>
      </c>
      <c r="AE510">
        <v>0</v>
      </c>
      <c r="AF510">
        <v>0</v>
      </c>
      <c r="AG510">
        <v>0</v>
      </c>
      <c r="AH510">
        <v>1</v>
      </c>
      <c r="AI510">
        <v>0</v>
      </c>
      <c r="AJ510">
        <v>0</v>
      </c>
      <c r="AK510">
        <v>0</v>
      </c>
      <c r="AL510">
        <v>0</v>
      </c>
      <c r="AM510">
        <v>0</v>
      </c>
      <c r="AN510">
        <v>0</v>
      </c>
      <c r="AO510">
        <v>0</v>
      </c>
      <c r="AP510">
        <v>0</v>
      </c>
      <c r="AQ510">
        <v>0</v>
      </c>
      <c r="AR510">
        <v>0</v>
      </c>
      <c r="AS510">
        <f t="shared" si="99"/>
        <v>2</v>
      </c>
      <c r="AT510">
        <f t="shared" si="100"/>
        <v>2</v>
      </c>
      <c r="AU510" s="3" t="s">
        <v>1780</v>
      </c>
      <c r="AV510">
        <f t="shared" si="101"/>
        <v>1</v>
      </c>
      <c r="AW510">
        <f t="shared" si="102"/>
        <v>0</v>
      </c>
      <c r="AX510">
        <f t="shared" si="103"/>
        <v>0</v>
      </c>
      <c r="AY510">
        <v>2</v>
      </c>
      <c r="AZ510" t="s">
        <v>60</v>
      </c>
      <c r="BA510" t="s">
        <v>61</v>
      </c>
      <c r="BB510" t="s">
        <v>8</v>
      </c>
    </row>
    <row r="511" ht="152" spans="1:54">
      <c r="A511" t="s">
        <v>1781</v>
      </c>
      <c r="B511" t="s">
        <v>1041</v>
      </c>
      <c r="C511" t="s">
        <v>116</v>
      </c>
      <c r="D511">
        <v>5</v>
      </c>
      <c r="E511">
        <v>1</v>
      </c>
      <c r="F511">
        <v>0.6</v>
      </c>
      <c r="G511" t="s">
        <v>1782</v>
      </c>
      <c r="H511" s="3" t="s">
        <v>1783</v>
      </c>
      <c r="I511" s="3" t="s">
        <v>1784</v>
      </c>
      <c r="J511">
        <f t="shared" si="91"/>
        <v>1</v>
      </c>
      <c r="K511">
        <f t="shared" si="92"/>
        <v>1</v>
      </c>
      <c r="L511">
        <f t="shared" si="93"/>
        <v>0</v>
      </c>
      <c r="M511">
        <f t="shared" si="94"/>
        <v>0</v>
      </c>
      <c r="N511">
        <f t="shared" si="95"/>
        <v>1</v>
      </c>
      <c r="O511">
        <f t="shared" si="96"/>
        <v>1</v>
      </c>
      <c r="P511">
        <f t="shared" si="97"/>
        <v>0</v>
      </c>
      <c r="Q511">
        <f t="shared" si="98"/>
        <v>0</v>
      </c>
      <c r="R511">
        <v>1</v>
      </c>
      <c r="S511">
        <v>0</v>
      </c>
      <c r="T511">
        <v>0</v>
      </c>
      <c r="U511">
        <v>0</v>
      </c>
      <c r="V511">
        <v>1</v>
      </c>
      <c r="W511">
        <v>0</v>
      </c>
      <c r="X511">
        <v>0</v>
      </c>
      <c r="Y511">
        <v>0</v>
      </c>
      <c r="Z511">
        <v>0</v>
      </c>
      <c r="AA511">
        <v>0</v>
      </c>
      <c r="AB511">
        <v>0</v>
      </c>
      <c r="AC511">
        <v>0</v>
      </c>
      <c r="AD511">
        <v>0</v>
      </c>
      <c r="AE511">
        <v>0</v>
      </c>
      <c r="AF511">
        <v>0</v>
      </c>
      <c r="AG511">
        <v>0</v>
      </c>
      <c r="AH511">
        <v>1</v>
      </c>
      <c r="AI511">
        <v>1</v>
      </c>
      <c r="AJ511">
        <v>0</v>
      </c>
      <c r="AK511">
        <v>0</v>
      </c>
      <c r="AL511">
        <v>0</v>
      </c>
      <c r="AM511">
        <v>0</v>
      </c>
      <c r="AN511">
        <v>0</v>
      </c>
      <c r="AO511">
        <v>0</v>
      </c>
      <c r="AP511">
        <v>0</v>
      </c>
      <c r="AQ511">
        <v>0</v>
      </c>
      <c r="AR511">
        <v>0</v>
      </c>
      <c r="AS511">
        <f t="shared" si="99"/>
        <v>4</v>
      </c>
      <c r="AT511">
        <f t="shared" si="100"/>
        <v>4</v>
      </c>
      <c r="AU511" s="3" t="s">
        <v>834</v>
      </c>
      <c r="AV511">
        <f t="shared" si="101"/>
        <v>1</v>
      </c>
      <c r="AW511">
        <f t="shared" si="102"/>
        <v>0</v>
      </c>
      <c r="AX511">
        <f t="shared" si="103"/>
        <v>0</v>
      </c>
      <c r="AY511">
        <v>6</v>
      </c>
      <c r="AZ511" t="s">
        <v>60</v>
      </c>
      <c r="BA511" t="s">
        <v>61</v>
      </c>
      <c r="BB511" t="s">
        <v>8</v>
      </c>
    </row>
    <row r="512" ht="34" spans="1:54">
      <c r="A512" t="s">
        <v>1785</v>
      </c>
      <c r="B512" t="s">
        <v>1041</v>
      </c>
      <c r="C512" t="s">
        <v>56</v>
      </c>
      <c r="D512">
        <v>0</v>
      </c>
      <c r="E512">
        <v>0</v>
      </c>
      <c r="F512">
        <v>25.4</v>
      </c>
      <c r="G512" t="s">
        <v>1782</v>
      </c>
      <c r="H512" s="3" t="s">
        <v>1786</v>
      </c>
      <c r="I512" s="3" t="s">
        <v>1787</v>
      </c>
      <c r="J512">
        <f t="shared" si="91"/>
        <v>1</v>
      </c>
      <c r="K512">
        <f t="shared" si="92"/>
        <v>1</v>
      </c>
      <c r="L512">
        <f t="shared" si="93"/>
        <v>0</v>
      </c>
      <c r="M512">
        <f t="shared" si="94"/>
        <v>0</v>
      </c>
      <c r="N512">
        <f t="shared" si="95"/>
        <v>1</v>
      </c>
      <c r="O512">
        <f t="shared" si="96"/>
        <v>0</v>
      </c>
      <c r="P512">
        <f t="shared" si="97"/>
        <v>0</v>
      </c>
      <c r="Q512">
        <f t="shared" si="98"/>
        <v>0</v>
      </c>
      <c r="R512">
        <v>1</v>
      </c>
      <c r="S512">
        <v>0</v>
      </c>
      <c r="T512">
        <v>0</v>
      </c>
      <c r="U512">
        <v>0</v>
      </c>
      <c r="V512">
        <v>0</v>
      </c>
      <c r="W512">
        <v>1</v>
      </c>
      <c r="X512">
        <v>0</v>
      </c>
      <c r="Y512">
        <v>0</v>
      </c>
      <c r="Z512">
        <v>0</v>
      </c>
      <c r="AA512">
        <v>0</v>
      </c>
      <c r="AB512">
        <v>0</v>
      </c>
      <c r="AC512">
        <v>0</v>
      </c>
      <c r="AD512">
        <v>0</v>
      </c>
      <c r="AE512">
        <v>0</v>
      </c>
      <c r="AF512">
        <v>0</v>
      </c>
      <c r="AG512">
        <v>0</v>
      </c>
      <c r="AH512">
        <v>1</v>
      </c>
      <c r="AI512">
        <v>0</v>
      </c>
      <c r="AJ512">
        <v>0</v>
      </c>
      <c r="AK512">
        <v>0</v>
      </c>
      <c r="AL512">
        <v>0</v>
      </c>
      <c r="AM512">
        <v>0</v>
      </c>
      <c r="AN512">
        <v>0</v>
      </c>
      <c r="AO512">
        <v>0</v>
      </c>
      <c r="AP512">
        <v>0</v>
      </c>
      <c r="AQ512">
        <v>0</v>
      </c>
      <c r="AR512">
        <v>0</v>
      </c>
      <c r="AS512">
        <f t="shared" si="99"/>
        <v>3</v>
      </c>
      <c r="AT512">
        <f t="shared" si="100"/>
        <v>3</v>
      </c>
      <c r="AU512" s="3" t="s">
        <v>1165</v>
      </c>
      <c r="AV512">
        <f t="shared" si="101"/>
        <v>1</v>
      </c>
      <c r="AW512">
        <f t="shared" si="102"/>
        <v>0</v>
      </c>
      <c r="AX512">
        <f t="shared" si="103"/>
        <v>0</v>
      </c>
      <c r="AY512">
        <v>2</v>
      </c>
      <c r="AZ512" t="s">
        <v>60</v>
      </c>
      <c r="BA512" t="s">
        <v>61</v>
      </c>
      <c r="BB512" t="s">
        <v>8</v>
      </c>
    </row>
    <row r="513" ht="34" spans="1:54">
      <c r="A513" t="s">
        <v>1788</v>
      </c>
      <c r="B513" t="s">
        <v>1041</v>
      </c>
      <c r="C513" t="s">
        <v>116</v>
      </c>
      <c r="D513">
        <v>12</v>
      </c>
      <c r="E513">
        <v>0</v>
      </c>
      <c r="F513">
        <v>8</v>
      </c>
      <c r="G513" t="s">
        <v>1782</v>
      </c>
      <c r="H513" s="3" t="s">
        <v>1789</v>
      </c>
      <c r="I513" s="3" t="s">
        <v>1790</v>
      </c>
      <c r="J513">
        <f t="shared" si="91"/>
        <v>0</v>
      </c>
      <c r="K513">
        <f t="shared" si="92"/>
        <v>0</v>
      </c>
      <c r="L513">
        <f t="shared" si="93"/>
        <v>0</v>
      </c>
      <c r="M513">
        <f t="shared" si="94"/>
        <v>0</v>
      </c>
      <c r="N513">
        <f t="shared" si="95"/>
        <v>0</v>
      </c>
      <c r="O513">
        <f t="shared" si="96"/>
        <v>0</v>
      </c>
      <c r="P513">
        <f t="shared" si="97"/>
        <v>0</v>
      </c>
      <c r="Q513">
        <f t="shared" si="98"/>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f t="shared" si="99"/>
        <v>0</v>
      </c>
      <c r="AT513">
        <f t="shared" si="100"/>
        <v>0</v>
      </c>
      <c r="AU513" s="3" t="s">
        <v>118</v>
      </c>
      <c r="AV513">
        <f t="shared" si="101"/>
        <v>0</v>
      </c>
      <c r="AW513">
        <f t="shared" si="102"/>
        <v>1</v>
      </c>
      <c r="AX513">
        <f t="shared" si="103"/>
        <v>0</v>
      </c>
      <c r="AY513">
        <v>-1</v>
      </c>
      <c r="AZ513" t="s">
        <v>133</v>
      </c>
      <c r="BA513" t="s">
        <v>134</v>
      </c>
      <c r="BB513" t="s">
        <v>8</v>
      </c>
    </row>
    <row r="514" ht="219" spans="1:54">
      <c r="A514" t="s">
        <v>1791</v>
      </c>
      <c r="B514" t="s">
        <v>1041</v>
      </c>
      <c r="C514" t="s">
        <v>56</v>
      </c>
      <c r="D514">
        <v>12</v>
      </c>
      <c r="E514">
        <v>0</v>
      </c>
      <c r="F514">
        <v>76.3</v>
      </c>
      <c r="G514" t="s">
        <v>542</v>
      </c>
      <c r="H514" s="3" t="s">
        <v>1792</v>
      </c>
      <c r="I514" s="3" t="s">
        <v>1793</v>
      </c>
      <c r="J514">
        <f t="shared" ref="J514:J577" si="104">IF(SUM(R514:T514)&gt;0,1,0)</f>
        <v>1</v>
      </c>
      <c r="K514">
        <f t="shared" ref="K514:K577" si="105">IF(SUM(U514:Y514)&gt;0,1,0)</f>
        <v>0</v>
      </c>
      <c r="L514">
        <f t="shared" ref="L514:L577" si="106">IF(SUM(Z514:AC514)&gt;0,1,0)</f>
        <v>1</v>
      </c>
      <c r="M514">
        <f t="shared" ref="M514:M577" si="107">IF(SUM(AD514:AF514)&gt;0,1,0)</f>
        <v>0</v>
      </c>
      <c r="N514">
        <f t="shared" ref="N514:N577" si="108">IF(SUM(AG514:AH514)&gt;0,1,0)</f>
        <v>1</v>
      </c>
      <c r="O514">
        <f t="shared" ref="O514:O577" si="109">IF(SUM(AI514:AL514)&gt;0,1,0)</f>
        <v>0</v>
      </c>
      <c r="P514">
        <f t="shared" ref="P514:P577" si="110">IF(SUM(AM514:AQ514)&gt;0,1,0)</f>
        <v>0</v>
      </c>
      <c r="Q514">
        <f t="shared" ref="Q514:Q577" si="111">IF(AR514&gt;0,1,0)</f>
        <v>0</v>
      </c>
      <c r="R514">
        <v>1</v>
      </c>
      <c r="S514">
        <v>0</v>
      </c>
      <c r="T514">
        <v>0</v>
      </c>
      <c r="U514">
        <v>0</v>
      </c>
      <c r="V514">
        <v>0</v>
      </c>
      <c r="W514">
        <v>0</v>
      </c>
      <c r="X514">
        <v>0</v>
      </c>
      <c r="Y514">
        <v>0</v>
      </c>
      <c r="Z514">
        <v>1</v>
      </c>
      <c r="AA514">
        <v>0</v>
      </c>
      <c r="AB514">
        <v>0</v>
      </c>
      <c r="AC514">
        <v>1</v>
      </c>
      <c r="AD514">
        <v>0</v>
      </c>
      <c r="AE514">
        <v>0</v>
      </c>
      <c r="AF514">
        <v>0</v>
      </c>
      <c r="AG514">
        <v>0</v>
      </c>
      <c r="AH514">
        <v>1</v>
      </c>
      <c r="AI514">
        <v>0</v>
      </c>
      <c r="AJ514">
        <v>0</v>
      </c>
      <c r="AK514">
        <v>0</v>
      </c>
      <c r="AL514">
        <v>0</v>
      </c>
      <c r="AM514">
        <v>0</v>
      </c>
      <c r="AN514">
        <v>0</v>
      </c>
      <c r="AO514">
        <v>0</v>
      </c>
      <c r="AP514">
        <v>0</v>
      </c>
      <c r="AQ514">
        <v>0</v>
      </c>
      <c r="AR514">
        <v>0</v>
      </c>
      <c r="AS514">
        <f t="shared" ref="AS514:AS577" si="112">SUM(J514:Q514)</f>
        <v>3</v>
      </c>
      <c r="AT514">
        <f t="shared" ref="AT514:AT577" si="113">SUM(R514:AR514)</f>
        <v>4</v>
      </c>
      <c r="AU514" s="3" t="s">
        <v>1794</v>
      </c>
      <c r="AV514">
        <f t="shared" ref="AV514:AV577" si="114">IF(AT514&gt;0,1,0)</f>
        <v>1</v>
      </c>
      <c r="AW514">
        <f t="shared" ref="AW514:AW577" si="115">IF(AT514=0,1,0)</f>
        <v>0</v>
      </c>
      <c r="AX514">
        <f t="shared" ref="AX514:AX577" si="116">IF(AT514&gt;=8,1,0)</f>
        <v>0</v>
      </c>
      <c r="AY514">
        <v>4.5</v>
      </c>
      <c r="AZ514" t="s">
        <v>60</v>
      </c>
      <c r="BA514" t="s">
        <v>61</v>
      </c>
      <c r="BB514" t="s">
        <v>8</v>
      </c>
    </row>
    <row r="515" ht="387" spans="1:54">
      <c r="A515" t="s">
        <v>1795</v>
      </c>
      <c r="B515" t="s">
        <v>1041</v>
      </c>
      <c r="C515" t="s">
        <v>116</v>
      </c>
      <c r="D515">
        <v>5</v>
      </c>
      <c r="E515">
        <v>0</v>
      </c>
      <c r="F515">
        <v>52</v>
      </c>
      <c r="G515" t="s">
        <v>542</v>
      </c>
      <c r="H515" s="3" t="s">
        <v>1796</v>
      </c>
      <c r="I515" s="3" t="s">
        <v>1797</v>
      </c>
      <c r="J515">
        <f t="shared" si="104"/>
        <v>0</v>
      </c>
      <c r="K515">
        <f t="shared" si="105"/>
        <v>1</v>
      </c>
      <c r="L515">
        <f t="shared" si="106"/>
        <v>0</v>
      </c>
      <c r="M515">
        <f t="shared" si="107"/>
        <v>0</v>
      </c>
      <c r="N515">
        <f t="shared" si="108"/>
        <v>0</v>
      </c>
      <c r="O515">
        <f t="shared" si="109"/>
        <v>0</v>
      </c>
      <c r="P515">
        <f t="shared" si="110"/>
        <v>0</v>
      </c>
      <c r="Q515">
        <f t="shared" si="111"/>
        <v>0</v>
      </c>
      <c r="R515">
        <v>0</v>
      </c>
      <c r="S515">
        <v>0</v>
      </c>
      <c r="T515">
        <v>0</v>
      </c>
      <c r="U515">
        <v>1</v>
      </c>
      <c r="V515">
        <v>1</v>
      </c>
      <c r="W515">
        <v>0</v>
      </c>
      <c r="X515">
        <v>1</v>
      </c>
      <c r="Y515">
        <v>1</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f t="shared" si="112"/>
        <v>1</v>
      </c>
      <c r="AT515">
        <f t="shared" si="113"/>
        <v>4</v>
      </c>
      <c r="AU515" s="3" t="s">
        <v>1798</v>
      </c>
      <c r="AV515">
        <f t="shared" si="114"/>
        <v>1</v>
      </c>
      <c r="AW515">
        <f t="shared" si="115"/>
        <v>0</v>
      </c>
      <c r="AX515">
        <f t="shared" si="116"/>
        <v>0</v>
      </c>
      <c r="AY515">
        <v>0.5</v>
      </c>
      <c r="AZ515" t="s">
        <v>60</v>
      </c>
      <c r="BA515" t="s">
        <v>61</v>
      </c>
      <c r="BB515" t="s">
        <v>8</v>
      </c>
    </row>
    <row r="516" ht="168" spans="1:54">
      <c r="A516" t="s">
        <v>1799</v>
      </c>
      <c r="B516" t="s">
        <v>1041</v>
      </c>
      <c r="C516" t="s">
        <v>56</v>
      </c>
      <c r="D516">
        <v>0</v>
      </c>
      <c r="E516">
        <v>0</v>
      </c>
      <c r="F516">
        <v>85.3</v>
      </c>
      <c r="G516" t="s">
        <v>1800</v>
      </c>
      <c r="H516" s="3" t="s">
        <v>1801</v>
      </c>
      <c r="I516" s="3" t="s">
        <v>1802</v>
      </c>
      <c r="J516">
        <f t="shared" si="104"/>
        <v>0</v>
      </c>
      <c r="K516">
        <f t="shared" si="105"/>
        <v>0</v>
      </c>
      <c r="L516">
        <f t="shared" si="106"/>
        <v>0</v>
      </c>
      <c r="M516">
        <f t="shared" si="107"/>
        <v>0</v>
      </c>
      <c r="N516">
        <f t="shared" si="108"/>
        <v>0</v>
      </c>
      <c r="O516">
        <f t="shared" si="109"/>
        <v>1</v>
      </c>
      <c r="P516">
        <f t="shared" si="110"/>
        <v>0</v>
      </c>
      <c r="Q516">
        <f t="shared" si="111"/>
        <v>0</v>
      </c>
      <c r="R516">
        <v>0</v>
      </c>
      <c r="S516">
        <v>0</v>
      </c>
      <c r="T516">
        <v>0</v>
      </c>
      <c r="U516">
        <v>0</v>
      </c>
      <c r="V516">
        <v>0</v>
      </c>
      <c r="W516">
        <v>0</v>
      </c>
      <c r="X516">
        <v>0</v>
      </c>
      <c r="Y516">
        <v>0</v>
      </c>
      <c r="Z516">
        <v>0</v>
      </c>
      <c r="AA516">
        <v>0</v>
      </c>
      <c r="AB516">
        <v>0</v>
      </c>
      <c r="AC516">
        <v>0</v>
      </c>
      <c r="AD516">
        <v>0</v>
      </c>
      <c r="AE516">
        <v>0</v>
      </c>
      <c r="AF516">
        <v>0</v>
      </c>
      <c r="AG516">
        <v>0</v>
      </c>
      <c r="AH516">
        <v>0</v>
      </c>
      <c r="AI516">
        <v>1</v>
      </c>
      <c r="AJ516">
        <v>0</v>
      </c>
      <c r="AK516">
        <v>0</v>
      </c>
      <c r="AL516">
        <v>0</v>
      </c>
      <c r="AM516">
        <v>0</v>
      </c>
      <c r="AN516">
        <v>0</v>
      </c>
      <c r="AO516">
        <v>0</v>
      </c>
      <c r="AP516">
        <v>0</v>
      </c>
      <c r="AQ516">
        <v>0</v>
      </c>
      <c r="AR516">
        <v>0</v>
      </c>
      <c r="AS516">
        <f t="shared" si="112"/>
        <v>1</v>
      </c>
      <c r="AT516">
        <f t="shared" si="113"/>
        <v>1</v>
      </c>
      <c r="AU516" s="3" t="s">
        <v>79</v>
      </c>
      <c r="AV516">
        <f t="shared" si="114"/>
        <v>1</v>
      </c>
      <c r="AW516">
        <f t="shared" si="115"/>
        <v>0</v>
      </c>
      <c r="AX516">
        <f t="shared" si="116"/>
        <v>0</v>
      </c>
      <c r="AY516">
        <v>7.5</v>
      </c>
      <c r="AZ516" t="s">
        <v>60</v>
      </c>
      <c r="BA516" t="s">
        <v>61</v>
      </c>
      <c r="BB516" t="s">
        <v>8</v>
      </c>
    </row>
    <row r="517" ht="34" spans="1:54">
      <c r="A517" t="s">
        <v>1803</v>
      </c>
      <c r="B517" t="s">
        <v>1041</v>
      </c>
      <c r="C517" t="s">
        <v>56</v>
      </c>
      <c r="D517">
        <v>0</v>
      </c>
      <c r="E517">
        <v>0</v>
      </c>
      <c r="F517">
        <v>240.4</v>
      </c>
      <c r="G517" t="s">
        <v>1800</v>
      </c>
      <c r="H517" s="3" t="s">
        <v>1804</v>
      </c>
      <c r="I517" s="3" t="s">
        <v>1805</v>
      </c>
      <c r="J517">
        <f t="shared" si="104"/>
        <v>1</v>
      </c>
      <c r="K517">
        <f t="shared" si="105"/>
        <v>1</v>
      </c>
      <c r="L517">
        <f t="shared" si="106"/>
        <v>0</v>
      </c>
      <c r="M517">
        <f t="shared" si="107"/>
        <v>0</v>
      </c>
      <c r="N517">
        <f t="shared" si="108"/>
        <v>1</v>
      </c>
      <c r="O517">
        <f t="shared" si="109"/>
        <v>0</v>
      </c>
      <c r="P517">
        <f t="shared" si="110"/>
        <v>0</v>
      </c>
      <c r="Q517">
        <f t="shared" si="111"/>
        <v>0</v>
      </c>
      <c r="R517">
        <v>1</v>
      </c>
      <c r="S517">
        <v>0</v>
      </c>
      <c r="T517">
        <v>0</v>
      </c>
      <c r="U517">
        <v>1</v>
      </c>
      <c r="V517">
        <v>0</v>
      </c>
      <c r="W517">
        <v>0</v>
      </c>
      <c r="X517">
        <v>0</v>
      </c>
      <c r="Y517">
        <v>0</v>
      </c>
      <c r="Z517">
        <v>0</v>
      </c>
      <c r="AA517">
        <v>0</v>
      </c>
      <c r="AB517">
        <v>0</v>
      </c>
      <c r="AC517">
        <v>0</v>
      </c>
      <c r="AD517">
        <v>0</v>
      </c>
      <c r="AE517">
        <v>0</v>
      </c>
      <c r="AF517">
        <v>0</v>
      </c>
      <c r="AG517">
        <v>0</v>
      </c>
      <c r="AH517">
        <v>1</v>
      </c>
      <c r="AI517">
        <v>0</v>
      </c>
      <c r="AJ517">
        <v>0</v>
      </c>
      <c r="AK517">
        <v>0</v>
      </c>
      <c r="AL517">
        <v>0</v>
      </c>
      <c r="AM517">
        <v>0</v>
      </c>
      <c r="AN517">
        <v>0</v>
      </c>
      <c r="AO517">
        <v>0</v>
      </c>
      <c r="AP517">
        <v>0</v>
      </c>
      <c r="AQ517">
        <v>0</v>
      </c>
      <c r="AR517">
        <v>0</v>
      </c>
      <c r="AS517">
        <f t="shared" si="112"/>
        <v>3</v>
      </c>
      <c r="AT517">
        <f t="shared" si="113"/>
        <v>3</v>
      </c>
      <c r="AU517" s="3" t="s">
        <v>1054</v>
      </c>
      <c r="AV517">
        <f t="shared" si="114"/>
        <v>1</v>
      </c>
      <c r="AW517">
        <f t="shared" si="115"/>
        <v>0</v>
      </c>
      <c r="AX517">
        <f t="shared" si="116"/>
        <v>0</v>
      </c>
      <c r="AY517">
        <v>4</v>
      </c>
      <c r="AZ517" t="s">
        <v>60</v>
      </c>
      <c r="BA517" t="s">
        <v>61</v>
      </c>
      <c r="BB517" t="s">
        <v>8</v>
      </c>
    </row>
    <row r="518" ht="51" spans="1:54">
      <c r="A518" t="s">
        <v>1806</v>
      </c>
      <c r="B518" t="s">
        <v>1041</v>
      </c>
      <c r="C518" t="s">
        <v>56</v>
      </c>
      <c r="D518">
        <v>0</v>
      </c>
      <c r="E518">
        <v>0</v>
      </c>
      <c r="F518">
        <v>291.2</v>
      </c>
      <c r="G518" t="s">
        <v>545</v>
      </c>
      <c r="H518" s="3" t="s">
        <v>1807</v>
      </c>
      <c r="I518" s="3" t="s">
        <v>1808</v>
      </c>
      <c r="J518">
        <f t="shared" si="104"/>
        <v>0</v>
      </c>
      <c r="K518">
        <f t="shared" si="105"/>
        <v>1</v>
      </c>
      <c r="L518">
        <f t="shared" si="106"/>
        <v>0</v>
      </c>
      <c r="M518">
        <f t="shared" si="107"/>
        <v>0</v>
      </c>
      <c r="N518">
        <f t="shared" si="108"/>
        <v>1</v>
      </c>
      <c r="O518">
        <f t="shared" si="109"/>
        <v>0</v>
      </c>
      <c r="P518">
        <f t="shared" si="110"/>
        <v>0</v>
      </c>
      <c r="Q518">
        <f t="shared" si="111"/>
        <v>0</v>
      </c>
      <c r="R518">
        <v>0</v>
      </c>
      <c r="S518">
        <v>0</v>
      </c>
      <c r="T518">
        <v>0</v>
      </c>
      <c r="U518">
        <v>1</v>
      </c>
      <c r="V518">
        <v>0</v>
      </c>
      <c r="W518">
        <v>0</v>
      </c>
      <c r="X518">
        <v>0</v>
      </c>
      <c r="Y518">
        <v>0</v>
      </c>
      <c r="Z518">
        <v>0</v>
      </c>
      <c r="AA518">
        <v>0</v>
      </c>
      <c r="AB518">
        <v>0</v>
      </c>
      <c r="AC518">
        <v>0</v>
      </c>
      <c r="AD518">
        <v>0</v>
      </c>
      <c r="AE518">
        <v>0</v>
      </c>
      <c r="AF518">
        <v>0</v>
      </c>
      <c r="AG518">
        <v>0</v>
      </c>
      <c r="AH518">
        <v>1</v>
      </c>
      <c r="AI518">
        <v>0</v>
      </c>
      <c r="AJ518">
        <v>0</v>
      </c>
      <c r="AK518">
        <v>0</v>
      </c>
      <c r="AL518">
        <v>0</v>
      </c>
      <c r="AM518">
        <v>0</v>
      </c>
      <c r="AN518">
        <v>0</v>
      </c>
      <c r="AO518">
        <v>0</v>
      </c>
      <c r="AP518">
        <v>0</v>
      </c>
      <c r="AQ518">
        <v>0</v>
      </c>
      <c r="AR518">
        <v>0</v>
      </c>
      <c r="AS518">
        <f t="shared" si="112"/>
        <v>2</v>
      </c>
      <c r="AT518">
        <f t="shared" si="113"/>
        <v>2</v>
      </c>
      <c r="AU518" s="3" t="s">
        <v>685</v>
      </c>
      <c r="AV518">
        <f t="shared" si="114"/>
        <v>1</v>
      </c>
      <c r="AW518">
        <f t="shared" si="115"/>
        <v>0</v>
      </c>
      <c r="AX518">
        <f t="shared" si="116"/>
        <v>0</v>
      </c>
      <c r="AY518">
        <v>0.5</v>
      </c>
      <c r="AZ518" t="s">
        <v>60</v>
      </c>
      <c r="BA518" t="s">
        <v>61</v>
      </c>
      <c r="BB518" t="s">
        <v>8</v>
      </c>
    </row>
    <row r="519" ht="34" spans="1:54">
      <c r="A519" t="s">
        <v>1809</v>
      </c>
      <c r="B519" t="s">
        <v>1041</v>
      </c>
      <c r="C519" t="s">
        <v>116</v>
      </c>
      <c r="D519">
        <v>2</v>
      </c>
      <c r="E519">
        <v>0</v>
      </c>
      <c r="F519">
        <v>17.8</v>
      </c>
      <c r="G519" t="s">
        <v>545</v>
      </c>
      <c r="H519" s="3" t="s">
        <v>1810</v>
      </c>
      <c r="I519" s="3" t="s">
        <v>1811</v>
      </c>
      <c r="J519">
        <f t="shared" si="104"/>
        <v>0</v>
      </c>
      <c r="K519">
        <f t="shared" si="105"/>
        <v>1</v>
      </c>
      <c r="L519">
        <f t="shared" si="106"/>
        <v>0</v>
      </c>
      <c r="M519">
        <f t="shared" si="107"/>
        <v>0</v>
      </c>
      <c r="N519">
        <f t="shared" si="108"/>
        <v>0</v>
      </c>
      <c r="O519">
        <f t="shared" si="109"/>
        <v>0</v>
      </c>
      <c r="P519">
        <f t="shared" si="110"/>
        <v>0</v>
      </c>
      <c r="Q519">
        <f t="shared" si="111"/>
        <v>0</v>
      </c>
      <c r="R519">
        <v>0</v>
      </c>
      <c r="S519">
        <v>0</v>
      </c>
      <c r="T519">
        <v>0</v>
      </c>
      <c r="U519">
        <v>0</v>
      </c>
      <c r="V519">
        <v>1</v>
      </c>
      <c r="W519">
        <v>1</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f t="shared" si="112"/>
        <v>1</v>
      </c>
      <c r="AT519">
        <f t="shared" si="113"/>
        <v>2</v>
      </c>
      <c r="AU519" s="3" t="s">
        <v>1395</v>
      </c>
      <c r="AV519">
        <f t="shared" si="114"/>
        <v>1</v>
      </c>
      <c r="AW519">
        <f t="shared" si="115"/>
        <v>0</v>
      </c>
      <c r="AX519">
        <f t="shared" si="116"/>
        <v>0</v>
      </c>
      <c r="AY519">
        <v>-1.5</v>
      </c>
      <c r="AZ519" t="s">
        <v>133</v>
      </c>
      <c r="BA519" t="s">
        <v>134</v>
      </c>
      <c r="BB519" t="s">
        <v>8</v>
      </c>
    </row>
    <row r="520" ht="17" spans="1:54">
      <c r="A520" t="s">
        <v>1812</v>
      </c>
      <c r="B520" t="s">
        <v>1041</v>
      </c>
      <c r="C520" t="s">
        <v>56</v>
      </c>
      <c r="D520">
        <v>0</v>
      </c>
      <c r="E520">
        <v>0</v>
      </c>
      <c r="F520">
        <v>58.4</v>
      </c>
      <c r="G520" t="s">
        <v>545</v>
      </c>
      <c r="H520" s="3" t="s">
        <v>1813</v>
      </c>
      <c r="I520" s="3" t="s">
        <v>1814</v>
      </c>
      <c r="J520">
        <f t="shared" si="104"/>
        <v>0</v>
      </c>
      <c r="K520">
        <f t="shared" si="105"/>
        <v>0</v>
      </c>
      <c r="L520">
        <f t="shared" si="106"/>
        <v>0</v>
      </c>
      <c r="M520">
        <f t="shared" si="107"/>
        <v>0</v>
      </c>
      <c r="N520">
        <f t="shared" si="108"/>
        <v>1</v>
      </c>
      <c r="O520">
        <f t="shared" si="109"/>
        <v>0</v>
      </c>
      <c r="P520">
        <f t="shared" si="110"/>
        <v>0</v>
      </c>
      <c r="Q520">
        <f t="shared" si="111"/>
        <v>0</v>
      </c>
      <c r="R520">
        <v>0</v>
      </c>
      <c r="S520">
        <v>0</v>
      </c>
      <c r="T520">
        <v>0</v>
      </c>
      <c r="U520">
        <v>0</v>
      </c>
      <c r="V520">
        <v>0</v>
      </c>
      <c r="W520">
        <v>0</v>
      </c>
      <c r="X520">
        <v>0</v>
      </c>
      <c r="Y520">
        <v>0</v>
      </c>
      <c r="Z520">
        <v>0</v>
      </c>
      <c r="AA520">
        <v>0</v>
      </c>
      <c r="AB520">
        <v>0</v>
      </c>
      <c r="AC520">
        <v>0</v>
      </c>
      <c r="AD520">
        <v>0</v>
      </c>
      <c r="AE520">
        <v>0</v>
      </c>
      <c r="AF520">
        <v>0</v>
      </c>
      <c r="AG520">
        <v>0</v>
      </c>
      <c r="AH520">
        <v>1</v>
      </c>
      <c r="AI520">
        <v>0</v>
      </c>
      <c r="AJ520">
        <v>0</v>
      </c>
      <c r="AK520">
        <v>0</v>
      </c>
      <c r="AL520">
        <v>0</v>
      </c>
      <c r="AM520">
        <v>0</v>
      </c>
      <c r="AN520">
        <v>0</v>
      </c>
      <c r="AO520">
        <v>0</v>
      </c>
      <c r="AP520">
        <v>0</v>
      </c>
      <c r="AQ520">
        <v>0</v>
      </c>
      <c r="AR520">
        <v>0</v>
      </c>
      <c r="AS520">
        <f t="shared" si="112"/>
        <v>1</v>
      </c>
      <c r="AT520">
        <f t="shared" si="113"/>
        <v>1</v>
      </c>
      <c r="AU520" s="3" t="s">
        <v>129</v>
      </c>
      <c r="AV520">
        <f t="shared" si="114"/>
        <v>1</v>
      </c>
      <c r="AW520">
        <f t="shared" si="115"/>
        <v>0</v>
      </c>
      <c r="AX520">
        <f t="shared" si="116"/>
        <v>0</v>
      </c>
      <c r="AY520">
        <v>1</v>
      </c>
      <c r="AZ520" t="s">
        <v>60</v>
      </c>
      <c r="BA520" t="s">
        <v>61</v>
      </c>
      <c r="BB520" t="s">
        <v>8</v>
      </c>
    </row>
    <row r="521" ht="409.5" spans="1:54">
      <c r="A521" t="s">
        <v>1815</v>
      </c>
      <c r="B521" t="s">
        <v>1041</v>
      </c>
      <c r="C521" t="s">
        <v>116</v>
      </c>
      <c r="D521">
        <v>8</v>
      </c>
      <c r="E521">
        <v>0</v>
      </c>
      <c r="F521">
        <v>37.2</v>
      </c>
      <c r="G521" t="s">
        <v>1816</v>
      </c>
      <c r="H521" s="3" t="s">
        <v>1817</v>
      </c>
      <c r="I521" s="3" t="s">
        <v>1818</v>
      </c>
      <c r="J521">
        <f t="shared" si="104"/>
        <v>0</v>
      </c>
      <c r="K521">
        <f t="shared" si="105"/>
        <v>1</v>
      </c>
      <c r="L521">
        <f t="shared" si="106"/>
        <v>1</v>
      </c>
      <c r="M521">
        <f t="shared" si="107"/>
        <v>0</v>
      </c>
      <c r="N521">
        <f t="shared" si="108"/>
        <v>0</v>
      </c>
      <c r="O521">
        <f t="shared" si="109"/>
        <v>1</v>
      </c>
      <c r="P521">
        <f t="shared" si="110"/>
        <v>0</v>
      </c>
      <c r="Q521">
        <f t="shared" si="111"/>
        <v>0</v>
      </c>
      <c r="R521">
        <v>0</v>
      </c>
      <c r="S521">
        <v>0</v>
      </c>
      <c r="T521">
        <v>0</v>
      </c>
      <c r="U521">
        <v>0</v>
      </c>
      <c r="V521">
        <v>1</v>
      </c>
      <c r="W521">
        <v>1</v>
      </c>
      <c r="X521">
        <v>0</v>
      </c>
      <c r="Y521">
        <v>0</v>
      </c>
      <c r="Z521">
        <v>0</v>
      </c>
      <c r="AA521">
        <v>0</v>
      </c>
      <c r="AB521">
        <v>1</v>
      </c>
      <c r="AC521">
        <v>0</v>
      </c>
      <c r="AD521">
        <v>0</v>
      </c>
      <c r="AE521">
        <v>0</v>
      </c>
      <c r="AF521">
        <v>0</v>
      </c>
      <c r="AG521">
        <v>0</v>
      </c>
      <c r="AH521">
        <v>0</v>
      </c>
      <c r="AI521">
        <v>1</v>
      </c>
      <c r="AJ521">
        <v>0</v>
      </c>
      <c r="AK521">
        <v>0</v>
      </c>
      <c r="AL521">
        <v>0</v>
      </c>
      <c r="AM521">
        <v>0</v>
      </c>
      <c r="AN521">
        <v>0</v>
      </c>
      <c r="AO521">
        <v>0</v>
      </c>
      <c r="AP521">
        <v>0</v>
      </c>
      <c r="AQ521">
        <v>0</v>
      </c>
      <c r="AR521">
        <v>0</v>
      </c>
      <c r="AS521">
        <f t="shared" si="112"/>
        <v>3</v>
      </c>
      <c r="AT521">
        <f t="shared" si="113"/>
        <v>4</v>
      </c>
      <c r="AU521" s="3" t="s">
        <v>1819</v>
      </c>
      <c r="AV521">
        <f t="shared" si="114"/>
        <v>1</v>
      </c>
      <c r="AW521">
        <f t="shared" si="115"/>
        <v>0</v>
      </c>
      <c r="AX521">
        <f t="shared" si="116"/>
        <v>0</v>
      </c>
      <c r="AY521">
        <v>-4</v>
      </c>
      <c r="AZ521" t="s">
        <v>133</v>
      </c>
      <c r="BA521" t="s">
        <v>134</v>
      </c>
      <c r="BB521" t="s">
        <v>8</v>
      </c>
    </row>
    <row r="522" ht="185" spans="1:54">
      <c r="A522" t="s">
        <v>1820</v>
      </c>
      <c r="B522" t="s">
        <v>1041</v>
      </c>
      <c r="C522" t="s">
        <v>116</v>
      </c>
      <c r="D522">
        <v>0</v>
      </c>
      <c r="E522">
        <v>0</v>
      </c>
      <c r="F522">
        <v>46</v>
      </c>
      <c r="G522" t="s">
        <v>552</v>
      </c>
      <c r="H522" s="3" t="s">
        <v>1821</v>
      </c>
      <c r="I522" s="3" t="s">
        <v>1822</v>
      </c>
      <c r="J522">
        <f t="shared" si="104"/>
        <v>0</v>
      </c>
      <c r="K522">
        <f t="shared" si="105"/>
        <v>1</v>
      </c>
      <c r="L522">
        <f t="shared" si="106"/>
        <v>1</v>
      </c>
      <c r="M522">
        <f t="shared" si="107"/>
        <v>1</v>
      </c>
      <c r="N522">
        <f t="shared" si="108"/>
        <v>1</v>
      </c>
      <c r="O522">
        <f t="shared" si="109"/>
        <v>0</v>
      </c>
      <c r="P522">
        <f t="shared" si="110"/>
        <v>0</v>
      </c>
      <c r="Q522">
        <f t="shared" si="111"/>
        <v>0</v>
      </c>
      <c r="R522">
        <v>0</v>
      </c>
      <c r="S522">
        <v>0</v>
      </c>
      <c r="T522">
        <v>0</v>
      </c>
      <c r="U522">
        <v>1</v>
      </c>
      <c r="V522">
        <v>0</v>
      </c>
      <c r="W522">
        <v>0</v>
      </c>
      <c r="X522">
        <v>0</v>
      </c>
      <c r="Y522">
        <v>0</v>
      </c>
      <c r="Z522">
        <v>0</v>
      </c>
      <c r="AA522">
        <v>0</v>
      </c>
      <c r="AB522">
        <v>1</v>
      </c>
      <c r="AC522">
        <v>0</v>
      </c>
      <c r="AD522">
        <v>1</v>
      </c>
      <c r="AE522">
        <v>1</v>
      </c>
      <c r="AF522">
        <v>0</v>
      </c>
      <c r="AG522">
        <v>0</v>
      </c>
      <c r="AH522">
        <v>1</v>
      </c>
      <c r="AI522">
        <v>0</v>
      </c>
      <c r="AJ522">
        <v>0</v>
      </c>
      <c r="AK522">
        <v>0</v>
      </c>
      <c r="AL522">
        <v>0</v>
      </c>
      <c r="AM522">
        <v>0</v>
      </c>
      <c r="AN522">
        <v>0</v>
      </c>
      <c r="AO522">
        <v>0</v>
      </c>
      <c r="AP522">
        <v>0</v>
      </c>
      <c r="AQ522">
        <v>0</v>
      </c>
      <c r="AR522">
        <v>0</v>
      </c>
      <c r="AS522">
        <f t="shared" si="112"/>
        <v>4</v>
      </c>
      <c r="AT522">
        <f t="shared" si="113"/>
        <v>5</v>
      </c>
      <c r="AU522" s="3" t="s">
        <v>1823</v>
      </c>
      <c r="AV522">
        <f t="shared" si="114"/>
        <v>1</v>
      </c>
      <c r="AW522">
        <f t="shared" si="115"/>
        <v>0</v>
      </c>
      <c r="AX522">
        <f t="shared" si="116"/>
        <v>0</v>
      </c>
      <c r="AY522">
        <v>2</v>
      </c>
      <c r="AZ522" t="s">
        <v>60</v>
      </c>
      <c r="BA522" t="s">
        <v>61</v>
      </c>
      <c r="BB522" t="s">
        <v>8</v>
      </c>
    </row>
    <row r="523" ht="168" spans="1:54">
      <c r="A523" t="s">
        <v>1824</v>
      </c>
      <c r="B523" t="s">
        <v>1041</v>
      </c>
      <c r="C523" t="s">
        <v>56</v>
      </c>
      <c r="D523">
        <v>0</v>
      </c>
      <c r="E523">
        <v>0</v>
      </c>
      <c r="F523">
        <v>92.8</v>
      </c>
      <c r="G523" t="s">
        <v>552</v>
      </c>
      <c r="H523" s="3" t="s">
        <v>1825</v>
      </c>
      <c r="I523" s="3" t="s">
        <v>1826</v>
      </c>
      <c r="J523">
        <f t="shared" si="104"/>
        <v>0</v>
      </c>
      <c r="K523">
        <f t="shared" si="105"/>
        <v>0</v>
      </c>
      <c r="L523">
        <f t="shared" si="106"/>
        <v>0</v>
      </c>
      <c r="M523">
        <f t="shared" si="107"/>
        <v>0</v>
      </c>
      <c r="N523">
        <f t="shared" si="108"/>
        <v>0</v>
      </c>
      <c r="O523">
        <f t="shared" si="109"/>
        <v>0</v>
      </c>
      <c r="P523">
        <f t="shared" si="110"/>
        <v>0</v>
      </c>
      <c r="Q523">
        <f t="shared" si="111"/>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f t="shared" si="112"/>
        <v>0</v>
      </c>
      <c r="AT523">
        <f t="shared" si="113"/>
        <v>0</v>
      </c>
      <c r="AU523" s="3" t="s">
        <v>118</v>
      </c>
      <c r="AV523">
        <f t="shared" si="114"/>
        <v>0</v>
      </c>
      <c r="AW523">
        <f t="shared" si="115"/>
        <v>1</v>
      </c>
      <c r="AX523">
        <f t="shared" si="116"/>
        <v>0</v>
      </c>
      <c r="AY523">
        <v>0.5</v>
      </c>
      <c r="AZ523" t="s">
        <v>60</v>
      </c>
      <c r="BA523" t="s">
        <v>61</v>
      </c>
      <c r="BB523" t="s">
        <v>8</v>
      </c>
    </row>
    <row r="524" ht="17" spans="1:54">
      <c r="A524" t="s">
        <v>1827</v>
      </c>
      <c r="B524" t="s">
        <v>1041</v>
      </c>
      <c r="C524" t="s">
        <v>116</v>
      </c>
      <c r="D524">
        <v>0</v>
      </c>
      <c r="E524">
        <v>1</v>
      </c>
      <c r="F524">
        <v>15.3</v>
      </c>
      <c r="G524" t="s">
        <v>552</v>
      </c>
      <c r="H524" s="3" t="s">
        <v>1828</v>
      </c>
      <c r="I524" s="3" t="s">
        <v>1829</v>
      </c>
      <c r="J524">
        <f t="shared" si="104"/>
        <v>0</v>
      </c>
      <c r="K524">
        <f t="shared" si="105"/>
        <v>0</v>
      </c>
      <c r="L524">
        <f t="shared" si="106"/>
        <v>0</v>
      </c>
      <c r="M524">
        <f t="shared" si="107"/>
        <v>0</v>
      </c>
      <c r="N524">
        <f t="shared" si="108"/>
        <v>0</v>
      </c>
      <c r="O524">
        <f t="shared" si="109"/>
        <v>0</v>
      </c>
      <c r="P524">
        <f t="shared" si="110"/>
        <v>0</v>
      </c>
      <c r="Q524">
        <f t="shared" si="111"/>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f t="shared" si="112"/>
        <v>0</v>
      </c>
      <c r="AT524">
        <f t="shared" si="113"/>
        <v>0</v>
      </c>
      <c r="AU524" s="3" t="s">
        <v>118</v>
      </c>
      <c r="AV524">
        <f t="shared" si="114"/>
        <v>0</v>
      </c>
      <c r="AW524">
        <f t="shared" si="115"/>
        <v>1</v>
      </c>
      <c r="AX524">
        <f t="shared" si="116"/>
        <v>0</v>
      </c>
      <c r="AY524">
        <v>-1</v>
      </c>
      <c r="AZ524" t="s">
        <v>133</v>
      </c>
      <c r="BA524" t="s">
        <v>134</v>
      </c>
      <c r="BB524" t="s">
        <v>8</v>
      </c>
    </row>
    <row r="525" ht="34" spans="1:54">
      <c r="A525" t="s">
        <v>1830</v>
      </c>
      <c r="B525" t="s">
        <v>1041</v>
      </c>
      <c r="C525" t="s">
        <v>116</v>
      </c>
      <c r="D525">
        <v>0</v>
      </c>
      <c r="E525">
        <v>0</v>
      </c>
      <c r="F525">
        <v>96.8</v>
      </c>
      <c r="G525" t="s">
        <v>552</v>
      </c>
      <c r="H525" s="3" t="s">
        <v>1831</v>
      </c>
      <c r="I525" s="3" t="s">
        <v>1832</v>
      </c>
      <c r="J525">
        <f t="shared" si="104"/>
        <v>0</v>
      </c>
      <c r="K525">
        <f t="shared" si="105"/>
        <v>1</v>
      </c>
      <c r="L525">
        <f t="shared" si="106"/>
        <v>1</v>
      </c>
      <c r="M525">
        <f t="shared" si="107"/>
        <v>0</v>
      </c>
      <c r="N525">
        <f t="shared" si="108"/>
        <v>0</v>
      </c>
      <c r="O525">
        <f t="shared" si="109"/>
        <v>0</v>
      </c>
      <c r="P525">
        <f t="shared" si="110"/>
        <v>0</v>
      </c>
      <c r="Q525">
        <f t="shared" si="111"/>
        <v>0</v>
      </c>
      <c r="R525">
        <v>0</v>
      </c>
      <c r="S525">
        <v>0</v>
      </c>
      <c r="T525">
        <v>0</v>
      </c>
      <c r="U525">
        <v>0</v>
      </c>
      <c r="V525">
        <v>1</v>
      </c>
      <c r="W525">
        <v>0</v>
      </c>
      <c r="X525">
        <v>0</v>
      </c>
      <c r="Y525">
        <v>0</v>
      </c>
      <c r="Z525">
        <v>0</v>
      </c>
      <c r="AA525">
        <v>0</v>
      </c>
      <c r="AB525">
        <v>1</v>
      </c>
      <c r="AC525">
        <v>0</v>
      </c>
      <c r="AD525">
        <v>0</v>
      </c>
      <c r="AE525">
        <v>0</v>
      </c>
      <c r="AF525">
        <v>0</v>
      </c>
      <c r="AG525">
        <v>0</v>
      </c>
      <c r="AH525">
        <v>0</v>
      </c>
      <c r="AI525">
        <v>0</v>
      </c>
      <c r="AJ525">
        <v>0</v>
      </c>
      <c r="AK525">
        <v>0</v>
      </c>
      <c r="AL525">
        <v>0</v>
      </c>
      <c r="AM525">
        <v>0</v>
      </c>
      <c r="AN525">
        <v>0</v>
      </c>
      <c r="AO525">
        <v>0</v>
      </c>
      <c r="AP525">
        <v>0</v>
      </c>
      <c r="AQ525">
        <v>0</v>
      </c>
      <c r="AR525">
        <v>0</v>
      </c>
      <c r="AS525">
        <f t="shared" si="112"/>
        <v>2</v>
      </c>
      <c r="AT525">
        <f t="shared" si="113"/>
        <v>2</v>
      </c>
      <c r="AU525" s="3" t="s">
        <v>1833</v>
      </c>
      <c r="AV525">
        <f t="shared" si="114"/>
        <v>1</v>
      </c>
      <c r="AW525">
        <f t="shared" si="115"/>
        <v>0</v>
      </c>
      <c r="AX525">
        <f t="shared" si="116"/>
        <v>0</v>
      </c>
      <c r="AY525">
        <v>1.5</v>
      </c>
      <c r="AZ525" t="s">
        <v>60</v>
      </c>
      <c r="BA525" t="s">
        <v>61</v>
      </c>
      <c r="BB525" t="s">
        <v>8</v>
      </c>
    </row>
    <row r="526" ht="409.5" spans="1:54">
      <c r="A526" t="s">
        <v>1834</v>
      </c>
      <c r="B526" t="s">
        <v>1041</v>
      </c>
      <c r="C526" t="s">
        <v>56</v>
      </c>
      <c r="D526">
        <v>0</v>
      </c>
      <c r="E526">
        <v>0</v>
      </c>
      <c r="F526">
        <v>40.3</v>
      </c>
      <c r="G526" t="s">
        <v>556</v>
      </c>
      <c r="H526" s="3" t="s">
        <v>1835</v>
      </c>
      <c r="I526" s="3" t="s">
        <v>1836</v>
      </c>
      <c r="J526">
        <f t="shared" si="104"/>
        <v>0</v>
      </c>
      <c r="K526">
        <f t="shared" si="105"/>
        <v>0</v>
      </c>
      <c r="L526">
        <f t="shared" si="106"/>
        <v>0</v>
      </c>
      <c r="M526">
        <f t="shared" si="107"/>
        <v>0</v>
      </c>
      <c r="N526">
        <f t="shared" si="108"/>
        <v>1</v>
      </c>
      <c r="O526">
        <f t="shared" si="109"/>
        <v>0</v>
      </c>
      <c r="P526">
        <f t="shared" si="110"/>
        <v>0</v>
      </c>
      <c r="Q526">
        <f t="shared" si="111"/>
        <v>0</v>
      </c>
      <c r="R526">
        <v>0</v>
      </c>
      <c r="S526">
        <v>0</v>
      </c>
      <c r="T526">
        <v>0</v>
      </c>
      <c r="U526">
        <v>0</v>
      </c>
      <c r="V526">
        <v>0</v>
      </c>
      <c r="W526">
        <v>0</v>
      </c>
      <c r="X526">
        <v>0</v>
      </c>
      <c r="Y526">
        <v>0</v>
      </c>
      <c r="Z526">
        <v>0</v>
      </c>
      <c r="AA526">
        <v>0</v>
      </c>
      <c r="AB526">
        <v>0</v>
      </c>
      <c r="AC526">
        <v>0</v>
      </c>
      <c r="AD526">
        <v>0</v>
      </c>
      <c r="AE526">
        <v>0</v>
      </c>
      <c r="AF526">
        <v>0</v>
      </c>
      <c r="AG526">
        <v>0</v>
      </c>
      <c r="AH526">
        <v>1</v>
      </c>
      <c r="AI526">
        <v>0</v>
      </c>
      <c r="AJ526">
        <v>0</v>
      </c>
      <c r="AK526">
        <v>0</v>
      </c>
      <c r="AL526">
        <v>0</v>
      </c>
      <c r="AM526">
        <v>0</v>
      </c>
      <c r="AN526">
        <v>0</v>
      </c>
      <c r="AO526">
        <v>0</v>
      </c>
      <c r="AP526">
        <v>0</v>
      </c>
      <c r="AQ526">
        <v>0</v>
      </c>
      <c r="AR526">
        <v>0</v>
      </c>
      <c r="AS526">
        <f t="shared" si="112"/>
        <v>1</v>
      </c>
      <c r="AT526">
        <f t="shared" si="113"/>
        <v>1</v>
      </c>
      <c r="AU526" s="3" t="s">
        <v>129</v>
      </c>
      <c r="AV526">
        <f t="shared" si="114"/>
        <v>1</v>
      </c>
      <c r="AW526">
        <f t="shared" si="115"/>
        <v>0</v>
      </c>
      <c r="AX526">
        <f t="shared" si="116"/>
        <v>0</v>
      </c>
      <c r="AY526">
        <v>6</v>
      </c>
      <c r="AZ526" t="s">
        <v>60</v>
      </c>
      <c r="BA526" t="s">
        <v>61</v>
      </c>
      <c r="BB526" t="s">
        <v>8</v>
      </c>
    </row>
    <row r="527" ht="152" spans="1:54">
      <c r="A527" t="s">
        <v>1837</v>
      </c>
      <c r="B527" t="s">
        <v>1041</v>
      </c>
      <c r="C527" t="s">
        <v>56</v>
      </c>
      <c r="D527">
        <v>0</v>
      </c>
      <c r="E527">
        <v>0</v>
      </c>
      <c r="F527">
        <v>69.8</v>
      </c>
      <c r="G527" t="s">
        <v>556</v>
      </c>
      <c r="H527" s="3" t="s">
        <v>1838</v>
      </c>
      <c r="I527" s="3" t="s">
        <v>1839</v>
      </c>
      <c r="J527">
        <f t="shared" si="104"/>
        <v>0</v>
      </c>
      <c r="K527">
        <f t="shared" si="105"/>
        <v>1</v>
      </c>
      <c r="L527">
        <f t="shared" si="106"/>
        <v>1</v>
      </c>
      <c r="M527">
        <f t="shared" si="107"/>
        <v>0</v>
      </c>
      <c r="N527">
        <f t="shared" si="108"/>
        <v>1</v>
      </c>
      <c r="O527">
        <f t="shared" si="109"/>
        <v>0</v>
      </c>
      <c r="P527">
        <f t="shared" si="110"/>
        <v>0</v>
      </c>
      <c r="Q527">
        <f t="shared" si="111"/>
        <v>0</v>
      </c>
      <c r="R527">
        <v>0</v>
      </c>
      <c r="S527">
        <v>0</v>
      </c>
      <c r="T527">
        <v>0</v>
      </c>
      <c r="U527">
        <v>0</v>
      </c>
      <c r="V527">
        <v>1</v>
      </c>
      <c r="W527">
        <v>0</v>
      </c>
      <c r="X527">
        <v>0</v>
      </c>
      <c r="Y527">
        <v>0</v>
      </c>
      <c r="Z527">
        <v>1</v>
      </c>
      <c r="AA527">
        <v>0</v>
      </c>
      <c r="AB527">
        <v>1</v>
      </c>
      <c r="AC527">
        <v>0</v>
      </c>
      <c r="AD527">
        <v>0</v>
      </c>
      <c r="AE527">
        <v>0</v>
      </c>
      <c r="AF527">
        <v>0</v>
      </c>
      <c r="AG527">
        <v>0</v>
      </c>
      <c r="AH527">
        <v>1</v>
      </c>
      <c r="AI527">
        <v>0</v>
      </c>
      <c r="AJ527">
        <v>0</v>
      </c>
      <c r="AK527">
        <v>0</v>
      </c>
      <c r="AL527">
        <v>0</v>
      </c>
      <c r="AM527">
        <v>0</v>
      </c>
      <c r="AN527">
        <v>0</v>
      </c>
      <c r="AO527">
        <v>0</v>
      </c>
      <c r="AP527">
        <v>0</v>
      </c>
      <c r="AQ527">
        <v>0</v>
      </c>
      <c r="AR527">
        <v>0</v>
      </c>
      <c r="AS527">
        <f t="shared" si="112"/>
        <v>3</v>
      </c>
      <c r="AT527">
        <f t="shared" si="113"/>
        <v>4</v>
      </c>
      <c r="AU527" s="3" t="s">
        <v>1758</v>
      </c>
      <c r="AV527">
        <f t="shared" si="114"/>
        <v>1</v>
      </c>
      <c r="AW527">
        <f t="shared" si="115"/>
        <v>0</v>
      </c>
      <c r="AX527">
        <f t="shared" si="116"/>
        <v>0</v>
      </c>
      <c r="AY527">
        <v>2</v>
      </c>
      <c r="AZ527" t="s">
        <v>60</v>
      </c>
      <c r="BA527" t="s">
        <v>61</v>
      </c>
      <c r="BB527" t="s">
        <v>8</v>
      </c>
    </row>
    <row r="528" ht="17" spans="1:54">
      <c r="A528" t="s">
        <v>1840</v>
      </c>
      <c r="B528" t="s">
        <v>1041</v>
      </c>
      <c r="C528" t="s">
        <v>56</v>
      </c>
      <c r="D528">
        <v>0</v>
      </c>
      <c r="E528">
        <v>0</v>
      </c>
      <c r="F528">
        <v>28.2</v>
      </c>
      <c r="G528" t="s">
        <v>1841</v>
      </c>
      <c r="H528" s="3" t="s">
        <v>1842</v>
      </c>
      <c r="I528" s="3" t="s">
        <v>1843</v>
      </c>
      <c r="J528">
        <f t="shared" si="104"/>
        <v>0</v>
      </c>
      <c r="K528">
        <f t="shared" si="105"/>
        <v>0</v>
      </c>
      <c r="L528">
        <f t="shared" si="106"/>
        <v>0</v>
      </c>
      <c r="M528">
        <f t="shared" si="107"/>
        <v>0</v>
      </c>
      <c r="N528">
        <f t="shared" si="108"/>
        <v>0</v>
      </c>
      <c r="O528">
        <f t="shared" si="109"/>
        <v>0</v>
      </c>
      <c r="P528">
        <f t="shared" si="110"/>
        <v>0</v>
      </c>
      <c r="Q528">
        <f t="shared" si="111"/>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f t="shared" si="112"/>
        <v>0</v>
      </c>
      <c r="AT528">
        <f t="shared" si="113"/>
        <v>0</v>
      </c>
      <c r="AU528" s="3" t="s">
        <v>118</v>
      </c>
      <c r="AV528">
        <f t="shared" si="114"/>
        <v>0</v>
      </c>
      <c r="AW528">
        <f t="shared" si="115"/>
        <v>1</v>
      </c>
      <c r="AX528">
        <f t="shared" si="116"/>
        <v>0</v>
      </c>
      <c r="AY528">
        <v>1</v>
      </c>
      <c r="AZ528" t="s">
        <v>60</v>
      </c>
      <c r="BA528" t="s">
        <v>61</v>
      </c>
      <c r="BB528" t="s">
        <v>8</v>
      </c>
    </row>
    <row r="529" ht="17" spans="1:54">
      <c r="A529" t="s">
        <v>1844</v>
      </c>
      <c r="B529" t="s">
        <v>1041</v>
      </c>
      <c r="C529" t="s">
        <v>56</v>
      </c>
      <c r="D529">
        <v>0</v>
      </c>
      <c r="E529">
        <v>0</v>
      </c>
      <c r="F529">
        <v>90.9</v>
      </c>
      <c r="G529" t="s">
        <v>559</v>
      </c>
      <c r="H529" s="3" t="s">
        <v>1845</v>
      </c>
      <c r="I529" s="3" t="s">
        <v>1846</v>
      </c>
      <c r="J529">
        <f t="shared" si="104"/>
        <v>0</v>
      </c>
      <c r="K529">
        <f t="shared" si="105"/>
        <v>0</v>
      </c>
      <c r="L529">
        <f t="shared" si="106"/>
        <v>0</v>
      </c>
      <c r="M529">
        <f t="shared" si="107"/>
        <v>0</v>
      </c>
      <c r="N529">
        <f t="shared" si="108"/>
        <v>1</v>
      </c>
      <c r="O529">
        <f t="shared" si="109"/>
        <v>0</v>
      </c>
      <c r="P529">
        <f t="shared" si="110"/>
        <v>0</v>
      </c>
      <c r="Q529">
        <f t="shared" si="111"/>
        <v>0</v>
      </c>
      <c r="R529">
        <v>0</v>
      </c>
      <c r="S529">
        <v>0</v>
      </c>
      <c r="T529">
        <v>0</v>
      </c>
      <c r="U529">
        <v>0</v>
      </c>
      <c r="V529">
        <v>0</v>
      </c>
      <c r="W529">
        <v>0</v>
      </c>
      <c r="X529">
        <v>0</v>
      </c>
      <c r="Y529">
        <v>0</v>
      </c>
      <c r="Z529">
        <v>0</v>
      </c>
      <c r="AA529">
        <v>0</v>
      </c>
      <c r="AB529">
        <v>0</v>
      </c>
      <c r="AC529">
        <v>0</v>
      </c>
      <c r="AD529">
        <v>0</v>
      </c>
      <c r="AE529">
        <v>0</v>
      </c>
      <c r="AF529">
        <v>0</v>
      </c>
      <c r="AG529">
        <v>0</v>
      </c>
      <c r="AH529">
        <v>1</v>
      </c>
      <c r="AI529">
        <v>0</v>
      </c>
      <c r="AJ529">
        <v>0</v>
      </c>
      <c r="AK529">
        <v>0</v>
      </c>
      <c r="AL529">
        <v>0</v>
      </c>
      <c r="AM529">
        <v>0</v>
      </c>
      <c r="AN529">
        <v>0</v>
      </c>
      <c r="AO529">
        <v>0</v>
      </c>
      <c r="AP529">
        <v>0</v>
      </c>
      <c r="AQ529">
        <v>0</v>
      </c>
      <c r="AR529">
        <v>0</v>
      </c>
      <c r="AS529">
        <f t="shared" si="112"/>
        <v>1</v>
      </c>
      <c r="AT529">
        <f t="shared" si="113"/>
        <v>1</v>
      </c>
      <c r="AU529" s="3" t="s">
        <v>129</v>
      </c>
      <c r="AV529">
        <f t="shared" si="114"/>
        <v>1</v>
      </c>
      <c r="AW529">
        <f t="shared" si="115"/>
        <v>0</v>
      </c>
      <c r="AX529">
        <f t="shared" si="116"/>
        <v>0</v>
      </c>
      <c r="AY529">
        <v>1.5</v>
      </c>
      <c r="AZ529" t="s">
        <v>60</v>
      </c>
      <c r="BA529" t="s">
        <v>61</v>
      </c>
      <c r="BB529" t="s">
        <v>8</v>
      </c>
    </row>
    <row r="530" ht="17" spans="1:54">
      <c r="A530" t="s">
        <v>1847</v>
      </c>
      <c r="B530" t="s">
        <v>1041</v>
      </c>
      <c r="C530" t="s">
        <v>56</v>
      </c>
      <c r="D530">
        <v>0</v>
      </c>
      <c r="E530">
        <v>0</v>
      </c>
      <c r="F530">
        <v>71.2</v>
      </c>
      <c r="G530" t="s">
        <v>559</v>
      </c>
      <c r="H530" s="3" t="s">
        <v>1848</v>
      </c>
      <c r="I530" s="3" t="s">
        <v>1849</v>
      </c>
      <c r="J530">
        <f t="shared" si="104"/>
        <v>0</v>
      </c>
      <c r="K530">
        <f t="shared" si="105"/>
        <v>0</v>
      </c>
      <c r="L530">
        <f t="shared" si="106"/>
        <v>0</v>
      </c>
      <c r="M530">
        <f t="shared" si="107"/>
        <v>0</v>
      </c>
      <c r="N530">
        <f t="shared" si="108"/>
        <v>0</v>
      </c>
      <c r="O530">
        <f t="shared" si="109"/>
        <v>0</v>
      </c>
      <c r="P530">
        <f t="shared" si="110"/>
        <v>0</v>
      </c>
      <c r="Q530">
        <f t="shared" si="111"/>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f t="shared" si="112"/>
        <v>0</v>
      </c>
      <c r="AT530">
        <f t="shared" si="113"/>
        <v>0</v>
      </c>
      <c r="AU530" s="3" t="s">
        <v>118</v>
      </c>
      <c r="AV530">
        <f t="shared" si="114"/>
        <v>0</v>
      </c>
      <c r="AW530">
        <f t="shared" si="115"/>
        <v>1</v>
      </c>
      <c r="AX530">
        <f t="shared" si="116"/>
        <v>0</v>
      </c>
      <c r="AY530">
        <v>1</v>
      </c>
      <c r="AZ530" t="s">
        <v>60</v>
      </c>
      <c r="BA530" t="s">
        <v>61</v>
      </c>
      <c r="BB530" t="s">
        <v>8</v>
      </c>
    </row>
    <row r="531" ht="152" spans="1:54">
      <c r="A531" t="s">
        <v>1850</v>
      </c>
      <c r="B531" t="s">
        <v>1041</v>
      </c>
      <c r="C531" t="s">
        <v>116</v>
      </c>
      <c r="D531">
        <v>12</v>
      </c>
      <c r="E531">
        <v>1</v>
      </c>
      <c r="F531">
        <v>13.7</v>
      </c>
      <c r="G531" t="s">
        <v>1851</v>
      </c>
      <c r="H531" s="3" t="s">
        <v>1852</v>
      </c>
      <c r="I531" s="3" t="s">
        <v>1853</v>
      </c>
      <c r="J531">
        <f t="shared" si="104"/>
        <v>0</v>
      </c>
      <c r="K531">
        <f t="shared" si="105"/>
        <v>0</v>
      </c>
      <c r="L531">
        <f t="shared" si="106"/>
        <v>0</v>
      </c>
      <c r="M531">
        <f t="shared" si="107"/>
        <v>0</v>
      </c>
      <c r="N531">
        <f t="shared" si="108"/>
        <v>1</v>
      </c>
      <c r="O531">
        <f t="shared" si="109"/>
        <v>0</v>
      </c>
      <c r="P531">
        <f t="shared" si="110"/>
        <v>0</v>
      </c>
      <c r="Q531">
        <f t="shared" si="111"/>
        <v>0</v>
      </c>
      <c r="R531">
        <v>0</v>
      </c>
      <c r="S531">
        <v>0</v>
      </c>
      <c r="T531">
        <v>0</v>
      </c>
      <c r="U531">
        <v>0</v>
      </c>
      <c r="V531">
        <v>0</v>
      </c>
      <c r="W531">
        <v>0</v>
      </c>
      <c r="X531">
        <v>0</v>
      </c>
      <c r="Y531">
        <v>0</v>
      </c>
      <c r="Z531">
        <v>0</v>
      </c>
      <c r="AA531">
        <v>0</v>
      </c>
      <c r="AB531">
        <v>0</v>
      </c>
      <c r="AC531">
        <v>0</v>
      </c>
      <c r="AD531">
        <v>0</v>
      </c>
      <c r="AE531">
        <v>0</v>
      </c>
      <c r="AF531">
        <v>0</v>
      </c>
      <c r="AG531">
        <v>0</v>
      </c>
      <c r="AH531">
        <v>1</v>
      </c>
      <c r="AI531">
        <v>0</v>
      </c>
      <c r="AJ531">
        <v>0</v>
      </c>
      <c r="AK531">
        <v>0</v>
      </c>
      <c r="AL531">
        <v>0</v>
      </c>
      <c r="AM531">
        <v>0</v>
      </c>
      <c r="AN531">
        <v>0</v>
      </c>
      <c r="AO531">
        <v>0</v>
      </c>
      <c r="AP531">
        <v>0</v>
      </c>
      <c r="AQ531">
        <v>0</v>
      </c>
      <c r="AR531">
        <v>0</v>
      </c>
      <c r="AS531">
        <f t="shared" si="112"/>
        <v>1</v>
      </c>
      <c r="AT531">
        <f t="shared" si="113"/>
        <v>1</v>
      </c>
      <c r="AU531" s="3" t="s">
        <v>129</v>
      </c>
      <c r="AV531">
        <f t="shared" si="114"/>
        <v>1</v>
      </c>
      <c r="AW531">
        <f t="shared" si="115"/>
        <v>0</v>
      </c>
      <c r="AX531">
        <f t="shared" si="116"/>
        <v>0</v>
      </c>
      <c r="AY531">
        <v>1</v>
      </c>
      <c r="AZ531" t="s">
        <v>60</v>
      </c>
      <c r="BA531" t="s">
        <v>61</v>
      </c>
      <c r="BB531" t="s">
        <v>8</v>
      </c>
    </row>
    <row r="532" ht="409.5" spans="1:54">
      <c r="A532" t="s">
        <v>1854</v>
      </c>
      <c r="B532" t="s">
        <v>1041</v>
      </c>
      <c r="C532" t="s">
        <v>56</v>
      </c>
      <c r="D532">
        <v>0</v>
      </c>
      <c r="E532">
        <v>0</v>
      </c>
      <c r="F532">
        <v>88.4</v>
      </c>
      <c r="G532" t="s">
        <v>1855</v>
      </c>
      <c r="H532" s="3" t="s">
        <v>1856</v>
      </c>
      <c r="I532" s="3" t="s">
        <v>1857</v>
      </c>
      <c r="J532">
        <f t="shared" si="104"/>
        <v>1</v>
      </c>
      <c r="K532">
        <f t="shared" si="105"/>
        <v>0</v>
      </c>
      <c r="L532">
        <f t="shared" si="106"/>
        <v>0</v>
      </c>
      <c r="M532">
        <f t="shared" si="107"/>
        <v>0</v>
      </c>
      <c r="N532">
        <f t="shared" si="108"/>
        <v>1</v>
      </c>
      <c r="O532">
        <f t="shared" si="109"/>
        <v>1</v>
      </c>
      <c r="P532">
        <f t="shared" si="110"/>
        <v>1</v>
      </c>
      <c r="Q532">
        <f t="shared" si="111"/>
        <v>0</v>
      </c>
      <c r="R532">
        <v>1</v>
      </c>
      <c r="S532">
        <v>0</v>
      </c>
      <c r="T532">
        <v>0</v>
      </c>
      <c r="U532">
        <v>0</v>
      </c>
      <c r="V532">
        <v>0</v>
      </c>
      <c r="W532">
        <v>0</v>
      </c>
      <c r="X532">
        <v>0</v>
      </c>
      <c r="Y532">
        <v>0</v>
      </c>
      <c r="Z532">
        <v>0</v>
      </c>
      <c r="AA532">
        <v>0</v>
      </c>
      <c r="AB532">
        <v>0</v>
      </c>
      <c r="AC532">
        <v>0</v>
      </c>
      <c r="AD532">
        <v>0</v>
      </c>
      <c r="AE532">
        <v>0</v>
      </c>
      <c r="AF532">
        <v>0</v>
      </c>
      <c r="AG532">
        <v>0</v>
      </c>
      <c r="AH532">
        <v>1</v>
      </c>
      <c r="AI532">
        <v>0</v>
      </c>
      <c r="AJ532">
        <v>0</v>
      </c>
      <c r="AK532">
        <v>0</v>
      </c>
      <c r="AL532">
        <v>1</v>
      </c>
      <c r="AM532">
        <v>0</v>
      </c>
      <c r="AN532">
        <v>0</v>
      </c>
      <c r="AO532">
        <v>0</v>
      </c>
      <c r="AP532">
        <v>1</v>
      </c>
      <c r="AQ532">
        <v>0</v>
      </c>
      <c r="AR532">
        <v>0</v>
      </c>
      <c r="AS532">
        <f t="shared" si="112"/>
        <v>4</v>
      </c>
      <c r="AT532">
        <f t="shared" si="113"/>
        <v>4</v>
      </c>
      <c r="AU532" s="3" t="s">
        <v>1858</v>
      </c>
      <c r="AV532">
        <f t="shared" si="114"/>
        <v>1</v>
      </c>
      <c r="AW532">
        <f t="shared" si="115"/>
        <v>0</v>
      </c>
      <c r="AX532">
        <f t="shared" si="116"/>
        <v>0</v>
      </c>
      <c r="AY532">
        <v>4</v>
      </c>
      <c r="AZ532" t="s">
        <v>60</v>
      </c>
      <c r="BA532" t="s">
        <v>61</v>
      </c>
      <c r="BB532" t="s">
        <v>8</v>
      </c>
    </row>
    <row r="533" ht="118" spans="1:54">
      <c r="A533" t="s">
        <v>1859</v>
      </c>
      <c r="B533" t="s">
        <v>1041</v>
      </c>
      <c r="C533" t="s">
        <v>56</v>
      </c>
      <c r="D533">
        <v>0</v>
      </c>
      <c r="E533">
        <v>0</v>
      </c>
      <c r="F533">
        <v>28.8</v>
      </c>
      <c r="G533" t="s">
        <v>1855</v>
      </c>
      <c r="H533" s="3" t="s">
        <v>1860</v>
      </c>
      <c r="I533" s="3" t="s">
        <v>1860</v>
      </c>
      <c r="J533">
        <f t="shared" si="104"/>
        <v>1</v>
      </c>
      <c r="K533">
        <f t="shared" si="105"/>
        <v>1</v>
      </c>
      <c r="L533">
        <f t="shared" si="106"/>
        <v>1</v>
      </c>
      <c r="M533">
        <f t="shared" si="107"/>
        <v>0</v>
      </c>
      <c r="N533">
        <f t="shared" si="108"/>
        <v>0</v>
      </c>
      <c r="O533">
        <f t="shared" si="109"/>
        <v>0</v>
      </c>
      <c r="P533">
        <f t="shared" si="110"/>
        <v>1</v>
      </c>
      <c r="Q533">
        <f t="shared" si="111"/>
        <v>0</v>
      </c>
      <c r="R533">
        <v>1</v>
      </c>
      <c r="S533">
        <v>1</v>
      </c>
      <c r="T533">
        <v>0</v>
      </c>
      <c r="U533">
        <v>1</v>
      </c>
      <c r="V533">
        <v>1</v>
      </c>
      <c r="W533">
        <v>0</v>
      </c>
      <c r="X533">
        <v>0</v>
      </c>
      <c r="Y533">
        <v>0</v>
      </c>
      <c r="Z533">
        <v>1</v>
      </c>
      <c r="AA533">
        <v>1</v>
      </c>
      <c r="AB533">
        <v>0</v>
      </c>
      <c r="AC533">
        <v>1</v>
      </c>
      <c r="AD533">
        <v>0</v>
      </c>
      <c r="AE533">
        <v>0</v>
      </c>
      <c r="AF533">
        <v>0</v>
      </c>
      <c r="AG533">
        <v>0</v>
      </c>
      <c r="AH533">
        <v>0</v>
      </c>
      <c r="AI533">
        <v>0</v>
      </c>
      <c r="AJ533">
        <v>0</v>
      </c>
      <c r="AK533">
        <v>0</v>
      </c>
      <c r="AL533">
        <v>0</v>
      </c>
      <c r="AM533">
        <v>0</v>
      </c>
      <c r="AN533">
        <v>0</v>
      </c>
      <c r="AO533">
        <v>0</v>
      </c>
      <c r="AP533">
        <v>1</v>
      </c>
      <c r="AQ533">
        <v>0</v>
      </c>
      <c r="AR533">
        <v>0</v>
      </c>
      <c r="AS533">
        <f t="shared" si="112"/>
        <v>4</v>
      </c>
      <c r="AT533">
        <f t="shared" si="113"/>
        <v>8</v>
      </c>
      <c r="AU533" s="3" t="s">
        <v>1861</v>
      </c>
      <c r="AV533">
        <f t="shared" si="114"/>
        <v>1</v>
      </c>
      <c r="AW533">
        <f t="shared" si="115"/>
        <v>0</v>
      </c>
      <c r="AX533">
        <f t="shared" si="116"/>
        <v>1</v>
      </c>
      <c r="AY533">
        <v>7.5</v>
      </c>
      <c r="AZ533" t="s">
        <v>60</v>
      </c>
      <c r="BA533" t="s">
        <v>61</v>
      </c>
      <c r="BB533" t="s">
        <v>8</v>
      </c>
    </row>
    <row r="534" ht="34" spans="1:54">
      <c r="A534" t="s">
        <v>1862</v>
      </c>
      <c r="B534" t="s">
        <v>1041</v>
      </c>
      <c r="C534" t="s">
        <v>56</v>
      </c>
      <c r="D534">
        <v>0</v>
      </c>
      <c r="E534">
        <v>0</v>
      </c>
      <c r="F534">
        <v>28.8</v>
      </c>
      <c r="G534" t="s">
        <v>562</v>
      </c>
      <c r="H534" s="3" t="s">
        <v>1863</v>
      </c>
      <c r="I534" s="3" t="s">
        <v>1864</v>
      </c>
      <c r="J534">
        <f t="shared" si="104"/>
        <v>0</v>
      </c>
      <c r="K534">
        <f t="shared" si="105"/>
        <v>0</v>
      </c>
      <c r="L534">
        <f t="shared" si="106"/>
        <v>0</v>
      </c>
      <c r="M534">
        <f t="shared" si="107"/>
        <v>0</v>
      </c>
      <c r="N534">
        <f t="shared" si="108"/>
        <v>0</v>
      </c>
      <c r="O534">
        <f t="shared" si="109"/>
        <v>0</v>
      </c>
      <c r="P534">
        <f t="shared" si="110"/>
        <v>0</v>
      </c>
      <c r="Q534">
        <f t="shared" si="111"/>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f t="shared" si="112"/>
        <v>0</v>
      </c>
      <c r="AT534">
        <f t="shared" si="113"/>
        <v>0</v>
      </c>
      <c r="AU534" s="3" t="s">
        <v>118</v>
      </c>
      <c r="AV534">
        <f t="shared" si="114"/>
        <v>0</v>
      </c>
      <c r="AW534">
        <f t="shared" si="115"/>
        <v>1</v>
      </c>
      <c r="AX534">
        <f t="shared" si="116"/>
        <v>0</v>
      </c>
      <c r="AY534">
        <v>3</v>
      </c>
      <c r="AZ534" t="s">
        <v>60</v>
      </c>
      <c r="BA534" t="s">
        <v>61</v>
      </c>
      <c r="BB534" t="s">
        <v>8</v>
      </c>
    </row>
    <row r="535" ht="152" spans="1:54">
      <c r="A535" t="s">
        <v>1865</v>
      </c>
      <c r="B535" t="s">
        <v>1041</v>
      </c>
      <c r="C535" t="s">
        <v>56</v>
      </c>
      <c r="D535">
        <v>8</v>
      </c>
      <c r="E535">
        <v>0</v>
      </c>
      <c r="F535">
        <v>108.7</v>
      </c>
      <c r="G535" t="s">
        <v>562</v>
      </c>
      <c r="H535" s="3" t="s">
        <v>1866</v>
      </c>
      <c r="I535" s="3" t="s">
        <v>1867</v>
      </c>
      <c r="J535">
        <f t="shared" si="104"/>
        <v>0</v>
      </c>
      <c r="K535">
        <f t="shared" si="105"/>
        <v>1</v>
      </c>
      <c r="L535">
        <f t="shared" si="106"/>
        <v>0</v>
      </c>
      <c r="M535">
        <f t="shared" si="107"/>
        <v>0</v>
      </c>
      <c r="N535">
        <f t="shared" si="108"/>
        <v>1</v>
      </c>
      <c r="O535">
        <f t="shared" si="109"/>
        <v>1</v>
      </c>
      <c r="P535">
        <f t="shared" si="110"/>
        <v>0</v>
      </c>
      <c r="Q535">
        <f t="shared" si="111"/>
        <v>0</v>
      </c>
      <c r="R535">
        <v>0</v>
      </c>
      <c r="S535">
        <v>0</v>
      </c>
      <c r="T535">
        <v>0</v>
      </c>
      <c r="U535">
        <v>1</v>
      </c>
      <c r="V535">
        <v>0</v>
      </c>
      <c r="W535">
        <v>1</v>
      </c>
      <c r="X535">
        <v>0</v>
      </c>
      <c r="Y535">
        <v>0</v>
      </c>
      <c r="Z535">
        <v>0</v>
      </c>
      <c r="AA535">
        <v>0</v>
      </c>
      <c r="AB535">
        <v>0</v>
      </c>
      <c r="AC535">
        <v>0</v>
      </c>
      <c r="AD535">
        <v>0</v>
      </c>
      <c r="AE535">
        <v>0</v>
      </c>
      <c r="AF535">
        <v>0</v>
      </c>
      <c r="AG535">
        <v>1</v>
      </c>
      <c r="AH535">
        <v>0</v>
      </c>
      <c r="AI535">
        <v>1</v>
      </c>
      <c r="AJ535">
        <v>0</v>
      </c>
      <c r="AK535">
        <v>0</v>
      </c>
      <c r="AL535">
        <v>0</v>
      </c>
      <c r="AM535">
        <v>0</v>
      </c>
      <c r="AN535">
        <v>0</v>
      </c>
      <c r="AO535">
        <v>0</v>
      </c>
      <c r="AP535">
        <v>0</v>
      </c>
      <c r="AQ535">
        <v>0</v>
      </c>
      <c r="AR535">
        <v>0</v>
      </c>
      <c r="AS535">
        <f t="shared" si="112"/>
        <v>3</v>
      </c>
      <c r="AT535">
        <f t="shared" si="113"/>
        <v>4</v>
      </c>
      <c r="AU535" s="3" t="s">
        <v>1868</v>
      </c>
      <c r="AV535">
        <f t="shared" si="114"/>
        <v>1</v>
      </c>
      <c r="AW535">
        <f t="shared" si="115"/>
        <v>0</v>
      </c>
      <c r="AX535">
        <f t="shared" si="116"/>
        <v>0</v>
      </c>
      <c r="AY535">
        <v>7</v>
      </c>
      <c r="AZ535" t="s">
        <v>60</v>
      </c>
      <c r="BA535" t="s">
        <v>61</v>
      </c>
      <c r="BB535" t="s">
        <v>8</v>
      </c>
    </row>
    <row r="536" ht="17" spans="1:54">
      <c r="A536" t="s">
        <v>1869</v>
      </c>
      <c r="B536" t="s">
        <v>1041</v>
      </c>
      <c r="C536" t="s">
        <v>56</v>
      </c>
      <c r="D536">
        <v>0</v>
      </c>
      <c r="E536">
        <v>1</v>
      </c>
      <c r="F536">
        <v>53.6</v>
      </c>
      <c r="G536" t="s">
        <v>1870</v>
      </c>
      <c r="H536" s="3" t="s">
        <v>1871</v>
      </c>
      <c r="I536" s="3" t="s">
        <v>1872</v>
      </c>
      <c r="J536">
        <f t="shared" si="104"/>
        <v>0</v>
      </c>
      <c r="K536">
        <f t="shared" si="105"/>
        <v>1</v>
      </c>
      <c r="L536">
        <f t="shared" si="106"/>
        <v>0</v>
      </c>
      <c r="M536">
        <f t="shared" si="107"/>
        <v>0</v>
      </c>
      <c r="N536">
        <f t="shared" si="108"/>
        <v>1</v>
      </c>
      <c r="O536">
        <f t="shared" si="109"/>
        <v>0</v>
      </c>
      <c r="P536">
        <f t="shared" si="110"/>
        <v>0</v>
      </c>
      <c r="Q536">
        <f t="shared" si="111"/>
        <v>0</v>
      </c>
      <c r="R536">
        <v>0</v>
      </c>
      <c r="S536">
        <v>0</v>
      </c>
      <c r="T536">
        <v>0</v>
      </c>
      <c r="U536">
        <v>0</v>
      </c>
      <c r="V536">
        <v>1</v>
      </c>
      <c r="W536">
        <v>0</v>
      </c>
      <c r="X536">
        <v>0</v>
      </c>
      <c r="Y536">
        <v>0</v>
      </c>
      <c r="Z536">
        <v>0</v>
      </c>
      <c r="AA536">
        <v>0</v>
      </c>
      <c r="AB536">
        <v>0</v>
      </c>
      <c r="AC536">
        <v>0</v>
      </c>
      <c r="AD536">
        <v>0</v>
      </c>
      <c r="AE536">
        <v>0</v>
      </c>
      <c r="AF536">
        <v>0</v>
      </c>
      <c r="AG536">
        <v>0</v>
      </c>
      <c r="AH536">
        <v>1</v>
      </c>
      <c r="AI536">
        <v>0</v>
      </c>
      <c r="AJ536">
        <v>0</v>
      </c>
      <c r="AK536">
        <v>0</v>
      </c>
      <c r="AL536">
        <v>0</v>
      </c>
      <c r="AM536">
        <v>0</v>
      </c>
      <c r="AN536">
        <v>0</v>
      </c>
      <c r="AO536">
        <v>0</v>
      </c>
      <c r="AP536">
        <v>0</v>
      </c>
      <c r="AQ536">
        <v>0</v>
      </c>
      <c r="AR536">
        <v>0</v>
      </c>
      <c r="AS536">
        <f t="shared" si="112"/>
        <v>2</v>
      </c>
      <c r="AT536">
        <f t="shared" si="113"/>
        <v>2</v>
      </c>
      <c r="AU536" s="3" t="s">
        <v>1124</v>
      </c>
      <c r="AV536">
        <f t="shared" si="114"/>
        <v>1</v>
      </c>
      <c r="AW536">
        <f t="shared" si="115"/>
        <v>0</v>
      </c>
      <c r="AX536">
        <f t="shared" si="116"/>
        <v>0</v>
      </c>
      <c r="AY536">
        <v>2</v>
      </c>
      <c r="AZ536" t="s">
        <v>60</v>
      </c>
      <c r="BA536" t="s">
        <v>61</v>
      </c>
      <c r="BB536" t="s">
        <v>8</v>
      </c>
    </row>
    <row r="537" ht="51" spans="1:54">
      <c r="A537" t="s">
        <v>1873</v>
      </c>
      <c r="B537" t="s">
        <v>1041</v>
      </c>
      <c r="C537" t="s">
        <v>56</v>
      </c>
      <c r="D537">
        <v>2</v>
      </c>
      <c r="E537">
        <v>0</v>
      </c>
      <c r="F537">
        <v>99</v>
      </c>
      <c r="G537" t="s">
        <v>1874</v>
      </c>
      <c r="H537" s="3" t="s">
        <v>1875</v>
      </c>
      <c r="I537" s="3" t="s">
        <v>1876</v>
      </c>
      <c r="J537">
        <f t="shared" si="104"/>
        <v>0</v>
      </c>
      <c r="K537">
        <f t="shared" si="105"/>
        <v>0</v>
      </c>
      <c r="L537">
        <f t="shared" si="106"/>
        <v>0</v>
      </c>
      <c r="M537">
        <f t="shared" si="107"/>
        <v>0</v>
      </c>
      <c r="N537">
        <f t="shared" si="108"/>
        <v>1</v>
      </c>
      <c r="O537">
        <f t="shared" si="109"/>
        <v>0</v>
      </c>
      <c r="P537">
        <f t="shared" si="110"/>
        <v>0</v>
      </c>
      <c r="Q537">
        <f t="shared" si="111"/>
        <v>0</v>
      </c>
      <c r="R537">
        <v>0</v>
      </c>
      <c r="S537">
        <v>0</v>
      </c>
      <c r="T537">
        <v>0</v>
      </c>
      <c r="U537">
        <v>0</v>
      </c>
      <c r="V537">
        <v>0</v>
      </c>
      <c r="W537">
        <v>0</v>
      </c>
      <c r="X537">
        <v>0</v>
      </c>
      <c r="Y537">
        <v>0</v>
      </c>
      <c r="Z537">
        <v>0</v>
      </c>
      <c r="AA537">
        <v>0</v>
      </c>
      <c r="AB537">
        <v>0</v>
      </c>
      <c r="AC537">
        <v>0</v>
      </c>
      <c r="AD537">
        <v>0</v>
      </c>
      <c r="AE537">
        <v>0</v>
      </c>
      <c r="AF537">
        <v>0</v>
      </c>
      <c r="AG537">
        <v>0</v>
      </c>
      <c r="AH537">
        <v>1</v>
      </c>
      <c r="AI537">
        <v>0</v>
      </c>
      <c r="AJ537">
        <v>0</v>
      </c>
      <c r="AK537">
        <v>0</v>
      </c>
      <c r="AL537">
        <v>0</v>
      </c>
      <c r="AM537">
        <v>0</v>
      </c>
      <c r="AN537">
        <v>0</v>
      </c>
      <c r="AO537">
        <v>0</v>
      </c>
      <c r="AP537">
        <v>0</v>
      </c>
      <c r="AQ537">
        <v>0</v>
      </c>
      <c r="AR537">
        <v>0</v>
      </c>
      <c r="AS537">
        <f t="shared" si="112"/>
        <v>1</v>
      </c>
      <c r="AT537">
        <f t="shared" si="113"/>
        <v>1</v>
      </c>
      <c r="AU537" s="3" t="s">
        <v>129</v>
      </c>
      <c r="AV537">
        <f t="shared" si="114"/>
        <v>1</v>
      </c>
      <c r="AW537">
        <f t="shared" si="115"/>
        <v>0</v>
      </c>
      <c r="AX537">
        <f t="shared" si="116"/>
        <v>0</v>
      </c>
      <c r="AY537">
        <v>-1</v>
      </c>
      <c r="AZ537" t="s">
        <v>133</v>
      </c>
      <c r="BA537" t="s">
        <v>134</v>
      </c>
      <c r="BB537" t="s">
        <v>8</v>
      </c>
    </row>
    <row r="538" ht="387" spans="1:54">
      <c r="A538" t="s">
        <v>1877</v>
      </c>
      <c r="B538" t="s">
        <v>1041</v>
      </c>
      <c r="C538" t="s">
        <v>56</v>
      </c>
      <c r="D538">
        <v>5</v>
      </c>
      <c r="E538">
        <v>0</v>
      </c>
      <c r="F538">
        <v>85.3</v>
      </c>
      <c r="G538" t="s">
        <v>1878</v>
      </c>
      <c r="H538" s="3" t="s">
        <v>1879</v>
      </c>
      <c r="I538" s="3" t="s">
        <v>1880</v>
      </c>
      <c r="J538">
        <f t="shared" si="104"/>
        <v>0</v>
      </c>
      <c r="K538">
        <f t="shared" si="105"/>
        <v>0</v>
      </c>
      <c r="L538">
        <f t="shared" si="106"/>
        <v>0</v>
      </c>
      <c r="M538">
        <f t="shared" si="107"/>
        <v>0</v>
      </c>
      <c r="N538">
        <f t="shared" si="108"/>
        <v>1</v>
      </c>
      <c r="O538">
        <f t="shared" si="109"/>
        <v>1</v>
      </c>
      <c r="P538">
        <f t="shared" si="110"/>
        <v>0</v>
      </c>
      <c r="Q538">
        <f t="shared" si="111"/>
        <v>0</v>
      </c>
      <c r="R538">
        <v>0</v>
      </c>
      <c r="S538">
        <v>0</v>
      </c>
      <c r="T538">
        <v>0</v>
      </c>
      <c r="U538">
        <v>0</v>
      </c>
      <c r="V538">
        <v>0</v>
      </c>
      <c r="W538">
        <v>0</v>
      </c>
      <c r="X538">
        <v>0</v>
      </c>
      <c r="Y538">
        <v>0</v>
      </c>
      <c r="Z538">
        <v>0</v>
      </c>
      <c r="AA538">
        <v>0</v>
      </c>
      <c r="AB538">
        <v>0</v>
      </c>
      <c r="AC538">
        <v>0</v>
      </c>
      <c r="AD538">
        <v>0</v>
      </c>
      <c r="AE538">
        <v>0</v>
      </c>
      <c r="AF538">
        <v>0</v>
      </c>
      <c r="AG538">
        <v>0</v>
      </c>
      <c r="AH538">
        <v>1</v>
      </c>
      <c r="AI538">
        <v>1</v>
      </c>
      <c r="AJ538">
        <v>0</v>
      </c>
      <c r="AK538">
        <v>0</v>
      </c>
      <c r="AL538">
        <v>0</v>
      </c>
      <c r="AM538">
        <v>0</v>
      </c>
      <c r="AN538">
        <v>0</v>
      </c>
      <c r="AO538">
        <v>0</v>
      </c>
      <c r="AP538">
        <v>0</v>
      </c>
      <c r="AQ538">
        <v>0</v>
      </c>
      <c r="AR538">
        <v>0</v>
      </c>
      <c r="AS538">
        <f t="shared" si="112"/>
        <v>2</v>
      </c>
      <c r="AT538">
        <f t="shared" si="113"/>
        <v>2</v>
      </c>
      <c r="AU538" s="3" t="s">
        <v>103</v>
      </c>
      <c r="AV538">
        <f t="shared" si="114"/>
        <v>1</v>
      </c>
      <c r="AW538">
        <f t="shared" si="115"/>
        <v>0</v>
      </c>
      <c r="AX538">
        <f t="shared" si="116"/>
        <v>0</v>
      </c>
      <c r="AY538">
        <v>5.5</v>
      </c>
      <c r="AZ538" t="s">
        <v>60</v>
      </c>
      <c r="BA538" t="s">
        <v>61</v>
      </c>
      <c r="BB538" t="s">
        <v>8</v>
      </c>
    </row>
    <row r="539" ht="17" spans="1:54">
      <c r="A539" t="s">
        <v>1881</v>
      </c>
      <c r="B539" t="s">
        <v>1041</v>
      </c>
      <c r="C539" t="s">
        <v>56</v>
      </c>
      <c r="D539">
        <v>0</v>
      </c>
      <c r="E539">
        <v>0</v>
      </c>
      <c r="F539">
        <v>63.5</v>
      </c>
      <c r="G539" t="s">
        <v>1878</v>
      </c>
      <c r="H539" s="3" t="s">
        <v>1882</v>
      </c>
      <c r="I539" s="3" t="s">
        <v>1883</v>
      </c>
      <c r="J539">
        <f t="shared" si="104"/>
        <v>0</v>
      </c>
      <c r="K539">
        <f t="shared" si="105"/>
        <v>0</v>
      </c>
      <c r="L539">
        <f t="shared" si="106"/>
        <v>0</v>
      </c>
      <c r="M539">
        <f t="shared" si="107"/>
        <v>0</v>
      </c>
      <c r="N539">
        <f t="shared" si="108"/>
        <v>1</v>
      </c>
      <c r="O539">
        <f t="shared" si="109"/>
        <v>0</v>
      </c>
      <c r="P539">
        <f t="shared" si="110"/>
        <v>0</v>
      </c>
      <c r="Q539">
        <f t="shared" si="111"/>
        <v>0</v>
      </c>
      <c r="R539">
        <v>0</v>
      </c>
      <c r="S539">
        <v>0</v>
      </c>
      <c r="T539">
        <v>0</v>
      </c>
      <c r="U539">
        <v>0</v>
      </c>
      <c r="V539">
        <v>0</v>
      </c>
      <c r="W539">
        <v>0</v>
      </c>
      <c r="X539">
        <v>0</v>
      </c>
      <c r="Y539">
        <v>0</v>
      </c>
      <c r="Z539">
        <v>0</v>
      </c>
      <c r="AA539">
        <v>0</v>
      </c>
      <c r="AB539">
        <v>0</v>
      </c>
      <c r="AC539">
        <v>0</v>
      </c>
      <c r="AD539">
        <v>0</v>
      </c>
      <c r="AE539">
        <v>0</v>
      </c>
      <c r="AF539">
        <v>0</v>
      </c>
      <c r="AG539">
        <v>0</v>
      </c>
      <c r="AH539">
        <v>1</v>
      </c>
      <c r="AI539">
        <v>0</v>
      </c>
      <c r="AJ539">
        <v>0</v>
      </c>
      <c r="AK539">
        <v>0</v>
      </c>
      <c r="AL539">
        <v>0</v>
      </c>
      <c r="AM539">
        <v>0</v>
      </c>
      <c r="AN539">
        <v>0</v>
      </c>
      <c r="AO539">
        <v>0</v>
      </c>
      <c r="AP539">
        <v>0</v>
      </c>
      <c r="AQ539">
        <v>0</v>
      </c>
      <c r="AR539">
        <v>0</v>
      </c>
      <c r="AS539">
        <f t="shared" si="112"/>
        <v>1</v>
      </c>
      <c r="AT539">
        <f t="shared" si="113"/>
        <v>1</v>
      </c>
      <c r="AU539" s="3" t="s">
        <v>129</v>
      </c>
      <c r="AV539">
        <f t="shared" si="114"/>
        <v>1</v>
      </c>
      <c r="AW539">
        <f t="shared" si="115"/>
        <v>0</v>
      </c>
      <c r="AX539">
        <f t="shared" si="116"/>
        <v>0</v>
      </c>
      <c r="AY539">
        <v>1</v>
      </c>
      <c r="AZ539" t="s">
        <v>60</v>
      </c>
      <c r="BA539" t="s">
        <v>61</v>
      </c>
      <c r="BB539" t="s">
        <v>8</v>
      </c>
    </row>
    <row r="540" ht="269" spans="1:54">
      <c r="A540" t="s">
        <v>1884</v>
      </c>
      <c r="B540" t="s">
        <v>1041</v>
      </c>
      <c r="C540" t="s">
        <v>116</v>
      </c>
      <c r="D540">
        <v>9</v>
      </c>
      <c r="E540">
        <v>0</v>
      </c>
      <c r="F540">
        <v>37.8</v>
      </c>
      <c r="G540" t="s">
        <v>1878</v>
      </c>
      <c r="H540" s="3" t="s">
        <v>1885</v>
      </c>
      <c r="I540" s="3" t="s">
        <v>1886</v>
      </c>
      <c r="J540">
        <f t="shared" si="104"/>
        <v>0</v>
      </c>
      <c r="K540">
        <f t="shared" si="105"/>
        <v>1</v>
      </c>
      <c r="L540">
        <f t="shared" si="106"/>
        <v>0</v>
      </c>
      <c r="M540">
        <f t="shared" si="107"/>
        <v>0</v>
      </c>
      <c r="N540">
        <f t="shared" si="108"/>
        <v>0</v>
      </c>
      <c r="O540">
        <f t="shared" si="109"/>
        <v>1</v>
      </c>
      <c r="P540">
        <f t="shared" si="110"/>
        <v>0</v>
      </c>
      <c r="Q540">
        <f t="shared" si="111"/>
        <v>0</v>
      </c>
      <c r="R540">
        <v>0</v>
      </c>
      <c r="S540">
        <v>0</v>
      </c>
      <c r="T540">
        <v>0</v>
      </c>
      <c r="U540">
        <v>1</v>
      </c>
      <c r="V540">
        <v>0</v>
      </c>
      <c r="W540">
        <v>0</v>
      </c>
      <c r="X540">
        <v>0</v>
      </c>
      <c r="Y540">
        <v>0</v>
      </c>
      <c r="Z540">
        <v>0</v>
      </c>
      <c r="AA540">
        <v>0</v>
      </c>
      <c r="AB540">
        <v>0</v>
      </c>
      <c r="AC540">
        <v>0</v>
      </c>
      <c r="AD540">
        <v>0</v>
      </c>
      <c r="AE540">
        <v>0</v>
      </c>
      <c r="AF540">
        <v>0</v>
      </c>
      <c r="AG540">
        <v>0</v>
      </c>
      <c r="AH540">
        <v>0</v>
      </c>
      <c r="AI540">
        <v>1</v>
      </c>
      <c r="AJ540">
        <v>0</v>
      </c>
      <c r="AK540">
        <v>0</v>
      </c>
      <c r="AL540">
        <v>0</v>
      </c>
      <c r="AM540">
        <v>0</v>
      </c>
      <c r="AN540">
        <v>0</v>
      </c>
      <c r="AO540">
        <v>0</v>
      </c>
      <c r="AP540">
        <v>0</v>
      </c>
      <c r="AQ540">
        <v>0</v>
      </c>
      <c r="AR540">
        <v>0</v>
      </c>
      <c r="AS540">
        <f t="shared" si="112"/>
        <v>2</v>
      </c>
      <c r="AT540">
        <f t="shared" si="113"/>
        <v>2</v>
      </c>
      <c r="AU540" s="3" t="s">
        <v>177</v>
      </c>
      <c r="AV540">
        <f t="shared" si="114"/>
        <v>1</v>
      </c>
      <c r="AW540">
        <f t="shared" si="115"/>
        <v>0</v>
      </c>
      <c r="AX540">
        <f t="shared" si="116"/>
        <v>0</v>
      </c>
      <c r="AY540">
        <v>-1.5</v>
      </c>
      <c r="AZ540" t="s">
        <v>133</v>
      </c>
      <c r="BA540" t="s">
        <v>134</v>
      </c>
      <c r="BB540" t="s">
        <v>8</v>
      </c>
    </row>
    <row r="541" ht="236" spans="1:54">
      <c r="A541" t="s">
        <v>1887</v>
      </c>
      <c r="B541" t="s">
        <v>1041</v>
      </c>
      <c r="C541" t="s">
        <v>56</v>
      </c>
      <c r="D541">
        <v>4</v>
      </c>
      <c r="E541">
        <v>0</v>
      </c>
      <c r="F541">
        <v>40.6</v>
      </c>
      <c r="G541" t="s">
        <v>1878</v>
      </c>
      <c r="H541" s="3" t="s">
        <v>1888</v>
      </c>
      <c r="I541" s="3" t="s">
        <v>1889</v>
      </c>
      <c r="J541">
        <f t="shared" si="104"/>
        <v>0</v>
      </c>
      <c r="K541">
        <f t="shared" si="105"/>
        <v>1</v>
      </c>
      <c r="L541">
        <f t="shared" si="106"/>
        <v>1</v>
      </c>
      <c r="M541">
        <f t="shared" si="107"/>
        <v>0</v>
      </c>
      <c r="N541">
        <f t="shared" si="108"/>
        <v>0</v>
      </c>
      <c r="O541">
        <f t="shared" si="109"/>
        <v>0</v>
      </c>
      <c r="P541">
        <f t="shared" si="110"/>
        <v>0</v>
      </c>
      <c r="Q541">
        <f t="shared" si="111"/>
        <v>0</v>
      </c>
      <c r="R541">
        <v>0</v>
      </c>
      <c r="S541">
        <v>0</v>
      </c>
      <c r="T541">
        <v>0</v>
      </c>
      <c r="U541">
        <v>1</v>
      </c>
      <c r="V541">
        <v>1</v>
      </c>
      <c r="W541">
        <v>1</v>
      </c>
      <c r="X541">
        <v>0</v>
      </c>
      <c r="Y541">
        <v>0</v>
      </c>
      <c r="Z541">
        <v>1</v>
      </c>
      <c r="AA541">
        <v>0</v>
      </c>
      <c r="AB541">
        <v>1</v>
      </c>
      <c r="AC541">
        <v>0</v>
      </c>
      <c r="AD541">
        <v>0</v>
      </c>
      <c r="AE541">
        <v>0</v>
      </c>
      <c r="AF541">
        <v>0</v>
      </c>
      <c r="AG541">
        <v>0</v>
      </c>
      <c r="AH541">
        <v>0</v>
      </c>
      <c r="AI541">
        <v>0</v>
      </c>
      <c r="AJ541">
        <v>0</v>
      </c>
      <c r="AK541">
        <v>0</v>
      </c>
      <c r="AL541">
        <v>0</v>
      </c>
      <c r="AM541">
        <v>0</v>
      </c>
      <c r="AN541">
        <v>0</v>
      </c>
      <c r="AO541">
        <v>0</v>
      </c>
      <c r="AP541">
        <v>0</v>
      </c>
      <c r="AQ541">
        <v>0</v>
      </c>
      <c r="AR541">
        <v>0</v>
      </c>
      <c r="AS541">
        <f t="shared" si="112"/>
        <v>2</v>
      </c>
      <c r="AT541">
        <f t="shared" si="113"/>
        <v>5</v>
      </c>
      <c r="AU541" s="3" t="s">
        <v>1890</v>
      </c>
      <c r="AV541">
        <f t="shared" si="114"/>
        <v>1</v>
      </c>
      <c r="AW541">
        <f t="shared" si="115"/>
        <v>0</v>
      </c>
      <c r="AX541">
        <f t="shared" si="116"/>
        <v>0</v>
      </c>
      <c r="AY541">
        <v>-3</v>
      </c>
      <c r="AZ541" t="s">
        <v>133</v>
      </c>
      <c r="BA541" t="s">
        <v>134</v>
      </c>
      <c r="BB541" t="s">
        <v>8</v>
      </c>
    </row>
    <row r="542" ht="409.5" spans="1:54">
      <c r="A542" t="s">
        <v>1891</v>
      </c>
      <c r="B542" t="s">
        <v>1041</v>
      </c>
      <c r="C542" t="s">
        <v>56</v>
      </c>
      <c r="D542">
        <v>0</v>
      </c>
      <c r="E542">
        <v>0</v>
      </c>
      <c r="F542">
        <v>96</v>
      </c>
      <c r="G542" t="s">
        <v>1892</v>
      </c>
      <c r="H542" s="3" t="s">
        <v>1893</v>
      </c>
      <c r="I542" s="3" t="s">
        <v>1894</v>
      </c>
      <c r="J542">
        <f t="shared" si="104"/>
        <v>1</v>
      </c>
      <c r="K542">
        <f t="shared" si="105"/>
        <v>1</v>
      </c>
      <c r="L542">
        <f t="shared" si="106"/>
        <v>0</v>
      </c>
      <c r="M542">
        <f t="shared" si="107"/>
        <v>0</v>
      </c>
      <c r="N542">
        <f t="shared" si="108"/>
        <v>1</v>
      </c>
      <c r="O542">
        <f t="shared" si="109"/>
        <v>0</v>
      </c>
      <c r="P542">
        <f t="shared" si="110"/>
        <v>0</v>
      </c>
      <c r="Q542">
        <f t="shared" si="111"/>
        <v>0</v>
      </c>
      <c r="R542">
        <v>1</v>
      </c>
      <c r="S542">
        <v>0</v>
      </c>
      <c r="T542">
        <v>0</v>
      </c>
      <c r="U542">
        <v>1</v>
      </c>
      <c r="V542">
        <v>1</v>
      </c>
      <c r="W542">
        <v>1</v>
      </c>
      <c r="X542">
        <v>0</v>
      </c>
      <c r="Y542">
        <v>0</v>
      </c>
      <c r="Z542">
        <v>0</v>
      </c>
      <c r="AA542">
        <v>0</v>
      </c>
      <c r="AB542">
        <v>0</v>
      </c>
      <c r="AC542">
        <v>0</v>
      </c>
      <c r="AD542">
        <v>0</v>
      </c>
      <c r="AE542">
        <v>0</v>
      </c>
      <c r="AF542">
        <v>0</v>
      </c>
      <c r="AG542">
        <v>0</v>
      </c>
      <c r="AH542">
        <v>1</v>
      </c>
      <c r="AI542">
        <v>0</v>
      </c>
      <c r="AJ542">
        <v>0</v>
      </c>
      <c r="AK542">
        <v>0</v>
      </c>
      <c r="AL542">
        <v>0</v>
      </c>
      <c r="AM542">
        <v>0</v>
      </c>
      <c r="AN542">
        <v>0</v>
      </c>
      <c r="AO542">
        <v>0</v>
      </c>
      <c r="AP542">
        <v>0</v>
      </c>
      <c r="AQ542">
        <v>0</v>
      </c>
      <c r="AR542">
        <v>0</v>
      </c>
      <c r="AS542">
        <f t="shared" si="112"/>
        <v>3</v>
      </c>
      <c r="AT542">
        <f t="shared" si="113"/>
        <v>5</v>
      </c>
      <c r="AU542" s="3" t="s">
        <v>1282</v>
      </c>
      <c r="AV542">
        <f t="shared" si="114"/>
        <v>1</v>
      </c>
      <c r="AW542">
        <f t="shared" si="115"/>
        <v>0</v>
      </c>
      <c r="AX542">
        <f t="shared" si="116"/>
        <v>0</v>
      </c>
      <c r="AY542">
        <v>1</v>
      </c>
      <c r="AZ542" t="s">
        <v>60</v>
      </c>
      <c r="BA542" t="s">
        <v>61</v>
      </c>
      <c r="BB542" t="s">
        <v>8</v>
      </c>
    </row>
    <row r="543" ht="118" spans="1:54">
      <c r="A543" t="s">
        <v>1895</v>
      </c>
      <c r="B543" t="s">
        <v>1041</v>
      </c>
      <c r="C543" t="s">
        <v>56</v>
      </c>
      <c r="D543">
        <v>0</v>
      </c>
      <c r="E543">
        <v>0</v>
      </c>
      <c r="F543">
        <v>74.8</v>
      </c>
      <c r="G543" t="s">
        <v>581</v>
      </c>
      <c r="H543" s="3" t="s">
        <v>1896</v>
      </c>
      <c r="I543" s="3" t="s">
        <v>1897</v>
      </c>
      <c r="J543">
        <f t="shared" si="104"/>
        <v>1</v>
      </c>
      <c r="K543">
        <f t="shared" si="105"/>
        <v>1</v>
      </c>
      <c r="L543">
        <f t="shared" si="106"/>
        <v>1</v>
      </c>
      <c r="M543">
        <f t="shared" si="107"/>
        <v>0</v>
      </c>
      <c r="N543">
        <f t="shared" si="108"/>
        <v>1</v>
      </c>
      <c r="O543">
        <f t="shared" si="109"/>
        <v>0</v>
      </c>
      <c r="P543">
        <f t="shared" si="110"/>
        <v>0</v>
      </c>
      <c r="Q543">
        <f t="shared" si="111"/>
        <v>0</v>
      </c>
      <c r="R543">
        <v>1</v>
      </c>
      <c r="S543">
        <v>0</v>
      </c>
      <c r="T543">
        <v>0</v>
      </c>
      <c r="U543">
        <v>1</v>
      </c>
      <c r="V543">
        <v>0</v>
      </c>
      <c r="W543">
        <v>0</v>
      </c>
      <c r="X543">
        <v>0</v>
      </c>
      <c r="Y543">
        <v>0</v>
      </c>
      <c r="Z543">
        <v>0</v>
      </c>
      <c r="AA543">
        <v>0</v>
      </c>
      <c r="AB543">
        <v>1</v>
      </c>
      <c r="AC543">
        <v>0</v>
      </c>
      <c r="AD543">
        <v>0</v>
      </c>
      <c r="AE543">
        <v>0</v>
      </c>
      <c r="AF543">
        <v>0</v>
      </c>
      <c r="AG543">
        <v>1</v>
      </c>
      <c r="AH543">
        <v>1</v>
      </c>
      <c r="AI543">
        <v>0</v>
      </c>
      <c r="AJ543">
        <v>0</v>
      </c>
      <c r="AK543">
        <v>0</v>
      </c>
      <c r="AL543">
        <v>0</v>
      </c>
      <c r="AM543">
        <v>0</v>
      </c>
      <c r="AN543">
        <v>0</v>
      </c>
      <c r="AO543">
        <v>0</v>
      </c>
      <c r="AP543">
        <v>0</v>
      </c>
      <c r="AQ543">
        <v>0</v>
      </c>
      <c r="AR543">
        <v>0</v>
      </c>
      <c r="AS543">
        <f t="shared" si="112"/>
        <v>4</v>
      </c>
      <c r="AT543">
        <f t="shared" si="113"/>
        <v>5</v>
      </c>
      <c r="AU543" s="3" t="s">
        <v>1898</v>
      </c>
      <c r="AV543">
        <f t="shared" si="114"/>
        <v>1</v>
      </c>
      <c r="AW543">
        <f t="shared" si="115"/>
        <v>0</v>
      </c>
      <c r="AX543">
        <f t="shared" si="116"/>
        <v>0</v>
      </c>
      <c r="AY543">
        <v>3</v>
      </c>
      <c r="AZ543" t="s">
        <v>60</v>
      </c>
      <c r="BA543" t="s">
        <v>61</v>
      </c>
      <c r="BB543" t="s">
        <v>8</v>
      </c>
    </row>
    <row r="544" ht="118" spans="1:54">
      <c r="A544" t="s">
        <v>1899</v>
      </c>
      <c r="B544" t="s">
        <v>1041</v>
      </c>
      <c r="C544" t="s">
        <v>116</v>
      </c>
      <c r="D544">
        <v>25</v>
      </c>
      <c r="E544">
        <v>3</v>
      </c>
      <c r="F544">
        <v>32.9</v>
      </c>
      <c r="G544" t="s">
        <v>581</v>
      </c>
      <c r="H544" s="3" t="s">
        <v>1900</v>
      </c>
      <c r="I544" s="3" t="s">
        <v>1901</v>
      </c>
      <c r="J544">
        <f t="shared" si="104"/>
        <v>0</v>
      </c>
      <c r="K544">
        <f t="shared" si="105"/>
        <v>1</v>
      </c>
      <c r="L544">
        <f t="shared" si="106"/>
        <v>0</v>
      </c>
      <c r="M544">
        <f t="shared" si="107"/>
        <v>0</v>
      </c>
      <c r="N544">
        <f t="shared" si="108"/>
        <v>1</v>
      </c>
      <c r="O544">
        <f t="shared" si="109"/>
        <v>0</v>
      </c>
      <c r="P544">
        <f t="shared" si="110"/>
        <v>0</v>
      </c>
      <c r="Q544">
        <f t="shared" si="111"/>
        <v>0</v>
      </c>
      <c r="R544">
        <v>0</v>
      </c>
      <c r="S544">
        <v>0</v>
      </c>
      <c r="T544">
        <v>0</v>
      </c>
      <c r="U544">
        <v>1</v>
      </c>
      <c r="V544">
        <v>1</v>
      </c>
      <c r="W544">
        <v>0</v>
      </c>
      <c r="X544">
        <v>0</v>
      </c>
      <c r="Y544">
        <v>0</v>
      </c>
      <c r="Z544">
        <v>0</v>
      </c>
      <c r="AA544">
        <v>0</v>
      </c>
      <c r="AB544">
        <v>0</v>
      </c>
      <c r="AC544">
        <v>0</v>
      </c>
      <c r="AD544">
        <v>0</v>
      </c>
      <c r="AE544">
        <v>0</v>
      </c>
      <c r="AF544">
        <v>0</v>
      </c>
      <c r="AG544">
        <v>0</v>
      </c>
      <c r="AH544">
        <v>1</v>
      </c>
      <c r="AI544">
        <v>0</v>
      </c>
      <c r="AJ544">
        <v>0</v>
      </c>
      <c r="AK544">
        <v>0</v>
      </c>
      <c r="AL544">
        <v>0</v>
      </c>
      <c r="AM544">
        <v>0</v>
      </c>
      <c r="AN544">
        <v>0</v>
      </c>
      <c r="AO544">
        <v>0</v>
      </c>
      <c r="AP544">
        <v>0</v>
      </c>
      <c r="AQ544">
        <v>0</v>
      </c>
      <c r="AR544">
        <v>0</v>
      </c>
      <c r="AS544">
        <f t="shared" si="112"/>
        <v>2</v>
      </c>
      <c r="AT544">
        <f t="shared" si="113"/>
        <v>3</v>
      </c>
      <c r="AU544" s="3" t="s">
        <v>489</v>
      </c>
      <c r="AV544">
        <f t="shared" si="114"/>
        <v>1</v>
      </c>
      <c r="AW544">
        <f t="shared" si="115"/>
        <v>0</v>
      </c>
      <c r="AX544">
        <f t="shared" si="116"/>
        <v>0</v>
      </c>
      <c r="AY544">
        <v>6</v>
      </c>
      <c r="AZ544" t="s">
        <v>60</v>
      </c>
      <c r="BA544" t="s">
        <v>61</v>
      </c>
      <c r="BB544" t="s">
        <v>8</v>
      </c>
    </row>
    <row r="545" ht="34" spans="1:54">
      <c r="A545" t="s">
        <v>1902</v>
      </c>
      <c r="B545" t="s">
        <v>1041</v>
      </c>
      <c r="C545" t="s">
        <v>56</v>
      </c>
      <c r="D545">
        <v>2</v>
      </c>
      <c r="E545">
        <v>0</v>
      </c>
      <c r="F545">
        <v>30.7</v>
      </c>
      <c r="G545" t="s">
        <v>581</v>
      </c>
      <c r="H545" s="3" t="s">
        <v>1903</v>
      </c>
      <c r="I545" s="3" t="s">
        <v>1904</v>
      </c>
      <c r="J545">
        <f t="shared" si="104"/>
        <v>1</v>
      </c>
      <c r="K545">
        <f t="shared" si="105"/>
        <v>1</v>
      </c>
      <c r="L545">
        <f t="shared" si="106"/>
        <v>0</v>
      </c>
      <c r="M545">
        <f t="shared" si="107"/>
        <v>0</v>
      </c>
      <c r="N545">
        <f t="shared" si="108"/>
        <v>0</v>
      </c>
      <c r="O545">
        <f t="shared" si="109"/>
        <v>0</v>
      </c>
      <c r="P545">
        <f t="shared" si="110"/>
        <v>0</v>
      </c>
      <c r="Q545">
        <f t="shared" si="111"/>
        <v>0</v>
      </c>
      <c r="R545">
        <v>1</v>
      </c>
      <c r="S545">
        <v>0</v>
      </c>
      <c r="T545">
        <v>0</v>
      </c>
      <c r="U545">
        <v>1</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f t="shared" si="112"/>
        <v>2</v>
      </c>
      <c r="AT545">
        <f t="shared" si="113"/>
        <v>2</v>
      </c>
      <c r="AU545" s="3" t="s">
        <v>1584</v>
      </c>
      <c r="AV545">
        <f t="shared" si="114"/>
        <v>1</v>
      </c>
      <c r="AW545">
        <f t="shared" si="115"/>
        <v>0</v>
      </c>
      <c r="AX545">
        <f t="shared" si="116"/>
        <v>0</v>
      </c>
      <c r="AY545">
        <v>1</v>
      </c>
      <c r="AZ545" t="s">
        <v>60</v>
      </c>
      <c r="BA545" t="s">
        <v>61</v>
      </c>
      <c r="BB545" t="s">
        <v>8</v>
      </c>
    </row>
    <row r="546" ht="34" spans="1:54">
      <c r="A546" t="s">
        <v>1905</v>
      </c>
      <c r="B546" t="s">
        <v>1041</v>
      </c>
      <c r="C546" t="s">
        <v>56</v>
      </c>
      <c r="D546">
        <v>0</v>
      </c>
      <c r="E546">
        <v>0</v>
      </c>
      <c r="F546">
        <v>103.1</v>
      </c>
      <c r="G546" t="s">
        <v>589</v>
      </c>
      <c r="H546" s="3" t="s">
        <v>1906</v>
      </c>
      <c r="I546" s="3" t="s">
        <v>1907</v>
      </c>
      <c r="J546">
        <f t="shared" si="104"/>
        <v>0</v>
      </c>
      <c r="K546">
        <f t="shared" si="105"/>
        <v>1</v>
      </c>
      <c r="L546">
        <f t="shared" si="106"/>
        <v>0</v>
      </c>
      <c r="M546">
        <f t="shared" si="107"/>
        <v>0</v>
      </c>
      <c r="N546">
        <f t="shared" si="108"/>
        <v>1</v>
      </c>
      <c r="O546">
        <f t="shared" si="109"/>
        <v>0</v>
      </c>
      <c r="P546">
        <f t="shared" si="110"/>
        <v>0</v>
      </c>
      <c r="Q546">
        <f t="shared" si="111"/>
        <v>0</v>
      </c>
      <c r="R546">
        <v>0</v>
      </c>
      <c r="S546">
        <v>0</v>
      </c>
      <c r="T546">
        <v>0</v>
      </c>
      <c r="U546">
        <v>1</v>
      </c>
      <c r="V546">
        <v>0</v>
      </c>
      <c r="W546">
        <v>0</v>
      </c>
      <c r="X546">
        <v>0</v>
      </c>
      <c r="Y546">
        <v>0</v>
      </c>
      <c r="Z546">
        <v>0</v>
      </c>
      <c r="AA546">
        <v>0</v>
      </c>
      <c r="AB546">
        <v>0</v>
      </c>
      <c r="AC546">
        <v>0</v>
      </c>
      <c r="AD546">
        <v>0</v>
      </c>
      <c r="AE546">
        <v>0</v>
      </c>
      <c r="AF546">
        <v>0</v>
      </c>
      <c r="AG546">
        <v>0</v>
      </c>
      <c r="AH546">
        <v>1</v>
      </c>
      <c r="AI546">
        <v>0</v>
      </c>
      <c r="AJ546">
        <v>0</v>
      </c>
      <c r="AK546">
        <v>0</v>
      </c>
      <c r="AL546">
        <v>0</v>
      </c>
      <c r="AM546">
        <v>0</v>
      </c>
      <c r="AN546">
        <v>0</v>
      </c>
      <c r="AO546">
        <v>0</v>
      </c>
      <c r="AP546">
        <v>0</v>
      </c>
      <c r="AQ546">
        <v>0</v>
      </c>
      <c r="AR546">
        <v>0</v>
      </c>
      <c r="AS546">
        <f t="shared" si="112"/>
        <v>2</v>
      </c>
      <c r="AT546">
        <f t="shared" si="113"/>
        <v>2</v>
      </c>
      <c r="AU546" s="3" t="s">
        <v>685</v>
      </c>
      <c r="AV546">
        <f t="shared" si="114"/>
        <v>1</v>
      </c>
      <c r="AW546">
        <f t="shared" si="115"/>
        <v>0</v>
      </c>
      <c r="AX546">
        <f t="shared" si="116"/>
        <v>0</v>
      </c>
      <c r="AY546">
        <v>1</v>
      </c>
      <c r="AZ546" t="s">
        <v>60</v>
      </c>
      <c r="BA546" t="s">
        <v>61</v>
      </c>
      <c r="BB546" t="s">
        <v>8</v>
      </c>
    </row>
    <row r="547" ht="236" spans="1:54">
      <c r="A547" t="s">
        <v>1908</v>
      </c>
      <c r="B547" t="s">
        <v>1041</v>
      </c>
      <c r="C547" t="s">
        <v>116</v>
      </c>
      <c r="D547">
        <v>0</v>
      </c>
      <c r="E547">
        <v>3</v>
      </c>
      <c r="F547">
        <v>17.3</v>
      </c>
      <c r="G547" t="s">
        <v>1909</v>
      </c>
      <c r="H547" s="3" t="s">
        <v>1910</v>
      </c>
      <c r="I547" s="3" t="s">
        <v>1911</v>
      </c>
      <c r="J547">
        <f t="shared" si="104"/>
        <v>0</v>
      </c>
      <c r="K547">
        <f t="shared" si="105"/>
        <v>1</v>
      </c>
      <c r="L547">
        <f t="shared" si="106"/>
        <v>0</v>
      </c>
      <c r="M547">
        <f t="shared" si="107"/>
        <v>0</v>
      </c>
      <c r="N547">
        <f t="shared" si="108"/>
        <v>0</v>
      </c>
      <c r="O547">
        <f t="shared" si="109"/>
        <v>0</v>
      </c>
      <c r="P547">
        <f t="shared" si="110"/>
        <v>0</v>
      </c>
      <c r="Q547">
        <f t="shared" si="111"/>
        <v>1</v>
      </c>
      <c r="R547">
        <v>0</v>
      </c>
      <c r="S547">
        <v>0</v>
      </c>
      <c r="T547">
        <v>0</v>
      </c>
      <c r="U547">
        <v>1</v>
      </c>
      <c r="V547">
        <v>1</v>
      </c>
      <c r="W547">
        <v>1</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1</v>
      </c>
      <c r="AS547">
        <f t="shared" si="112"/>
        <v>2</v>
      </c>
      <c r="AT547">
        <f t="shared" si="113"/>
        <v>4</v>
      </c>
      <c r="AU547" s="3" t="s">
        <v>1912</v>
      </c>
      <c r="AV547">
        <f t="shared" si="114"/>
        <v>1</v>
      </c>
      <c r="AW547">
        <f t="shared" si="115"/>
        <v>0</v>
      </c>
      <c r="AX547">
        <f t="shared" si="116"/>
        <v>0</v>
      </c>
      <c r="AY547">
        <v>0</v>
      </c>
      <c r="AZ547" t="s">
        <v>147</v>
      </c>
      <c r="BA547" t="s">
        <v>148</v>
      </c>
      <c r="BB547" t="s">
        <v>8</v>
      </c>
    </row>
    <row r="548" ht="17" spans="1:54">
      <c r="A548" t="s">
        <v>1913</v>
      </c>
      <c r="B548" t="s">
        <v>1041</v>
      </c>
      <c r="C548" t="s">
        <v>56</v>
      </c>
      <c r="D548">
        <v>2</v>
      </c>
      <c r="E548">
        <v>1</v>
      </c>
      <c r="F548">
        <v>22.9</v>
      </c>
      <c r="G548" t="s">
        <v>593</v>
      </c>
      <c r="H548" s="3" t="s">
        <v>1914</v>
      </c>
      <c r="I548" s="3" t="s">
        <v>1915</v>
      </c>
      <c r="J548">
        <f t="shared" si="104"/>
        <v>0</v>
      </c>
      <c r="K548">
        <f t="shared" si="105"/>
        <v>0</v>
      </c>
      <c r="L548">
        <f t="shared" si="106"/>
        <v>0</v>
      </c>
      <c r="M548">
        <f t="shared" si="107"/>
        <v>0</v>
      </c>
      <c r="N548">
        <f t="shared" si="108"/>
        <v>1</v>
      </c>
      <c r="O548">
        <f t="shared" si="109"/>
        <v>0</v>
      </c>
      <c r="P548">
        <f t="shared" si="110"/>
        <v>0</v>
      </c>
      <c r="Q548">
        <f t="shared" si="111"/>
        <v>0</v>
      </c>
      <c r="R548">
        <v>0</v>
      </c>
      <c r="S548">
        <v>0</v>
      </c>
      <c r="T548">
        <v>0</v>
      </c>
      <c r="U548">
        <v>0</v>
      </c>
      <c r="V548">
        <v>0</v>
      </c>
      <c r="W548">
        <v>0</v>
      </c>
      <c r="X548">
        <v>0</v>
      </c>
      <c r="Y548">
        <v>0</v>
      </c>
      <c r="Z548">
        <v>0</v>
      </c>
      <c r="AA548">
        <v>0</v>
      </c>
      <c r="AB548">
        <v>0</v>
      </c>
      <c r="AC548">
        <v>0</v>
      </c>
      <c r="AD548">
        <v>0</v>
      </c>
      <c r="AE548">
        <v>0</v>
      </c>
      <c r="AF548">
        <v>0</v>
      </c>
      <c r="AG548">
        <v>0</v>
      </c>
      <c r="AH548">
        <v>1</v>
      </c>
      <c r="AI548">
        <v>0</v>
      </c>
      <c r="AJ548">
        <v>0</v>
      </c>
      <c r="AK548">
        <v>0</v>
      </c>
      <c r="AL548">
        <v>0</v>
      </c>
      <c r="AM548">
        <v>0</v>
      </c>
      <c r="AN548">
        <v>0</v>
      </c>
      <c r="AO548">
        <v>0</v>
      </c>
      <c r="AP548">
        <v>0</v>
      </c>
      <c r="AQ548">
        <v>0</v>
      </c>
      <c r="AR548">
        <v>0</v>
      </c>
      <c r="AS548">
        <f t="shared" si="112"/>
        <v>1</v>
      </c>
      <c r="AT548">
        <f t="shared" si="113"/>
        <v>1</v>
      </c>
      <c r="AU548" s="3" t="s">
        <v>129</v>
      </c>
      <c r="AV548">
        <f t="shared" si="114"/>
        <v>1</v>
      </c>
      <c r="AW548">
        <f t="shared" si="115"/>
        <v>0</v>
      </c>
      <c r="AX548">
        <f t="shared" si="116"/>
        <v>0</v>
      </c>
      <c r="AY548">
        <v>0</v>
      </c>
      <c r="AZ548" t="s">
        <v>147</v>
      </c>
      <c r="BA548" t="s">
        <v>148</v>
      </c>
      <c r="BB548" t="s">
        <v>8</v>
      </c>
    </row>
    <row r="549" ht="84" spans="1:54">
      <c r="A549" t="s">
        <v>1916</v>
      </c>
      <c r="B549" t="s">
        <v>1041</v>
      </c>
      <c r="C549" t="s">
        <v>116</v>
      </c>
      <c r="D549">
        <v>10</v>
      </c>
      <c r="E549">
        <v>0</v>
      </c>
      <c r="F549">
        <v>2.9</v>
      </c>
      <c r="G549" t="s">
        <v>1917</v>
      </c>
      <c r="H549" s="3" t="s">
        <v>1918</v>
      </c>
      <c r="I549" s="3" t="s">
        <v>1919</v>
      </c>
      <c r="J549">
        <f t="shared" si="104"/>
        <v>0</v>
      </c>
      <c r="K549">
        <f t="shared" si="105"/>
        <v>0</v>
      </c>
      <c r="L549">
        <f t="shared" si="106"/>
        <v>0</v>
      </c>
      <c r="M549">
        <f t="shared" si="107"/>
        <v>0</v>
      </c>
      <c r="N549">
        <f t="shared" si="108"/>
        <v>0</v>
      </c>
      <c r="O549">
        <f t="shared" si="109"/>
        <v>0</v>
      </c>
      <c r="P549">
        <f t="shared" si="110"/>
        <v>0</v>
      </c>
      <c r="Q549">
        <f t="shared" si="111"/>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f t="shared" si="112"/>
        <v>0</v>
      </c>
      <c r="AT549">
        <f t="shared" si="113"/>
        <v>0</v>
      </c>
      <c r="AU549" s="3" t="s">
        <v>118</v>
      </c>
      <c r="AV549">
        <f t="shared" si="114"/>
        <v>0</v>
      </c>
      <c r="AW549">
        <f t="shared" si="115"/>
        <v>1</v>
      </c>
      <c r="AX549">
        <f t="shared" si="116"/>
        <v>0</v>
      </c>
      <c r="AY549">
        <v>-3</v>
      </c>
      <c r="AZ549" t="s">
        <v>133</v>
      </c>
      <c r="BA549" t="s">
        <v>134</v>
      </c>
      <c r="BB549" t="s">
        <v>8</v>
      </c>
    </row>
    <row r="550" ht="353" spans="1:54">
      <c r="A550" t="s">
        <v>1920</v>
      </c>
      <c r="B550" t="s">
        <v>1041</v>
      </c>
      <c r="C550" t="s">
        <v>56</v>
      </c>
      <c r="D550">
        <v>14</v>
      </c>
      <c r="E550">
        <v>2</v>
      </c>
      <c r="F550">
        <v>104.2</v>
      </c>
      <c r="G550" t="s">
        <v>1917</v>
      </c>
      <c r="H550" s="3" t="s">
        <v>1921</v>
      </c>
      <c r="I550" s="3" t="s">
        <v>1922</v>
      </c>
      <c r="J550">
        <f t="shared" si="104"/>
        <v>0</v>
      </c>
      <c r="K550">
        <f t="shared" si="105"/>
        <v>1</v>
      </c>
      <c r="L550">
        <f t="shared" si="106"/>
        <v>0</v>
      </c>
      <c r="M550">
        <f t="shared" si="107"/>
        <v>0</v>
      </c>
      <c r="N550">
        <f t="shared" si="108"/>
        <v>1</v>
      </c>
      <c r="O550">
        <f t="shared" si="109"/>
        <v>0</v>
      </c>
      <c r="P550">
        <f t="shared" si="110"/>
        <v>0</v>
      </c>
      <c r="Q550">
        <f t="shared" si="111"/>
        <v>0</v>
      </c>
      <c r="R550">
        <v>0</v>
      </c>
      <c r="S550">
        <v>0</v>
      </c>
      <c r="T550">
        <v>0</v>
      </c>
      <c r="U550">
        <v>0</v>
      </c>
      <c r="V550">
        <v>0</v>
      </c>
      <c r="W550">
        <v>1</v>
      </c>
      <c r="X550">
        <v>0</v>
      </c>
      <c r="Y550">
        <v>0</v>
      </c>
      <c r="Z550">
        <v>0</v>
      </c>
      <c r="AA550">
        <v>0</v>
      </c>
      <c r="AB550">
        <v>0</v>
      </c>
      <c r="AC550">
        <v>0</v>
      </c>
      <c r="AD550">
        <v>0</v>
      </c>
      <c r="AE550">
        <v>0</v>
      </c>
      <c r="AF550">
        <v>0</v>
      </c>
      <c r="AG550">
        <v>0</v>
      </c>
      <c r="AH550">
        <v>1</v>
      </c>
      <c r="AI550">
        <v>0</v>
      </c>
      <c r="AJ550">
        <v>0</v>
      </c>
      <c r="AK550">
        <v>0</v>
      </c>
      <c r="AL550">
        <v>0</v>
      </c>
      <c r="AM550">
        <v>0</v>
      </c>
      <c r="AN550">
        <v>0</v>
      </c>
      <c r="AO550">
        <v>0</v>
      </c>
      <c r="AP550">
        <v>0</v>
      </c>
      <c r="AQ550">
        <v>0</v>
      </c>
      <c r="AR550">
        <v>0</v>
      </c>
      <c r="AS550">
        <f t="shared" si="112"/>
        <v>2</v>
      </c>
      <c r="AT550">
        <f t="shared" si="113"/>
        <v>2</v>
      </c>
      <c r="AU550" s="3" t="s">
        <v>1780</v>
      </c>
      <c r="AV550">
        <f t="shared" si="114"/>
        <v>1</v>
      </c>
      <c r="AW550">
        <f t="shared" si="115"/>
        <v>0</v>
      </c>
      <c r="AX550">
        <f t="shared" si="116"/>
        <v>0</v>
      </c>
      <c r="AY550">
        <v>5.5</v>
      </c>
      <c r="AZ550" t="s">
        <v>60</v>
      </c>
      <c r="BA550" t="s">
        <v>61</v>
      </c>
      <c r="BB550" t="s">
        <v>8</v>
      </c>
    </row>
    <row r="551" ht="34" spans="1:54">
      <c r="A551" t="s">
        <v>1923</v>
      </c>
      <c r="B551" t="s">
        <v>1041</v>
      </c>
      <c r="C551" t="s">
        <v>116</v>
      </c>
      <c r="D551">
        <v>2</v>
      </c>
      <c r="E551">
        <v>0</v>
      </c>
      <c r="F551">
        <v>34.4</v>
      </c>
      <c r="G551" t="s">
        <v>1226</v>
      </c>
      <c r="H551" s="3" t="s">
        <v>1924</v>
      </c>
      <c r="I551" s="3" t="s">
        <v>1925</v>
      </c>
      <c r="J551">
        <f t="shared" si="104"/>
        <v>0</v>
      </c>
      <c r="K551">
        <f t="shared" si="105"/>
        <v>1</v>
      </c>
      <c r="L551">
        <f t="shared" si="106"/>
        <v>0</v>
      </c>
      <c r="M551">
        <f t="shared" si="107"/>
        <v>0</v>
      </c>
      <c r="N551">
        <f t="shared" si="108"/>
        <v>0</v>
      </c>
      <c r="O551">
        <f t="shared" si="109"/>
        <v>0</v>
      </c>
      <c r="P551">
        <f t="shared" si="110"/>
        <v>0</v>
      </c>
      <c r="Q551">
        <f t="shared" si="111"/>
        <v>0</v>
      </c>
      <c r="R551">
        <v>0</v>
      </c>
      <c r="S551">
        <v>0</v>
      </c>
      <c r="T551">
        <v>0</v>
      </c>
      <c r="U551">
        <v>1</v>
      </c>
      <c r="V551">
        <v>0</v>
      </c>
      <c r="W551">
        <v>1</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f t="shared" si="112"/>
        <v>1</v>
      </c>
      <c r="AT551">
        <f t="shared" si="113"/>
        <v>2</v>
      </c>
      <c r="AU551" s="3" t="s">
        <v>1707</v>
      </c>
      <c r="AV551">
        <f t="shared" si="114"/>
        <v>1</v>
      </c>
      <c r="AW551">
        <f t="shared" si="115"/>
        <v>0</v>
      </c>
      <c r="AX551">
        <f t="shared" si="116"/>
        <v>0</v>
      </c>
      <c r="AY551">
        <v>3</v>
      </c>
      <c r="AZ551" t="s">
        <v>60</v>
      </c>
      <c r="BA551" t="s">
        <v>61</v>
      </c>
      <c r="BB551" t="s">
        <v>8</v>
      </c>
    </row>
    <row r="552" ht="185" spans="1:54">
      <c r="A552" t="s">
        <v>1926</v>
      </c>
      <c r="B552" t="s">
        <v>1041</v>
      </c>
      <c r="C552" t="s">
        <v>116</v>
      </c>
      <c r="D552">
        <v>14</v>
      </c>
      <c r="E552">
        <v>1</v>
      </c>
      <c r="F552">
        <v>17.4</v>
      </c>
      <c r="G552" t="s">
        <v>1927</v>
      </c>
      <c r="H552" s="3" t="s">
        <v>1928</v>
      </c>
      <c r="I552" s="3" t="s">
        <v>1929</v>
      </c>
      <c r="J552">
        <f t="shared" si="104"/>
        <v>1</v>
      </c>
      <c r="K552">
        <f t="shared" si="105"/>
        <v>1</v>
      </c>
      <c r="L552">
        <f t="shared" si="106"/>
        <v>0</v>
      </c>
      <c r="M552">
        <f t="shared" si="107"/>
        <v>0</v>
      </c>
      <c r="N552">
        <f t="shared" si="108"/>
        <v>1</v>
      </c>
      <c r="O552">
        <f t="shared" si="109"/>
        <v>1</v>
      </c>
      <c r="P552">
        <f t="shared" si="110"/>
        <v>0</v>
      </c>
      <c r="Q552">
        <f t="shared" si="111"/>
        <v>0</v>
      </c>
      <c r="R552">
        <v>1</v>
      </c>
      <c r="S552">
        <v>0</v>
      </c>
      <c r="T552">
        <v>0</v>
      </c>
      <c r="U552">
        <v>1</v>
      </c>
      <c r="V552">
        <v>0</v>
      </c>
      <c r="W552">
        <v>0</v>
      </c>
      <c r="X552">
        <v>0</v>
      </c>
      <c r="Y552">
        <v>0</v>
      </c>
      <c r="Z552">
        <v>0</v>
      </c>
      <c r="AA552">
        <v>0</v>
      </c>
      <c r="AB552">
        <v>0</v>
      </c>
      <c r="AC552">
        <v>0</v>
      </c>
      <c r="AD552">
        <v>0</v>
      </c>
      <c r="AE552">
        <v>0</v>
      </c>
      <c r="AF552">
        <v>0</v>
      </c>
      <c r="AG552">
        <v>0</v>
      </c>
      <c r="AH552">
        <v>1</v>
      </c>
      <c r="AI552">
        <v>1</v>
      </c>
      <c r="AJ552">
        <v>0</v>
      </c>
      <c r="AK552">
        <v>0</v>
      </c>
      <c r="AL552">
        <v>0</v>
      </c>
      <c r="AM552">
        <v>0</v>
      </c>
      <c r="AN552">
        <v>0</v>
      </c>
      <c r="AO552">
        <v>0</v>
      </c>
      <c r="AP552">
        <v>0</v>
      </c>
      <c r="AQ552">
        <v>0</v>
      </c>
      <c r="AR552">
        <v>0</v>
      </c>
      <c r="AS552">
        <f t="shared" si="112"/>
        <v>4</v>
      </c>
      <c r="AT552">
        <f t="shared" si="113"/>
        <v>4</v>
      </c>
      <c r="AU552" s="3" t="s">
        <v>1930</v>
      </c>
      <c r="AV552">
        <f t="shared" si="114"/>
        <v>1</v>
      </c>
      <c r="AW552">
        <f t="shared" si="115"/>
        <v>0</v>
      </c>
      <c r="AX552">
        <f t="shared" si="116"/>
        <v>0</v>
      </c>
      <c r="AY552">
        <v>1.5</v>
      </c>
      <c r="AZ552" t="s">
        <v>60</v>
      </c>
      <c r="BA552" t="s">
        <v>61</v>
      </c>
      <c r="BB552" t="s">
        <v>8</v>
      </c>
    </row>
    <row r="553" ht="152" spans="1:54">
      <c r="A553" t="s">
        <v>1931</v>
      </c>
      <c r="B553" t="s">
        <v>1041</v>
      </c>
      <c r="C553" t="s">
        <v>56</v>
      </c>
      <c r="D553">
        <v>2</v>
      </c>
      <c r="E553">
        <v>0</v>
      </c>
      <c r="F553">
        <v>90.2</v>
      </c>
      <c r="G553" t="s">
        <v>1932</v>
      </c>
      <c r="H553" s="3" t="s">
        <v>1933</v>
      </c>
      <c r="I553" s="3" t="s">
        <v>1934</v>
      </c>
      <c r="J553">
        <f t="shared" si="104"/>
        <v>1</v>
      </c>
      <c r="K553">
        <f t="shared" si="105"/>
        <v>1</v>
      </c>
      <c r="L553">
        <f t="shared" si="106"/>
        <v>0</v>
      </c>
      <c r="M553">
        <f t="shared" si="107"/>
        <v>0</v>
      </c>
      <c r="N553">
        <f t="shared" si="108"/>
        <v>1</v>
      </c>
      <c r="O553">
        <f t="shared" si="109"/>
        <v>0</v>
      </c>
      <c r="P553">
        <f t="shared" si="110"/>
        <v>1</v>
      </c>
      <c r="Q553">
        <f t="shared" si="111"/>
        <v>0</v>
      </c>
      <c r="R553">
        <v>0</v>
      </c>
      <c r="S553">
        <v>1</v>
      </c>
      <c r="T553">
        <v>0</v>
      </c>
      <c r="U553">
        <v>1</v>
      </c>
      <c r="V553">
        <v>0</v>
      </c>
      <c r="W553">
        <v>0</v>
      </c>
      <c r="X553">
        <v>0</v>
      </c>
      <c r="Y553">
        <v>0</v>
      </c>
      <c r="Z553">
        <v>0</v>
      </c>
      <c r="AA553">
        <v>0</v>
      </c>
      <c r="AB553">
        <v>0</v>
      </c>
      <c r="AC553">
        <v>0</v>
      </c>
      <c r="AD553">
        <v>0</v>
      </c>
      <c r="AE553">
        <v>0</v>
      </c>
      <c r="AF553">
        <v>0</v>
      </c>
      <c r="AG553">
        <v>0</v>
      </c>
      <c r="AH553">
        <v>1</v>
      </c>
      <c r="AI553">
        <v>0</v>
      </c>
      <c r="AJ553">
        <v>0</v>
      </c>
      <c r="AK553">
        <v>0</v>
      </c>
      <c r="AL553">
        <v>0</v>
      </c>
      <c r="AM553">
        <v>0</v>
      </c>
      <c r="AN553">
        <v>0</v>
      </c>
      <c r="AO553">
        <v>0</v>
      </c>
      <c r="AP553">
        <v>0</v>
      </c>
      <c r="AQ553">
        <v>1</v>
      </c>
      <c r="AR553">
        <v>0</v>
      </c>
      <c r="AS553">
        <f t="shared" si="112"/>
        <v>4</v>
      </c>
      <c r="AT553">
        <f t="shared" si="113"/>
        <v>4</v>
      </c>
      <c r="AU553" s="3" t="s">
        <v>1935</v>
      </c>
      <c r="AV553">
        <f t="shared" si="114"/>
        <v>1</v>
      </c>
      <c r="AW553">
        <f t="shared" si="115"/>
        <v>0</v>
      </c>
      <c r="AX553">
        <f t="shared" si="116"/>
        <v>0</v>
      </c>
      <c r="AY553">
        <v>4.5</v>
      </c>
      <c r="AZ553" t="s">
        <v>60</v>
      </c>
      <c r="BA553" t="s">
        <v>61</v>
      </c>
      <c r="BB553" t="s">
        <v>8</v>
      </c>
    </row>
    <row r="554" ht="17" spans="1:54">
      <c r="A554" t="s">
        <v>1936</v>
      </c>
      <c r="B554" t="s">
        <v>1041</v>
      </c>
      <c r="C554" t="s">
        <v>56</v>
      </c>
      <c r="D554">
        <v>0</v>
      </c>
      <c r="E554">
        <v>0</v>
      </c>
      <c r="F554">
        <v>111.9</v>
      </c>
      <c r="G554" t="s">
        <v>1937</v>
      </c>
      <c r="H554" s="3" t="s">
        <v>1938</v>
      </c>
      <c r="I554" s="3" t="s">
        <v>1513</v>
      </c>
      <c r="J554">
        <f t="shared" si="104"/>
        <v>0</v>
      </c>
      <c r="K554">
        <f t="shared" si="105"/>
        <v>0</v>
      </c>
      <c r="L554">
        <f t="shared" si="106"/>
        <v>0</v>
      </c>
      <c r="M554">
        <f t="shared" si="107"/>
        <v>0</v>
      </c>
      <c r="N554">
        <f t="shared" si="108"/>
        <v>0</v>
      </c>
      <c r="O554">
        <f t="shared" si="109"/>
        <v>0</v>
      </c>
      <c r="P554">
        <f t="shared" si="110"/>
        <v>0</v>
      </c>
      <c r="Q554">
        <f t="shared" si="111"/>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f t="shared" si="112"/>
        <v>0</v>
      </c>
      <c r="AT554">
        <f t="shared" si="113"/>
        <v>0</v>
      </c>
      <c r="AU554" s="3" t="s">
        <v>118</v>
      </c>
      <c r="AV554">
        <f t="shared" si="114"/>
        <v>0</v>
      </c>
      <c r="AW554">
        <f t="shared" si="115"/>
        <v>1</v>
      </c>
      <c r="AX554">
        <f t="shared" si="116"/>
        <v>0</v>
      </c>
      <c r="AY554">
        <v>1.5</v>
      </c>
      <c r="AZ554" t="s">
        <v>60</v>
      </c>
      <c r="BA554" t="s">
        <v>61</v>
      </c>
      <c r="BB554" t="s">
        <v>8</v>
      </c>
    </row>
    <row r="555" ht="17" spans="1:54">
      <c r="A555" t="s">
        <v>1939</v>
      </c>
      <c r="B555" t="s">
        <v>1041</v>
      </c>
      <c r="C555" t="s">
        <v>56</v>
      </c>
      <c r="D555">
        <v>0</v>
      </c>
      <c r="E555">
        <v>0</v>
      </c>
      <c r="F555">
        <v>114.6</v>
      </c>
      <c r="G555" t="s">
        <v>1940</v>
      </c>
      <c r="H555" s="3" t="s">
        <v>1941</v>
      </c>
      <c r="I555" s="3" t="s">
        <v>1942</v>
      </c>
      <c r="J555">
        <f t="shared" si="104"/>
        <v>0</v>
      </c>
      <c r="K555">
        <f t="shared" si="105"/>
        <v>0</v>
      </c>
      <c r="L555">
        <f t="shared" si="106"/>
        <v>0</v>
      </c>
      <c r="M555">
        <f t="shared" si="107"/>
        <v>0</v>
      </c>
      <c r="N555">
        <f t="shared" si="108"/>
        <v>1</v>
      </c>
      <c r="O555">
        <f t="shared" si="109"/>
        <v>0</v>
      </c>
      <c r="P555">
        <f t="shared" si="110"/>
        <v>0</v>
      </c>
      <c r="Q555">
        <f t="shared" si="111"/>
        <v>0</v>
      </c>
      <c r="R555">
        <v>0</v>
      </c>
      <c r="S555">
        <v>0</v>
      </c>
      <c r="T555">
        <v>0</v>
      </c>
      <c r="U555">
        <v>0</v>
      </c>
      <c r="V555">
        <v>0</v>
      </c>
      <c r="W555">
        <v>0</v>
      </c>
      <c r="X555">
        <v>0</v>
      </c>
      <c r="Y555">
        <v>0</v>
      </c>
      <c r="Z555">
        <v>0</v>
      </c>
      <c r="AA555">
        <v>0</v>
      </c>
      <c r="AB555">
        <v>0</v>
      </c>
      <c r="AC555">
        <v>0</v>
      </c>
      <c r="AD555">
        <v>0</v>
      </c>
      <c r="AE555">
        <v>0</v>
      </c>
      <c r="AF555">
        <v>0</v>
      </c>
      <c r="AG555">
        <v>0</v>
      </c>
      <c r="AH555">
        <v>1</v>
      </c>
      <c r="AI555">
        <v>0</v>
      </c>
      <c r="AJ555">
        <v>0</v>
      </c>
      <c r="AK555">
        <v>0</v>
      </c>
      <c r="AL555">
        <v>0</v>
      </c>
      <c r="AM555">
        <v>0</v>
      </c>
      <c r="AN555">
        <v>0</v>
      </c>
      <c r="AO555">
        <v>0</v>
      </c>
      <c r="AP555">
        <v>0</v>
      </c>
      <c r="AQ555">
        <v>0</v>
      </c>
      <c r="AR555">
        <v>0</v>
      </c>
      <c r="AS555">
        <f t="shared" si="112"/>
        <v>1</v>
      </c>
      <c r="AT555">
        <f t="shared" si="113"/>
        <v>1</v>
      </c>
      <c r="AU555" s="3" t="s">
        <v>129</v>
      </c>
      <c r="AV555">
        <f t="shared" si="114"/>
        <v>1</v>
      </c>
      <c r="AW555">
        <f t="shared" si="115"/>
        <v>0</v>
      </c>
      <c r="AX555">
        <f t="shared" si="116"/>
        <v>0</v>
      </c>
      <c r="AY555">
        <v>1.5</v>
      </c>
      <c r="AZ555" t="s">
        <v>60</v>
      </c>
      <c r="BA555" t="s">
        <v>61</v>
      </c>
      <c r="BB555" t="s">
        <v>8</v>
      </c>
    </row>
    <row r="556" ht="135" spans="1:54">
      <c r="A556" t="s">
        <v>1943</v>
      </c>
      <c r="B556" t="s">
        <v>1041</v>
      </c>
      <c r="C556" t="s">
        <v>56</v>
      </c>
      <c r="D556">
        <v>2</v>
      </c>
      <c r="E556">
        <v>0</v>
      </c>
      <c r="F556">
        <v>37.6</v>
      </c>
      <c r="G556" t="s">
        <v>610</v>
      </c>
      <c r="H556" s="3" t="s">
        <v>1944</v>
      </c>
      <c r="I556" s="3" t="s">
        <v>1945</v>
      </c>
      <c r="J556">
        <f t="shared" si="104"/>
        <v>0</v>
      </c>
      <c r="K556">
        <f t="shared" si="105"/>
        <v>1</v>
      </c>
      <c r="L556">
        <f t="shared" si="106"/>
        <v>0</v>
      </c>
      <c r="M556">
        <f t="shared" si="107"/>
        <v>0</v>
      </c>
      <c r="N556">
        <f t="shared" si="108"/>
        <v>1</v>
      </c>
      <c r="O556">
        <f t="shared" si="109"/>
        <v>0</v>
      </c>
      <c r="P556">
        <f t="shared" si="110"/>
        <v>0</v>
      </c>
      <c r="Q556">
        <f t="shared" si="111"/>
        <v>0</v>
      </c>
      <c r="R556">
        <v>0</v>
      </c>
      <c r="S556">
        <v>0</v>
      </c>
      <c r="T556">
        <v>0</v>
      </c>
      <c r="U556">
        <v>1</v>
      </c>
      <c r="V556">
        <v>0</v>
      </c>
      <c r="W556">
        <v>0</v>
      </c>
      <c r="X556">
        <v>0</v>
      </c>
      <c r="Y556">
        <v>0</v>
      </c>
      <c r="Z556">
        <v>0</v>
      </c>
      <c r="AA556">
        <v>0</v>
      </c>
      <c r="AB556">
        <v>0</v>
      </c>
      <c r="AC556">
        <v>0</v>
      </c>
      <c r="AD556">
        <v>0</v>
      </c>
      <c r="AE556">
        <v>0</v>
      </c>
      <c r="AF556">
        <v>0</v>
      </c>
      <c r="AG556">
        <v>1</v>
      </c>
      <c r="AH556">
        <v>1</v>
      </c>
      <c r="AI556">
        <v>0</v>
      </c>
      <c r="AJ556">
        <v>0</v>
      </c>
      <c r="AK556">
        <v>0</v>
      </c>
      <c r="AL556">
        <v>0</v>
      </c>
      <c r="AM556">
        <v>0</v>
      </c>
      <c r="AN556">
        <v>0</v>
      </c>
      <c r="AO556">
        <v>0</v>
      </c>
      <c r="AP556">
        <v>0</v>
      </c>
      <c r="AQ556">
        <v>0</v>
      </c>
      <c r="AR556">
        <v>0</v>
      </c>
      <c r="AS556">
        <f t="shared" si="112"/>
        <v>2</v>
      </c>
      <c r="AT556">
        <f t="shared" si="113"/>
        <v>3</v>
      </c>
      <c r="AU556" s="3" t="s">
        <v>1688</v>
      </c>
      <c r="AV556">
        <f t="shared" si="114"/>
        <v>1</v>
      </c>
      <c r="AW556">
        <f t="shared" si="115"/>
        <v>0</v>
      </c>
      <c r="AX556">
        <f t="shared" si="116"/>
        <v>0</v>
      </c>
      <c r="AY556">
        <v>5</v>
      </c>
      <c r="AZ556" t="s">
        <v>60</v>
      </c>
      <c r="BA556" t="s">
        <v>61</v>
      </c>
      <c r="BB556" t="s">
        <v>8</v>
      </c>
    </row>
    <row r="557" ht="152" spans="1:54">
      <c r="A557" t="s">
        <v>1946</v>
      </c>
      <c r="B557" t="s">
        <v>1041</v>
      </c>
      <c r="C557" t="s">
        <v>56</v>
      </c>
      <c r="D557">
        <v>0</v>
      </c>
      <c r="E557">
        <v>0</v>
      </c>
      <c r="F557">
        <v>53.8</v>
      </c>
      <c r="G557" t="s">
        <v>623</v>
      </c>
      <c r="H557" s="3" t="s">
        <v>1947</v>
      </c>
      <c r="I557" s="3" t="s">
        <v>1948</v>
      </c>
      <c r="J557">
        <f t="shared" si="104"/>
        <v>0</v>
      </c>
      <c r="K557">
        <f t="shared" si="105"/>
        <v>1</v>
      </c>
      <c r="L557">
        <f t="shared" si="106"/>
        <v>0</v>
      </c>
      <c r="M557">
        <f t="shared" si="107"/>
        <v>0</v>
      </c>
      <c r="N557">
        <f t="shared" si="108"/>
        <v>0</v>
      </c>
      <c r="O557">
        <f t="shared" si="109"/>
        <v>0</v>
      </c>
      <c r="P557">
        <f t="shared" si="110"/>
        <v>0</v>
      </c>
      <c r="Q557">
        <f t="shared" si="111"/>
        <v>0</v>
      </c>
      <c r="R557">
        <v>0</v>
      </c>
      <c r="S557">
        <v>0</v>
      </c>
      <c r="T557">
        <v>0</v>
      </c>
      <c r="U557">
        <v>1</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f t="shared" si="112"/>
        <v>1</v>
      </c>
      <c r="AT557">
        <f t="shared" si="113"/>
        <v>1</v>
      </c>
      <c r="AU557" s="3" t="s">
        <v>123</v>
      </c>
      <c r="AV557">
        <f t="shared" si="114"/>
        <v>1</v>
      </c>
      <c r="AW557">
        <f t="shared" si="115"/>
        <v>0</v>
      </c>
      <c r="AX557">
        <f t="shared" si="116"/>
        <v>0</v>
      </c>
      <c r="AY557">
        <v>5.5</v>
      </c>
      <c r="AZ557" t="s">
        <v>60</v>
      </c>
      <c r="BA557" t="s">
        <v>61</v>
      </c>
      <c r="BB557" t="s">
        <v>8</v>
      </c>
    </row>
    <row r="558" ht="34" spans="1:54">
      <c r="A558" t="s">
        <v>1949</v>
      </c>
      <c r="B558" t="s">
        <v>1041</v>
      </c>
      <c r="C558" t="s">
        <v>56</v>
      </c>
      <c r="D558">
        <v>0</v>
      </c>
      <c r="E558">
        <v>0</v>
      </c>
      <c r="F558">
        <v>46.2</v>
      </c>
      <c r="G558" t="s">
        <v>1841</v>
      </c>
      <c r="H558" s="3" t="s">
        <v>1950</v>
      </c>
      <c r="I558" s="3" t="s">
        <v>1951</v>
      </c>
      <c r="J558">
        <f t="shared" si="104"/>
        <v>0</v>
      </c>
      <c r="K558">
        <f t="shared" si="105"/>
        <v>1</v>
      </c>
      <c r="L558">
        <f t="shared" si="106"/>
        <v>0</v>
      </c>
      <c r="M558">
        <f t="shared" si="107"/>
        <v>0</v>
      </c>
      <c r="N558">
        <f t="shared" si="108"/>
        <v>0</v>
      </c>
      <c r="O558">
        <f t="shared" si="109"/>
        <v>0</v>
      </c>
      <c r="P558">
        <f t="shared" si="110"/>
        <v>0</v>
      </c>
      <c r="Q558">
        <f t="shared" si="111"/>
        <v>0</v>
      </c>
      <c r="R558">
        <v>0</v>
      </c>
      <c r="S558">
        <v>0</v>
      </c>
      <c r="T558">
        <v>0</v>
      </c>
      <c r="U558">
        <v>0</v>
      </c>
      <c r="V558">
        <v>0</v>
      </c>
      <c r="W558">
        <v>1</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f t="shared" si="112"/>
        <v>1</v>
      </c>
      <c r="AT558">
        <f t="shared" si="113"/>
        <v>1</v>
      </c>
      <c r="AU558" s="3" t="s">
        <v>271</v>
      </c>
      <c r="AV558">
        <f t="shared" si="114"/>
        <v>1</v>
      </c>
      <c r="AW558">
        <f t="shared" si="115"/>
        <v>0</v>
      </c>
      <c r="AX558">
        <f t="shared" si="116"/>
        <v>0</v>
      </c>
      <c r="AY558">
        <v>3</v>
      </c>
      <c r="AZ558" t="s">
        <v>60</v>
      </c>
      <c r="BA558" t="s">
        <v>61</v>
      </c>
      <c r="BB558" t="s">
        <v>8</v>
      </c>
    </row>
    <row r="559" ht="34" spans="1:54">
      <c r="A559" t="s">
        <v>1952</v>
      </c>
      <c r="B559" t="s">
        <v>1041</v>
      </c>
      <c r="C559" t="s">
        <v>56</v>
      </c>
      <c r="D559">
        <v>0</v>
      </c>
      <c r="E559">
        <v>0</v>
      </c>
      <c r="F559">
        <v>22.5</v>
      </c>
      <c r="G559" t="s">
        <v>1841</v>
      </c>
      <c r="H559" s="3" t="s">
        <v>1953</v>
      </c>
      <c r="I559" s="3" t="s">
        <v>1954</v>
      </c>
      <c r="J559">
        <f t="shared" si="104"/>
        <v>0</v>
      </c>
      <c r="K559">
        <f t="shared" si="105"/>
        <v>0</v>
      </c>
      <c r="L559">
        <f t="shared" si="106"/>
        <v>0</v>
      </c>
      <c r="M559">
        <f t="shared" si="107"/>
        <v>0</v>
      </c>
      <c r="N559">
        <f t="shared" si="108"/>
        <v>0</v>
      </c>
      <c r="O559">
        <f t="shared" si="109"/>
        <v>0</v>
      </c>
      <c r="P559">
        <f t="shared" si="110"/>
        <v>0</v>
      </c>
      <c r="Q559">
        <f t="shared" si="111"/>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f t="shared" si="112"/>
        <v>0</v>
      </c>
      <c r="AT559">
        <f t="shared" si="113"/>
        <v>0</v>
      </c>
      <c r="AU559" s="3" t="s">
        <v>118</v>
      </c>
      <c r="AV559">
        <f t="shared" si="114"/>
        <v>0</v>
      </c>
      <c r="AW559">
        <f t="shared" si="115"/>
        <v>1</v>
      </c>
      <c r="AX559">
        <f t="shared" si="116"/>
        <v>0</v>
      </c>
      <c r="AY559">
        <v>2</v>
      </c>
      <c r="AZ559" t="s">
        <v>60</v>
      </c>
      <c r="BA559" t="s">
        <v>61</v>
      </c>
      <c r="BB559" t="s">
        <v>8</v>
      </c>
    </row>
    <row r="560" ht="51" spans="1:54">
      <c r="A560" t="s">
        <v>1955</v>
      </c>
      <c r="B560" t="s">
        <v>1041</v>
      </c>
      <c r="C560" t="s">
        <v>56</v>
      </c>
      <c r="D560">
        <v>3</v>
      </c>
      <c r="E560">
        <v>0</v>
      </c>
      <c r="F560">
        <v>70.6</v>
      </c>
      <c r="G560" t="s">
        <v>649</v>
      </c>
      <c r="H560" s="3" t="s">
        <v>1956</v>
      </c>
      <c r="I560" s="3" t="s">
        <v>1957</v>
      </c>
      <c r="J560">
        <f t="shared" si="104"/>
        <v>0</v>
      </c>
      <c r="K560">
        <f t="shared" si="105"/>
        <v>0</v>
      </c>
      <c r="L560">
        <f t="shared" si="106"/>
        <v>0</v>
      </c>
      <c r="M560">
        <f t="shared" si="107"/>
        <v>0</v>
      </c>
      <c r="N560">
        <f t="shared" si="108"/>
        <v>0</v>
      </c>
      <c r="O560">
        <f t="shared" si="109"/>
        <v>1</v>
      </c>
      <c r="P560">
        <f t="shared" si="110"/>
        <v>0</v>
      </c>
      <c r="Q560">
        <f t="shared" si="111"/>
        <v>1</v>
      </c>
      <c r="R560">
        <v>0</v>
      </c>
      <c r="S560">
        <v>0</v>
      </c>
      <c r="T560">
        <v>0</v>
      </c>
      <c r="U560">
        <v>0</v>
      </c>
      <c r="V560">
        <v>0</v>
      </c>
      <c r="W560">
        <v>0</v>
      </c>
      <c r="X560">
        <v>0</v>
      </c>
      <c r="Y560">
        <v>0</v>
      </c>
      <c r="Z560">
        <v>0</v>
      </c>
      <c r="AA560">
        <v>0</v>
      </c>
      <c r="AB560">
        <v>0</v>
      </c>
      <c r="AC560">
        <v>0</v>
      </c>
      <c r="AD560">
        <v>0</v>
      </c>
      <c r="AE560">
        <v>0</v>
      </c>
      <c r="AF560">
        <v>0</v>
      </c>
      <c r="AG560">
        <v>0</v>
      </c>
      <c r="AH560">
        <v>0</v>
      </c>
      <c r="AI560">
        <v>1</v>
      </c>
      <c r="AJ560">
        <v>0</v>
      </c>
      <c r="AK560">
        <v>0</v>
      </c>
      <c r="AL560">
        <v>1</v>
      </c>
      <c r="AM560">
        <v>0</v>
      </c>
      <c r="AN560">
        <v>0</v>
      </c>
      <c r="AO560">
        <v>0</v>
      </c>
      <c r="AP560">
        <v>0</v>
      </c>
      <c r="AQ560">
        <v>0</v>
      </c>
      <c r="AR560">
        <v>1</v>
      </c>
      <c r="AS560">
        <f t="shared" si="112"/>
        <v>2</v>
      </c>
      <c r="AT560">
        <f t="shared" si="113"/>
        <v>3</v>
      </c>
      <c r="AU560" s="3" t="s">
        <v>1958</v>
      </c>
      <c r="AV560">
        <f t="shared" si="114"/>
        <v>1</v>
      </c>
      <c r="AW560">
        <f t="shared" si="115"/>
        <v>0</v>
      </c>
      <c r="AX560">
        <f t="shared" si="116"/>
        <v>0</v>
      </c>
      <c r="AY560">
        <v>3.5</v>
      </c>
      <c r="AZ560" t="s">
        <v>60</v>
      </c>
      <c r="BA560" t="s">
        <v>61</v>
      </c>
      <c r="BB560" t="s">
        <v>8</v>
      </c>
    </row>
    <row r="561" ht="409.5" spans="1:54">
      <c r="A561" t="s">
        <v>1959</v>
      </c>
      <c r="B561" t="s">
        <v>1041</v>
      </c>
      <c r="C561" t="s">
        <v>56</v>
      </c>
      <c r="D561">
        <v>902</v>
      </c>
      <c r="E561">
        <v>72</v>
      </c>
      <c r="F561">
        <v>117.5</v>
      </c>
      <c r="G561" t="s">
        <v>649</v>
      </c>
      <c r="H561" s="3" t="s">
        <v>1960</v>
      </c>
      <c r="I561" s="3" t="s">
        <v>1961</v>
      </c>
      <c r="J561">
        <f t="shared" si="104"/>
        <v>0</v>
      </c>
      <c r="K561">
        <f t="shared" si="105"/>
        <v>1</v>
      </c>
      <c r="L561">
        <f t="shared" si="106"/>
        <v>0</v>
      </c>
      <c r="M561">
        <f t="shared" si="107"/>
        <v>0</v>
      </c>
      <c r="N561">
        <f t="shared" si="108"/>
        <v>0</v>
      </c>
      <c r="O561">
        <f t="shared" si="109"/>
        <v>1</v>
      </c>
      <c r="P561">
        <f t="shared" si="110"/>
        <v>0</v>
      </c>
      <c r="Q561">
        <f t="shared" si="111"/>
        <v>0</v>
      </c>
      <c r="R561">
        <v>0</v>
      </c>
      <c r="S561">
        <v>0</v>
      </c>
      <c r="T561">
        <v>0</v>
      </c>
      <c r="U561">
        <v>0</v>
      </c>
      <c r="V561">
        <v>0</v>
      </c>
      <c r="W561">
        <v>1</v>
      </c>
      <c r="X561">
        <v>0</v>
      </c>
      <c r="Y561">
        <v>0</v>
      </c>
      <c r="Z561">
        <v>0</v>
      </c>
      <c r="AA561">
        <v>0</v>
      </c>
      <c r="AB561">
        <v>0</v>
      </c>
      <c r="AC561">
        <v>0</v>
      </c>
      <c r="AD561">
        <v>0</v>
      </c>
      <c r="AE561">
        <v>0</v>
      </c>
      <c r="AF561">
        <v>0</v>
      </c>
      <c r="AG561">
        <v>0</v>
      </c>
      <c r="AH561">
        <v>0</v>
      </c>
      <c r="AI561">
        <v>1</v>
      </c>
      <c r="AJ561">
        <v>0</v>
      </c>
      <c r="AK561">
        <v>0</v>
      </c>
      <c r="AL561">
        <v>0</v>
      </c>
      <c r="AM561">
        <v>0</v>
      </c>
      <c r="AN561">
        <v>0</v>
      </c>
      <c r="AO561">
        <v>0</v>
      </c>
      <c r="AP561">
        <v>0</v>
      </c>
      <c r="AQ561">
        <v>0</v>
      </c>
      <c r="AR561">
        <v>0</v>
      </c>
      <c r="AS561">
        <f t="shared" si="112"/>
        <v>2</v>
      </c>
      <c r="AT561">
        <f t="shared" si="113"/>
        <v>2</v>
      </c>
      <c r="AU561" s="3" t="s">
        <v>232</v>
      </c>
      <c r="AV561">
        <f t="shared" si="114"/>
        <v>1</v>
      </c>
      <c r="AW561">
        <f t="shared" si="115"/>
        <v>0</v>
      </c>
      <c r="AX561">
        <f t="shared" si="116"/>
        <v>0</v>
      </c>
      <c r="AY561">
        <v>5</v>
      </c>
      <c r="AZ561" t="s">
        <v>60</v>
      </c>
      <c r="BA561" t="s">
        <v>61</v>
      </c>
      <c r="BB561" t="s">
        <v>8</v>
      </c>
    </row>
    <row r="562" ht="409.5" spans="1:54">
      <c r="A562" t="s">
        <v>1962</v>
      </c>
      <c r="B562" t="s">
        <v>1041</v>
      </c>
      <c r="C562" t="s">
        <v>56</v>
      </c>
      <c r="D562">
        <v>6</v>
      </c>
      <c r="E562">
        <v>2</v>
      </c>
      <c r="F562">
        <v>56.3</v>
      </c>
      <c r="G562" t="s">
        <v>1963</v>
      </c>
      <c r="H562" s="3" t="s">
        <v>1964</v>
      </c>
      <c r="I562" s="3" t="s">
        <v>1965</v>
      </c>
      <c r="J562">
        <f t="shared" si="104"/>
        <v>0</v>
      </c>
      <c r="K562">
        <f t="shared" si="105"/>
        <v>0</v>
      </c>
      <c r="L562">
        <f t="shared" si="106"/>
        <v>0</v>
      </c>
      <c r="M562">
        <f t="shared" si="107"/>
        <v>0</v>
      </c>
      <c r="N562">
        <f t="shared" si="108"/>
        <v>1</v>
      </c>
      <c r="O562">
        <f t="shared" si="109"/>
        <v>1</v>
      </c>
      <c r="P562">
        <f t="shared" si="110"/>
        <v>0</v>
      </c>
      <c r="Q562">
        <f t="shared" si="111"/>
        <v>0</v>
      </c>
      <c r="R562">
        <v>0</v>
      </c>
      <c r="S562">
        <v>0</v>
      </c>
      <c r="T562">
        <v>0</v>
      </c>
      <c r="U562">
        <v>0</v>
      </c>
      <c r="V562">
        <v>0</v>
      </c>
      <c r="W562">
        <v>0</v>
      </c>
      <c r="X562">
        <v>0</v>
      </c>
      <c r="Y562">
        <v>0</v>
      </c>
      <c r="Z562">
        <v>0</v>
      </c>
      <c r="AA562">
        <v>0</v>
      </c>
      <c r="AB562">
        <v>0</v>
      </c>
      <c r="AC562">
        <v>0</v>
      </c>
      <c r="AD562">
        <v>0</v>
      </c>
      <c r="AE562">
        <v>0</v>
      </c>
      <c r="AF562">
        <v>0</v>
      </c>
      <c r="AG562">
        <v>0</v>
      </c>
      <c r="AH562">
        <v>1</v>
      </c>
      <c r="AI562">
        <v>1</v>
      </c>
      <c r="AJ562">
        <v>0</v>
      </c>
      <c r="AK562">
        <v>0</v>
      </c>
      <c r="AL562">
        <v>0</v>
      </c>
      <c r="AM562">
        <v>0</v>
      </c>
      <c r="AN562">
        <v>0</v>
      </c>
      <c r="AO562">
        <v>0</v>
      </c>
      <c r="AP562">
        <v>0</v>
      </c>
      <c r="AQ562">
        <v>0</v>
      </c>
      <c r="AR562">
        <v>0</v>
      </c>
      <c r="AS562">
        <f t="shared" si="112"/>
        <v>2</v>
      </c>
      <c r="AT562">
        <f t="shared" si="113"/>
        <v>2</v>
      </c>
      <c r="AU562" s="3" t="s">
        <v>103</v>
      </c>
      <c r="AV562">
        <f t="shared" si="114"/>
        <v>1</v>
      </c>
      <c r="AW562">
        <f t="shared" si="115"/>
        <v>0</v>
      </c>
      <c r="AX562">
        <f t="shared" si="116"/>
        <v>0</v>
      </c>
      <c r="AY562">
        <v>-0.5</v>
      </c>
      <c r="AZ562" t="s">
        <v>133</v>
      </c>
      <c r="BA562" t="s">
        <v>134</v>
      </c>
      <c r="BB562" t="s">
        <v>8</v>
      </c>
    </row>
    <row r="563" ht="17" spans="1:54">
      <c r="A563" t="s">
        <v>1966</v>
      </c>
      <c r="B563" t="s">
        <v>1041</v>
      </c>
      <c r="C563" t="s">
        <v>56</v>
      </c>
      <c r="D563">
        <v>0</v>
      </c>
      <c r="E563">
        <v>0</v>
      </c>
      <c r="F563">
        <v>47.9</v>
      </c>
      <c r="G563" t="s">
        <v>1967</v>
      </c>
      <c r="H563" s="3" t="s">
        <v>1968</v>
      </c>
      <c r="I563" s="3" t="s">
        <v>1968</v>
      </c>
      <c r="J563">
        <f t="shared" si="104"/>
        <v>0</v>
      </c>
      <c r="K563">
        <f t="shared" si="105"/>
        <v>0</v>
      </c>
      <c r="L563">
        <f t="shared" si="106"/>
        <v>0</v>
      </c>
      <c r="M563">
        <f t="shared" si="107"/>
        <v>0</v>
      </c>
      <c r="N563">
        <f t="shared" si="108"/>
        <v>0</v>
      </c>
      <c r="O563">
        <f t="shared" si="109"/>
        <v>0</v>
      </c>
      <c r="P563">
        <f t="shared" si="110"/>
        <v>0</v>
      </c>
      <c r="Q563">
        <f t="shared" si="111"/>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f t="shared" si="112"/>
        <v>0</v>
      </c>
      <c r="AT563">
        <f t="shared" si="113"/>
        <v>0</v>
      </c>
      <c r="AU563" s="3" t="s">
        <v>118</v>
      </c>
      <c r="AV563">
        <f t="shared" si="114"/>
        <v>0</v>
      </c>
      <c r="AW563">
        <f t="shared" si="115"/>
        <v>1</v>
      </c>
      <c r="AX563">
        <f t="shared" si="116"/>
        <v>0</v>
      </c>
      <c r="AY563">
        <v>0</v>
      </c>
      <c r="AZ563" t="s">
        <v>147</v>
      </c>
      <c r="BA563" t="s">
        <v>148</v>
      </c>
      <c r="BB563" t="s">
        <v>8</v>
      </c>
    </row>
    <row r="564" ht="185" spans="1:54">
      <c r="A564" t="s">
        <v>1969</v>
      </c>
      <c r="B564" t="s">
        <v>1041</v>
      </c>
      <c r="C564" t="s">
        <v>56</v>
      </c>
      <c r="D564">
        <v>2</v>
      </c>
      <c r="E564">
        <v>0</v>
      </c>
      <c r="F564">
        <v>46.8</v>
      </c>
      <c r="G564" t="s">
        <v>1970</v>
      </c>
      <c r="H564" s="3" t="s">
        <v>1971</v>
      </c>
      <c r="I564" s="3" t="s">
        <v>1972</v>
      </c>
      <c r="J564">
        <f t="shared" si="104"/>
        <v>0</v>
      </c>
      <c r="K564">
        <f t="shared" si="105"/>
        <v>1</v>
      </c>
      <c r="L564">
        <f t="shared" si="106"/>
        <v>1</v>
      </c>
      <c r="M564">
        <f t="shared" si="107"/>
        <v>0</v>
      </c>
      <c r="N564">
        <f t="shared" si="108"/>
        <v>1</v>
      </c>
      <c r="O564">
        <f t="shared" si="109"/>
        <v>0</v>
      </c>
      <c r="P564">
        <f t="shared" si="110"/>
        <v>0</v>
      </c>
      <c r="Q564">
        <f t="shared" si="111"/>
        <v>0</v>
      </c>
      <c r="R564">
        <v>0</v>
      </c>
      <c r="S564">
        <v>0</v>
      </c>
      <c r="T564">
        <v>0</v>
      </c>
      <c r="U564">
        <v>0</v>
      </c>
      <c r="V564">
        <v>0</v>
      </c>
      <c r="W564">
        <v>1</v>
      </c>
      <c r="X564">
        <v>0</v>
      </c>
      <c r="Y564">
        <v>0</v>
      </c>
      <c r="Z564">
        <v>0</v>
      </c>
      <c r="AA564">
        <v>0</v>
      </c>
      <c r="AB564">
        <v>1</v>
      </c>
      <c r="AC564">
        <v>0</v>
      </c>
      <c r="AD564">
        <v>0</v>
      </c>
      <c r="AE564">
        <v>0</v>
      </c>
      <c r="AF564">
        <v>0</v>
      </c>
      <c r="AG564">
        <v>0</v>
      </c>
      <c r="AH564">
        <v>1</v>
      </c>
      <c r="AI564">
        <v>0</v>
      </c>
      <c r="AJ564">
        <v>0</v>
      </c>
      <c r="AK564">
        <v>0</v>
      </c>
      <c r="AL564">
        <v>0</v>
      </c>
      <c r="AM564">
        <v>0</v>
      </c>
      <c r="AN564">
        <v>0</v>
      </c>
      <c r="AO564">
        <v>0</v>
      </c>
      <c r="AP564">
        <v>0</v>
      </c>
      <c r="AQ564">
        <v>0</v>
      </c>
      <c r="AR564">
        <v>0</v>
      </c>
      <c r="AS564">
        <f t="shared" si="112"/>
        <v>3</v>
      </c>
      <c r="AT564">
        <f t="shared" si="113"/>
        <v>3</v>
      </c>
      <c r="AU564" s="3" t="s">
        <v>1973</v>
      </c>
      <c r="AV564">
        <f t="shared" si="114"/>
        <v>1</v>
      </c>
      <c r="AW564">
        <f t="shared" si="115"/>
        <v>0</v>
      </c>
      <c r="AX564">
        <f t="shared" si="116"/>
        <v>0</v>
      </c>
      <c r="AY564">
        <v>5.5</v>
      </c>
      <c r="AZ564" t="s">
        <v>60</v>
      </c>
      <c r="BA564" t="s">
        <v>61</v>
      </c>
      <c r="BB564" t="s">
        <v>8</v>
      </c>
    </row>
    <row r="565" ht="135" spans="1:54">
      <c r="A565" t="s">
        <v>1974</v>
      </c>
      <c r="B565" t="s">
        <v>1041</v>
      </c>
      <c r="C565" t="s">
        <v>56</v>
      </c>
      <c r="D565">
        <v>6</v>
      </c>
      <c r="E565">
        <v>0</v>
      </c>
      <c r="F565">
        <v>48.4</v>
      </c>
      <c r="G565" t="s">
        <v>1975</v>
      </c>
      <c r="H565" s="3" t="s">
        <v>1976</v>
      </c>
      <c r="I565" s="3" t="s">
        <v>1977</v>
      </c>
      <c r="J565">
        <f t="shared" si="104"/>
        <v>1</v>
      </c>
      <c r="K565">
        <f t="shared" si="105"/>
        <v>1</v>
      </c>
      <c r="L565">
        <f t="shared" si="106"/>
        <v>0</v>
      </c>
      <c r="M565">
        <f t="shared" si="107"/>
        <v>0</v>
      </c>
      <c r="N565">
        <f t="shared" si="108"/>
        <v>0</v>
      </c>
      <c r="O565">
        <f t="shared" si="109"/>
        <v>1</v>
      </c>
      <c r="P565">
        <f t="shared" si="110"/>
        <v>1</v>
      </c>
      <c r="Q565">
        <f t="shared" si="111"/>
        <v>0</v>
      </c>
      <c r="R565">
        <v>1</v>
      </c>
      <c r="S565">
        <v>0</v>
      </c>
      <c r="T565">
        <v>0</v>
      </c>
      <c r="U565">
        <v>0</v>
      </c>
      <c r="V565">
        <v>0</v>
      </c>
      <c r="W565">
        <v>1</v>
      </c>
      <c r="X565">
        <v>0</v>
      </c>
      <c r="Y565">
        <v>0</v>
      </c>
      <c r="Z565">
        <v>0</v>
      </c>
      <c r="AA565">
        <v>0</v>
      </c>
      <c r="AB565">
        <v>0</v>
      </c>
      <c r="AC565">
        <v>0</v>
      </c>
      <c r="AD565">
        <v>0</v>
      </c>
      <c r="AE565">
        <v>0</v>
      </c>
      <c r="AF565">
        <v>0</v>
      </c>
      <c r="AG565">
        <v>0</v>
      </c>
      <c r="AH565">
        <v>0</v>
      </c>
      <c r="AI565">
        <v>1</v>
      </c>
      <c r="AJ565">
        <v>0</v>
      </c>
      <c r="AK565">
        <v>0</v>
      </c>
      <c r="AL565">
        <v>0</v>
      </c>
      <c r="AM565">
        <v>0</v>
      </c>
      <c r="AN565">
        <v>1</v>
      </c>
      <c r="AO565">
        <v>0</v>
      </c>
      <c r="AP565">
        <v>0</v>
      </c>
      <c r="AQ565">
        <v>0</v>
      </c>
      <c r="AR565">
        <v>0</v>
      </c>
      <c r="AS565">
        <f t="shared" si="112"/>
        <v>4</v>
      </c>
      <c r="AT565">
        <f t="shared" si="113"/>
        <v>4</v>
      </c>
      <c r="AU565" s="3" t="s">
        <v>1978</v>
      </c>
      <c r="AV565">
        <f t="shared" si="114"/>
        <v>1</v>
      </c>
      <c r="AW565">
        <f t="shared" si="115"/>
        <v>0</v>
      </c>
      <c r="AX565">
        <f t="shared" si="116"/>
        <v>0</v>
      </c>
      <c r="AY565">
        <v>1</v>
      </c>
      <c r="AZ565" t="s">
        <v>60</v>
      </c>
      <c r="BA565" t="s">
        <v>61</v>
      </c>
      <c r="BB565" t="s">
        <v>8</v>
      </c>
    </row>
    <row r="566" ht="135" spans="1:54">
      <c r="A566" t="s">
        <v>1979</v>
      </c>
      <c r="B566" t="s">
        <v>1041</v>
      </c>
      <c r="C566" t="s">
        <v>116</v>
      </c>
      <c r="D566">
        <v>27</v>
      </c>
      <c r="E566">
        <v>2</v>
      </c>
      <c r="F566">
        <v>3.1</v>
      </c>
      <c r="G566" t="s">
        <v>1980</v>
      </c>
      <c r="H566" s="3" t="s">
        <v>1981</v>
      </c>
      <c r="I566" s="3" t="s">
        <v>1982</v>
      </c>
      <c r="J566">
        <f t="shared" si="104"/>
        <v>0</v>
      </c>
      <c r="K566">
        <f t="shared" si="105"/>
        <v>1</v>
      </c>
      <c r="L566">
        <f t="shared" si="106"/>
        <v>1</v>
      </c>
      <c r="M566">
        <f t="shared" si="107"/>
        <v>0</v>
      </c>
      <c r="N566">
        <f t="shared" si="108"/>
        <v>1</v>
      </c>
      <c r="O566">
        <f t="shared" si="109"/>
        <v>1</v>
      </c>
      <c r="P566">
        <f t="shared" si="110"/>
        <v>0</v>
      </c>
      <c r="Q566">
        <f t="shared" si="111"/>
        <v>0</v>
      </c>
      <c r="R566">
        <v>0</v>
      </c>
      <c r="S566">
        <v>0</v>
      </c>
      <c r="T566">
        <v>0</v>
      </c>
      <c r="U566">
        <v>1</v>
      </c>
      <c r="V566">
        <v>0</v>
      </c>
      <c r="W566">
        <v>0</v>
      </c>
      <c r="X566">
        <v>0</v>
      </c>
      <c r="Y566">
        <v>0</v>
      </c>
      <c r="Z566">
        <v>1</v>
      </c>
      <c r="AA566">
        <v>0</v>
      </c>
      <c r="AB566">
        <v>0</v>
      </c>
      <c r="AC566">
        <v>0</v>
      </c>
      <c r="AD566">
        <v>0</v>
      </c>
      <c r="AE566">
        <v>0</v>
      </c>
      <c r="AF566">
        <v>0</v>
      </c>
      <c r="AG566">
        <v>0</v>
      </c>
      <c r="AH566">
        <v>1</v>
      </c>
      <c r="AI566">
        <v>1</v>
      </c>
      <c r="AJ566">
        <v>0</v>
      </c>
      <c r="AK566">
        <v>0</v>
      </c>
      <c r="AL566">
        <v>0</v>
      </c>
      <c r="AM566">
        <v>0</v>
      </c>
      <c r="AN566">
        <v>0</v>
      </c>
      <c r="AO566">
        <v>0</v>
      </c>
      <c r="AP566">
        <v>0</v>
      </c>
      <c r="AQ566">
        <v>0</v>
      </c>
      <c r="AR566">
        <v>0</v>
      </c>
      <c r="AS566">
        <f t="shared" si="112"/>
        <v>4</v>
      </c>
      <c r="AT566">
        <f t="shared" si="113"/>
        <v>4</v>
      </c>
      <c r="AU566" s="3" t="s">
        <v>1983</v>
      </c>
      <c r="AV566">
        <f t="shared" si="114"/>
        <v>1</v>
      </c>
      <c r="AW566">
        <f t="shared" si="115"/>
        <v>0</v>
      </c>
      <c r="AX566">
        <f t="shared" si="116"/>
        <v>0</v>
      </c>
      <c r="AY566">
        <v>-1</v>
      </c>
      <c r="AZ566" t="s">
        <v>133</v>
      </c>
      <c r="BA566" t="s">
        <v>134</v>
      </c>
      <c r="BB566" t="s">
        <v>8</v>
      </c>
    </row>
    <row r="567" ht="17" spans="1:54">
      <c r="A567" t="s">
        <v>1984</v>
      </c>
      <c r="B567" t="s">
        <v>1041</v>
      </c>
      <c r="C567" t="s">
        <v>56</v>
      </c>
      <c r="D567">
        <v>0</v>
      </c>
      <c r="E567">
        <v>0</v>
      </c>
      <c r="F567">
        <v>67</v>
      </c>
      <c r="G567" t="s">
        <v>683</v>
      </c>
      <c r="H567" s="3" t="s">
        <v>1985</v>
      </c>
      <c r="I567" s="3" t="s">
        <v>1985</v>
      </c>
      <c r="J567">
        <f t="shared" si="104"/>
        <v>0</v>
      </c>
      <c r="K567">
        <f t="shared" si="105"/>
        <v>0</v>
      </c>
      <c r="L567">
        <f t="shared" si="106"/>
        <v>0</v>
      </c>
      <c r="M567">
        <f t="shared" si="107"/>
        <v>0</v>
      </c>
      <c r="N567">
        <f t="shared" si="108"/>
        <v>0</v>
      </c>
      <c r="O567">
        <f t="shared" si="109"/>
        <v>0</v>
      </c>
      <c r="P567">
        <f t="shared" si="110"/>
        <v>0</v>
      </c>
      <c r="Q567">
        <f t="shared" si="111"/>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f t="shared" si="112"/>
        <v>0</v>
      </c>
      <c r="AT567">
        <f t="shared" si="113"/>
        <v>0</v>
      </c>
      <c r="AU567" s="3" t="s">
        <v>118</v>
      </c>
      <c r="AV567">
        <f t="shared" si="114"/>
        <v>0</v>
      </c>
      <c r="AW567">
        <f t="shared" si="115"/>
        <v>1</v>
      </c>
      <c r="AX567">
        <f t="shared" si="116"/>
        <v>0</v>
      </c>
      <c r="AY567">
        <v>0</v>
      </c>
      <c r="AZ567" t="s">
        <v>147</v>
      </c>
      <c r="BA567" t="s">
        <v>148</v>
      </c>
      <c r="BB567" t="s">
        <v>8</v>
      </c>
    </row>
    <row r="568" ht="17" spans="1:54">
      <c r="A568" t="s">
        <v>1986</v>
      </c>
      <c r="B568" t="s">
        <v>1041</v>
      </c>
      <c r="C568" t="s">
        <v>56</v>
      </c>
      <c r="D568">
        <v>0</v>
      </c>
      <c r="E568">
        <v>0</v>
      </c>
      <c r="F568">
        <v>60.2</v>
      </c>
      <c r="G568" t="s">
        <v>1987</v>
      </c>
      <c r="H568" s="3" t="s">
        <v>1988</v>
      </c>
      <c r="I568" s="3" t="s">
        <v>1988</v>
      </c>
      <c r="J568">
        <f t="shared" si="104"/>
        <v>0</v>
      </c>
      <c r="K568">
        <f t="shared" si="105"/>
        <v>1</v>
      </c>
      <c r="L568">
        <f t="shared" si="106"/>
        <v>0</v>
      </c>
      <c r="M568">
        <f t="shared" si="107"/>
        <v>0</v>
      </c>
      <c r="N568">
        <f t="shared" si="108"/>
        <v>0</v>
      </c>
      <c r="O568">
        <f t="shared" si="109"/>
        <v>1</v>
      </c>
      <c r="P568">
        <f t="shared" si="110"/>
        <v>0</v>
      </c>
      <c r="Q568">
        <f t="shared" si="111"/>
        <v>0</v>
      </c>
      <c r="R568">
        <v>0</v>
      </c>
      <c r="S568">
        <v>0</v>
      </c>
      <c r="T568">
        <v>0</v>
      </c>
      <c r="U568">
        <v>1</v>
      </c>
      <c r="V568">
        <v>0</v>
      </c>
      <c r="W568">
        <v>0</v>
      </c>
      <c r="X568">
        <v>0</v>
      </c>
      <c r="Y568">
        <v>0</v>
      </c>
      <c r="Z568">
        <v>0</v>
      </c>
      <c r="AA568">
        <v>0</v>
      </c>
      <c r="AB568">
        <v>0</v>
      </c>
      <c r="AC568">
        <v>0</v>
      </c>
      <c r="AD568">
        <v>0</v>
      </c>
      <c r="AE568">
        <v>0</v>
      </c>
      <c r="AF568">
        <v>0</v>
      </c>
      <c r="AG568">
        <v>0</v>
      </c>
      <c r="AH568">
        <v>0</v>
      </c>
      <c r="AI568">
        <v>1</v>
      </c>
      <c r="AJ568">
        <v>0</v>
      </c>
      <c r="AK568">
        <v>0</v>
      </c>
      <c r="AL568">
        <v>0</v>
      </c>
      <c r="AM568">
        <v>0</v>
      </c>
      <c r="AN568">
        <v>0</v>
      </c>
      <c r="AO568">
        <v>0</v>
      </c>
      <c r="AP568">
        <v>0</v>
      </c>
      <c r="AQ568">
        <v>0</v>
      </c>
      <c r="AR568">
        <v>0</v>
      </c>
      <c r="AS568">
        <f t="shared" si="112"/>
        <v>2</v>
      </c>
      <c r="AT568">
        <f t="shared" si="113"/>
        <v>2</v>
      </c>
      <c r="AU568" s="3" t="s">
        <v>177</v>
      </c>
      <c r="AV568">
        <f t="shared" si="114"/>
        <v>1</v>
      </c>
      <c r="AW568">
        <f t="shared" si="115"/>
        <v>0</v>
      </c>
      <c r="AX568">
        <f t="shared" si="116"/>
        <v>0</v>
      </c>
      <c r="AY568">
        <v>1.5</v>
      </c>
      <c r="AZ568" t="s">
        <v>60</v>
      </c>
      <c r="BA568" t="s">
        <v>61</v>
      </c>
      <c r="BB568" t="s">
        <v>8</v>
      </c>
    </row>
    <row r="569" ht="84" spans="1:54">
      <c r="A569" t="s">
        <v>1989</v>
      </c>
      <c r="B569" t="s">
        <v>1041</v>
      </c>
      <c r="C569" t="s">
        <v>56</v>
      </c>
      <c r="D569">
        <v>18</v>
      </c>
      <c r="E569">
        <v>0</v>
      </c>
      <c r="F569">
        <v>38.2</v>
      </c>
      <c r="G569" t="s">
        <v>1987</v>
      </c>
      <c r="H569" s="3" t="s">
        <v>1990</v>
      </c>
      <c r="I569" s="3" t="s">
        <v>1991</v>
      </c>
      <c r="J569">
        <f t="shared" si="104"/>
        <v>1</v>
      </c>
      <c r="K569">
        <f t="shared" si="105"/>
        <v>1</v>
      </c>
      <c r="L569">
        <f t="shared" si="106"/>
        <v>0</v>
      </c>
      <c r="M569">
        <f t="shared" si="107"/>
        <v>0</v>
      </c>
      <c r="N569">
        <f t="shared" si="108"/>
        <v>0</v>
      </c>
      <c r="O569">
        <f t="shared" si="109"/>
        <v>1</v>
      </c>
      <c r="P569">
        <f t="shared" si="110"/>
        <v>0</v>
      </c>
      <c r="Q569">
        <f t="shared" si="111"/>
        <v>0</v>
      </c>
      <c r="R569">
        <v>1</v>
      </c>
      <c r="S569">
        <v>1</v>
      </c>
      <c r="T569">
        <v>0</v>
      </c>
      <c r="U569">
        <v>1</v>
      </c>
      <c r="V569">
        <v>0</v>
      </c>
      <c r="W569">
        <v>0</v>
      </c>
      <c r="X569">
        <v>1</v>
      </c>
      <c r="Y569">
        <v>1</v>
      </c>
      <c r="Z569">
        <v>0</v>
      </c>
      <c r="AA569">
        <v>0</v>
      </c>
      <c r="AB569">
        <v>0</v>
      </c>
      <c r="AC569">
        <v>0</v>
      </c>
      <c r="AD569">
        <v>0</v>
      </c>
      <c r="AE569">
        <v>0</v>
      </c>
      <c r="AF569">
        <v>0</v>
      </c>
      <c r="AG569">
        <v>0</v>
      </c>
      <c r="AH569">
        <v>0</v>
      </c>
      <c r="AI569">
        <v>1</v>
      </c>
      <c r="AJ569">
        <v>0</v>
      </c>
      <c r="AK569">
        <v>0</v>
      </c>
      <c r="AL569">
        <v>0</v>
      </c>
      <c r="AM569">
        <v>0</v>
      </c>
      <c r="AN569">
        <v>0</v>
      </c>
      <c r="AO569">
        <v>0</v>
      </c>
      <c r="AP569">
        <v>0</v>
      </c>
      <c r="AQ569">
        <v>0</v>
      </c>
      <c r="AR569">
        <v>0</v>
      </c>
      <c r="AS569">
        <f t="shared" si="112"/>
        <v>3</v>
      </c>
      <c r="AT569">
        <f t="shared" si="113"/>
        <v>6</v>
      </c>
      <c r="AU569" s="3" t="s">
        <v>1992</v>
      </c>
      <c r="AV569">
        <f t="shared" si="114"/>
        <v>1</v>
      </c>
      <c r="AW569">
        <f t="shared" si="115"/>
        <v>0</v>
      </c>
      <c r="AX569">
        <f t="shared" si="116"/>
        <v>0</v>
      </c>
      <c r="AY569">
        <v>-3</v>
      </c>
      <c r="AZ569" t="s">
        <v>133</v>
      </c>
      <c r="BA569" t="s">
        <v>134</v>
      </c>
      <c r="BB569" t="s">
        <v>8</v>
      </c>
    </row>
    <row r="570" ht="236" spans="1:54">
      <c r="A570" t="s">
        <v>1993</v>
      </c>
      <c r="B570" t="s">
        <v>1041</v>
      </c>
      <c r="C570" t="s">
        <v>56</v>
      </c>
      <c r="D570">
        <v>11</v>
      </c>
      <c r="E570">
        <v>0</v>
      </c>
      <c r="F570">
        <v>79.7</v>
      </c>
      <c r="G570" t="s">
        <v>1987</v>
      </c>
      <c r="H570" s="3" t="s">
        <v>1994</v>
      </c>
      <c r="I570" s="3" t="s">
        <v>1995</v>
      </c>
      <c r="J570">
        <f t="shared" si="104"/>
        <v>0</v>
      </c>
      <c r="K570">
        <f t="shared" si="105"/>
        <v>1</v>
      </c>
      <c r="L570">
        <f t="shared" si="106"/>
        <v>0</v>
      </c>
      <c r="M570">
        <f t="shared" si="107"/>
        <v>0</v>
      </c>
      <c r="N570">
        <f t="shared" si="108"/>
        <v>1</v>
      </c>
      <c r="O570">
        <f t="shared" si="109"/>
        <v>0</v>
      </c>
      <c r="P570">
        <f t="shared" si="110"/>
        <v>0</v>
      </c>
      <c r="Q570">
        <f t="shared" si="111"/>
        <v>0</v>
      </c>
      <c r="R570">
        <v>0</v>
      </c>
      <c r="S570">
        <v>0</v>
      </c>
      <c r="T570">
        <v>0</v>
      </c>
      <c r="U570">
        <v>1</v>
      </c>
      <c r="V570">
        <v>1</v>
      </c>
      <c r="W570">
        <v>0</v>
      </c>
      <c r="X570">
        <v>0</v>
      </c>
      <c r="Y570">
        <v>0</v>
      </c>
      <c r="Z570">
        <v>0</v>
      </c>
      <c r="AA570">
        <v>0</v>
      </c>
      <c r="AB570">
        <v>0</v>
      </c>
      <c r="AC570">
        <v>0</v>
      </c>
      <c r="AD570">
        <v>0</v>
      </c>
      <c r="AE570">
        <v>0</v>
      </c>
      <c r="AF570">
        <v>0</v>
      </c>
      <c r="AG570">
        <v>1</v>
      </c>
      <c r="AH570">
        <v>1</v>
      </c>
      <c r="AI570">
        <v>0</v>
      </c>
      <c r="AJ570">
        <v>0</v>
      </c>
      <c r="AK570">
        <v>0</v>
      </c>
      <c r="AL570">
        <v>0</v>
      </c>
      <c r="AM570">
        <v>0</v>
      </c>
      <c r="AN570">
        <v>0</v>
      </c>
      <c r="AO570">
        <v>0</v>
      </c>
      <c r="AP570">
        <v>0</v>
      </c>
      <c r="AQ570">
        <v>0</v>
      </c>
      <c r="AR570">
        <v>0</v>
      </c>
      <c r="AS570">
        <f t="shared" si="112"/>
        <v>2</v>
      </c>
      <c r="AT570">
        <f t="shared" si="113"/>
        <v>4</v>
      </c>
      <c r="AU570" s="3" t="s">
        <v>1996</v>
      </c>
      <c r="AV570">
        <f t="shared" si="114"/>
        <v>1</v>
      </c>
      <c r="AW570">
        <f t="shared" si="115"/>
        <v>0</v>
      </c>
      <c r="AX570">
        <f t="shared" si="116"/>
        <v>0</v>
      </c>
      <c r="AY570">
        <v>6</v>
      </c>
      <c r="AZ570" t="s">
        <v>60</v>
      </c>
      <c r="BA570" t="s">
        <v>61</v>
      </c>
      <c r="BB570" t="s">
        <v>8</v>
      </c>
    </row>
    <row r="571" ht="252" spans="1:54">
      <c r="A571" t="s">
        <v>1997</v>
      </c>
      <c r="B571" t="s">
        <v>1041</v>
      </c>
      <c r="C571" t="s">
        <v>116</v>
      </c>
      <c r="D571">
        <v>77</v>
      </c>
      <c r="E571">
        <v>2</v>
      </c>
      <c r="F571">
        <v>20.3</v>
      </c>
      <c r="G571" t="s">
        <v>1998</v>
      </c>
      <c r="H571" s="3" t="s">
        <v>1999</v>
      </c>
      <c r="I571" s="3" t="s">
        <v>2000</v>
      </c>
      <c r="J571">
        <f t="shared" si="104"/>
        <v>1</v>
      </c>
      <c r="K571">
        <f t="shared" si="105"/>
        <v>1</v>
      </c>
      <c r="L571">
        <f t="shared" si="106"/>
        <v>0</v>
      </c>
      <c r="M571">
        <f t="shared" si="107"/>
        <v>0</v>
      </c>
      <c r="N571">
        <f t="shared" si="108"/>
        <v>1</v>
      </c>
      <c r="O571">
        <f t="shared" si="109"/>
        <v>1</v>
      </c>
      <c r="P571">
        <f t="shared" si="110"/>
        <v>0</v>
      </c>
      <c r="Q571">
        <f t="shared" si="111"/>
        <v>0</v>
      </c>
      <c r="R571">
        <v>1</v>
      </c>
      <c r="S571">
        <v>0</v>
      </c>
      <c r="T571">
        <v>0</v>
      </c>
      <c r="U571">
        <v>1</v>
      </c>
      <c r="V571">
        <v>0</v>
      </c>
      <c r="W571">
        <v>0</v>
      </c>
      <c r="X571">
        <v>0</v>
      </c>
      <c r="Y571">
        <v>0</v>
      </c>
      <c r="Z571">
        <v>0</v>
      </c>
      <c r="AA571">
        <v>0</v>
      </c>
      <c r="AB571">
        <v>0</v>
      </c>
      <c r="AC571">
        <v>0</v>
      </c>
      <c r="AD571">
        <v>0</v>
      </c>
      <c r="AE571">
        <v>0</v>
      </c>
      <c r="AF571">
        <v>0</v>
      </c>
      <c r="AG571">
        <v>0</v>
      </c>
      <c r="AH571">
        <v>1</v>
      </c>
      <c r="AI571">
        <v>1</v>
      </c>
      <c r="AJ571">
        <v>0</v>
      </c>
      <c r="AK571">
        <v>0</v>
      </c>
      <c r="AL571">
        <v>0</v>
      </c>
      <c r="AM571">
        <v>0</v>
      </c>
      <c r="AN571">
        <v>0</v>
      </c>
      <c r="AO571">
        <v>0</v>
      </c>
      <c r="AP571">
        <v>0</v>
      </c>
      <c r="AQ571">
        <v>0</v>
      </c>
      <c r="AR571">
        <v>0</v>
      </c>
      <c r="AS571">
        <f t="shared" si="112"/>
        <v>4</v>
      </c>
      <c r="AT571">
        <f t="shared" si="113"/>
        <v>4</v>
      </c>
      <c r="AU571" s="3" t="s">
        <v>1930</v>
      </c>
      <c r="AV571">
        <f t="shared" si="114"/>
        <v>1</v>
      </c>
      <c r="AW571">
        <f t="shared" si="115"/>
        <v>0</v>
      </c>
      <c r="AX571">
        <f t="shared" si="116"/>
        <v>0</v>
      </c>
      <c r="AY571">
        <v>-4</v>
      </c>
      <c r="AZ571" t="s">
        <v>133</v>
      </c>
      <c r="BA571" t="s">
        <v>134</v>
      </c>
      <c r="BB571" t="s">
        <v>8</v>
      </c>
    </row>
    <row r="572" ht="17" spans="1:54">
      <c r="A572" t="s">
        <v>2001</v>
      </c>
      <c r="B572" t="s">
        <v>1041</v>
      </c>
      <c r="C572" t="s">
        <v>56</v>
      </c>
      <c r="D572">
        <v>0</v>
      </c>
      <c r="E572">
        <v>0</v>
      </c>
      <c r="F572">
        <v>106.8</v>
      </c>
      <c r="G572" t="s">
        <v>402</v>
      </c>
      <c r="H572" s="3" t="s">
        <v>2002</v>
      </c>
      <c r="I572" s="3" t="s">
        <v>2003</v>
      </c>
      <c r="J572">
        <f t="shared" si="104"/>
        <v>0</v>
      </c>
      <c r="K572">
        <f t="shared" si="105"/>
        <v>0</v>
      </c>
      <c r="L572">
        <f t="shared" si="106"/>
        <v>0</v>
      </c>
      <c r="M572">
        <f t="shared" si="107"/>
        <v>0</v>
      </c>
      <c r="N572">
        <f t="shared" si="108"/>
        <v>0</v>
      </c>
      <c r="O572">
        <f t="shared" si="109"/>
        <v>0</v>
      </c>
      <c r="P572">
        <f t="shared" si="110"/>
        <v>0</v>
      </c>
      <c r="Q572">
        <f t="shared" si="111"/>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0</v>
      </c>
      <c r="AQ572">
        <v>0</v>
      </c>
      <c r="AR572">
        <v>0</v>
      </c>
      <c r="AS572">
        <f t="shared" si="112"/>
        <v>0</v>
      </c>
      <c r="AT572">
        <f t="shared" si="113"/>
        <v>0</v>
      </c>
      <c r="AU572" s="3" t="s">
        <v>118</v>
      </c>
      <c r="AV572">
        <f t="shared" si="114"/>
        <v>0</v>
      </c>
      <c r="AW572">
        <f t="shared" si="115"/>
        <v>1</v>
      </c>
      <c r="AX572">
        <f t="shared" si="116"/>
        <v>0</v>
      </c>
      <c r="AY572">
        <v>0</v>
      </c>
      <c r="AZ572" t="s">
        <v>147</v>
      </c>
      <c r="BA572" t="s">
        <v>148</v>
      </c>
      <c r="BB572" t="s">
        <v>8</v>
      </c>
    </row>
    <row r="573" ht="17" spans="1:54">
      <c r="A573" t="s">
        <v>2004</v>
      </c>
      <c r="B573" t="s">
        <v>1041</v>
      </c>
      <c r="C573" t="s">
        <v>56</v>
      </c>
      <c r="D573">
        <v>0</v>
      </c>
      <c r="E573">
        <v>0</v>
      </c>
      <c r="F573">
        <v>14.7</v>
      </c>
      <c r="G573" t="s">
        <v>2005</v>
      </c>
      <c r="H573" s="3" t="s">
        <v>2006</v>
      </c>
      <c r="I573" s="3" t="s">
        <v>2006</v>
      </c>
      <c r="J573">
        <f t="shared" si="104"/>
        <v>0</v>
      </c>
      <c r="K573">
        <f t="shared" si="105"/>
        <v>0</v>
      </c>
      <c r="L573">
        <f t="shared" si="106"/>
        <v>0</v>
      </c>
      <c r="M573">
        <f t="shared" si="107"/>
        <v>0</v>
      </c>
      <c r="N573">
        <f t="shared" si="108"/>
        <v>0</v>
      </c>
      <c r="O573">
        <f t="shared" si="109"/>
        <v>0</v>
      </c>
      <c r="P573">
        <f t="shared" si="110"/>
        <v>0</v>
      </c>
      <c r="Q573">
        <f t="shared" si="111"/>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f t="shared" si="112"/>
        <v>0</v>
      </c>
      <c r="AT573">
        <f t="shared" si="113"/>
        <v>0</v>
      </c>
      <c r="AU573" s="3" t="s">
        <v>118</v>
      </c>
      <c r="AV573">
        <f t="shared" si="114"/>
        <v>0</v>
      </c>
      <c r="AW573">
        <f t="shared" si="115"/>
        <v>1</v>
      </c>
      <c r="AX573">
        <f t="shared" si="116"/>
        <v>0</v>
      </c>
      <c r="AY573">
        <v>-1</v>
      </c>
      <c r="AZ573" t="s">
        <v>133</v>
      </c>
      <c r="BA573" t="s">
        <v>134</v>
      </c>
      <c r="BB573" t="s">
        <v>8</v>
      </c>
    </row>
    <row r="574" ht="370" spans="1:54">
      <c r="A574" t="s">
        <v>2007</v>
      </c>
      <c r="B574" t="s">
        <v>1041</v>
      </c>
      <c r="C574" t="s">
        <v>56</v>
      </c>
      <c r="D574">
        <v>0</v>
      </c>
      <c r="E574">
        <v>0</v>
      </c>
      <c r="F574">
        <v>99.1</v>
      </c>
      <c r="G574" t="s">
        <v>2005</v>
      </c>
      <c r="H574" s="3" t="s">
        <v>2008</v>
      </c>
      <c r="I574" s="3" t="s">
        <v>2009</v>
      </c>
      <c r="J574">
        <f t="shared" si="104"/>
        <v>1</v>
      </c>
      <c r="K574">
        <f t="shared" si="105"/>
        <v>1</v>
      </c>
      <c r="L574">
        <f t="shared" si="106"/>
        <v>1</v>
      </c>
      <c r="M574">
        <f t="shared" si="107"/>
        <v>0</v>
      </c>
      <c r="N574">
        <f t="shared" si="108"/>
        <v>1</v>
      </c>
      <c r="O574">
        <f t="shared" si="109"/>
        <v>1</v>
      </c>
      <c r="P574">
        <f t="shared" si="110"/>
        <v>0</v>
      </c>
      <c r="Q574">
        <f t="shared" si="111"/>
        <v>0</v>
      </c>
      <c r="R574">
        <v>1</v>
      </c>
      <c r="S574">
        <v>0</v>
      </c>
      <c r="T574">
        <v>0</v>
      </c>
      <c r="U574">
        <v>0</v>
      </c>
      <c r="V574">
        <v>1</v>
      </c>
      <c r="W574">
        <v>1</v>
      </c>
      <c r="X574">
        <v>0</v>
      </c>
      <c r="Y574">
        <v>0</v>
      </c>
      <c r="Z574">
        <v>1</v>
      </c>
      <c r="AA574">
        <v>0</v>
      </c>
      <c r="AB574">
        <v>0</v>
      </c>
      <c r="AC574">
        <v>1</v>
      </c>
      <c r="AD574">
        <v>0</v>
      </c>
      <c r="AE574">
        <v>0</v>
      </c>
      <c r="AF574">
        <v>0</v>
      </c>
      <c r="AG574">
        <v>0</v>
      </c>
      <c r="AH574">
        <v>1</v>
      </c>
      <c r="AI574">
        <v>1</v>
      </c>
      <c r="AJ574">
        <v>0</v>
      </c>
      <c r="AK574">
        <v>0</v>
      </c>
      <c r="AL574">
        <v>0</v>
      </c>
      <c r="AM574">
        <v>0</v>
      </c>
      <c r="AN574">
        <v>0</v>
      </c>
      <c r="AO574">
        <v>0</v>
      </c>
      <c r="AP574">
        <v>0</v>
      </c>
      <c r="AQ574">
        <v>0</v>
      </c>
      <c r="AR574">
        <v>0</v>
      </c>
      <c r="AS574">
        <f t="shared" si="112"/>
        <v>5</v>
      </c>
      <c r="AT574">
        <f t="shared" si="113"/>
        <v>7</v>
      </c>
      <c r="AU574" s="3" t="s">
        <v>2010</v>
      </c>
      <c r="AV574">
        <f t="shared" si="114"/>
        <v>1</v>
      </c>
      <c r="AW574">
        <f t="shared" si="115"/>
        <v>0</v>
      </c>
      <c r="AX574">
        <f t="shared" si="116"/>
        <v>0</v>
      </c>
      <c r="AY574">
        <v>9</v>
      </c>
      <c r="AZ574" t="s">
        <v>60</v>
      </c>
      <c r="BA574" t="s">
        <v>61</v>
      </c>
      <c r="BB574" t="s">
        <v>8</v>
      </c>
    </row>
    <row r="575" ht="101" spans="1:54">
      <c r="A575" t="s">
        <v>2011</v>
      </c>
      <c r="B575" t="s">
        <v>1041</v>
      </c>
      <c r="C575" t="s">
        <v>56</v>
      </c>
      <c r="D575">
        <v>4</v>
      </c>
      <c r="E575">
        <v>0</v>
      </c>
      <c r="F575">
        <v>162.8</v>
      </c>
      <c r="G575" t="s">
        <v>615</v>
      </c>
      <c r="H575" s="3" t="s">
        <v>2012</v>
      </c>
      <c r="I575" s="3" t="s">
        <v>2013</v>
      </c>
      <c r="J575">
        <f t="shared" si="104"/>
        <v>0</v>
      </c>
      <c r="K575">
        <f t="shared" si="105"/>
        <v>1</v>
      </c>
      <c r="L575">
        <f t="shared" si="106"/>
        <v>1</v>
      </c>
      <c r="M575">
        <f t="shared" si="107"/>
        <v>0</v>
      </c>
      <c r="N575">
        <f t="shared" si="108"/>
        <v>1</v>
      </c>
      <c r="O575">
        <f t="shared" si="109"/>
        <v>0</v>
      </c>
      <c r="P575">
        <f t="shared" si="110"/>
        <v>0</v>
      </c>
      <c r="Q575">
        <f t="shared" si="111"/>
        <v>0</v>
      </c>
      <c r="R575">
        <v>0</v>
      </c>
      <c r="S575">
        <v>0</v>
      </c>
      <c r="T575">
        <v>0</v>
      </c>
      <c r="U575">
        <v>1</v>
      </c>
      <c r="V575">
        <v>0</v>
      </c>
      <c r="W575">
        <v>0</v>
      </c>
      <c r="X575">
        <v>0</v>
      </c>
      <c r="Y575">
        <v>0</v>
      </c>
      <c r="Z575">
        <v>1</v>
      </c>
      <c r="AA575">
        <v>0</v>
      </c>
      <c r="AB575">
        <v>0</v>
      </c>
      <c r="AC575">
        <v>0</v>
      </c>
      <c r="AD575">
        <v>0</v>
      </c>
      <c r="AE575">
        <v>0</v>
      </c>
      <c r="AF575">
        <v>0</v>
      </c>
      <c r="AG575">
        <v>0</v>
      </c>
      <c r="AH575">
        <v>1</v>
      </c>
      <c r="AI575">
        <v>0</v>
      </c>
      <c r="AJ575">
        <v>0</v>
      </c>
      <c r="AK575">
        <v>0</v>
      </c>
      <c r="AL575">
        <v>0</v>
      </c>
      <c r="AM575">
        <v>0</v>
      </c>
      <c r="AN575">
        <v>0</v>
      </c>
      <c r="AO575">
        <v>0</v>
      </c>
      <c r="AP575">
        <v>0</v>
      </c>
      <c r="AQ575">
        <v>0</v>
      </c>
      <c r="AR575">
        <v>0</v>
      </c>
      <c r="AS575">
        <f t="shared" si="112"/>
        <v>3</v>
      </c>
      <c r="AT575">
        <f t="shared" si="113"/>
        <v>3</v>
      </c>
      <c r="AU575" s="3" t="s">
        <v>2014</v>
      </c>
      <c r="AV575">
        <f t="shared" si="114"/>
        <v>1</v>
      </c>
      <c r="AW575">
        <f t="shared" si="115"/>
        <v>0</v>
      </c>
      <c r="AX575">
        <f t="shared" si="116"/>
        <v>0</v>
      </c>
      <c r="AY575">
        <v>-1</v>
      </c>
      <c r="AZ575" t="s">
        <v>133</v>
      </c>
      <c r="BA575" t="s">
        <v>134</v>
      </c>
      <c r="BB575" t="s">
        <v>8</v>
      </c>
    </row>
    <row r="576" ht="84" spans="1:54">
      <c r="A576" t="s">
        <v>2015</v>
      </c>
      <c r="B576" t="s">
        <v>1041</v>
      </c>
      <c r="C576" t="s">
        <v>116</v>
      </c>
      <c r="D576">
        <v>5</v>
      </c>
      <c r="E576">
        <v>0</v>
      </c>
      <c r="F576">
        <v>27.9</v>
      </c>
      <c r="G576" t="s">
        <v>615</v>
      </c>
      <c r="H576" s="3" t="s">
        <v>2016</v>
      </c>
      <c r="I576" s="3" t="s">
        <v>2017</v>
      </c>
      <c r="J576">
        <f t="shared" si="104"/>
        <v>1</v>
      </c>
      <c r="K576">
        <f t="shared" si="105"/>
        <v>1</v>
      </c>
      <c r="L576">
        <f t="shared" si="106"/>
        <v>0</v>
      </c>
      <c r="M576">
        <f t="shared" si="107"/>
        <v>0</v>
      </c>
      <c r="N576">
        <f t="shared" si="108"/>
        <v>0</v>
      </c>
      <c r="O576">
        <f t="shared" si="109"/>
        <v>0</v>
      </c>
      <c r="P576">
        <f t="shared" si="110"/>
        <v>0</v>
      </c>
      <c r="Q576">
        <f t="shared" si="111"/>
        <v>0</v>
      </c>
      <c r="R576">
        <v>1</v>
      </c>
      <c r="S576">
        <v>0</v>
      </c>
      <c r="T576">
        <v>0</v>
      </c>
      <c r="U576">
        <v>0</v>
      </c>
      <c r="V576">
        <v>1</v>
      </c>
      <c r="W576">
        <v>0</v>
      </c>
      <c r="X576">
        <v>0</v>
      </c>
      <c r="Y576">
        <v>1</v>
      </c>
      <c r="Z576">
        <v>0</v>
      </c>
      <c r="AA576">
        <v>0</v>
      </c>
      <c r="AB576">
        <v>0</v>
      </c>
      <c r="AC576">
        <v>0</v>
      </c>
      <c r="AD576">
        <v>0</v>
      </c>
      <c r="AE576">
        <v>0</v>
      </c>
      <c r="AF576">
        <v>0</v>
      </c>
      <c r="AG576">
        <v>0</v>
      </c>
      <c r="AH576">
        <v>0</v>
      </c>
      <c r="AI576">
        <v>0</v>
      </c>
      <c r="AJ576">
        <v>0</v>
      </c>
      <c r="AK576">
        <v>0</v>
      </c>
      <c r="AL576">
        <v>0</v>
      </c>
      <c r="AM576">
        <v>0</v>
      </c>
      <c r="AN576">
        <v>0</v>
      </c>
      <c r="AO576">
        <v>0</v>
      </c>
      <c r="AP576">
        <v>0</v>
      </c>
      <c r="AQ576">
        <v>0</v>
      </c>
      <c r="AR576">
        <v>0</v>
      </c>
      <c r="AS576">
        <f t="shared" si="112"/>
        <v>2</v>
      </c>
      <c r="AT576">
        <f t="shared" si="113"/>
        <v>3</v>
      </c>
      <c r="AU576" s="3" t="s">
        <v>2018</v>
      </c>
      <c r="AV576">
        <f t="shared" si="114"/>
        <v>1</v>
      </c>
      <c r="AW576">
        <f t="shared" si="115"/>
        <v>0</v>
      </c>
      <c r="AX576">
        <f t="shared" si="116"/>
        <v>0</v>
      </c>
      <c r="AY576">
        <v>0</v>
      </c>
      <c r="AZ576" t="s">
        <v>147</v>
      </c>
      <c r="BA576" t="s">
        <v>148</v>
      </c>
      <c r="BB576" t="s">
        <v>8</v>
      </c>
    </row>
    <row r="577" ht="17" spans="1:54">
      <c r="A577" t="s">
        <v>2019</v>
      </c>
      <c r="B577" t="s">
        <v>1041</v>
      </c>
      <c r="C577" t="s">
        <v>116</v>
      </c>
      <c r="D577">
        <v>14</v>
      </c>
      <c r="E577">
        <v>3</v>
      </c>
      <c r="F577">
        <v>0.8</v>
      </c>
      <c r="G577" t="s">
        <v>106</v>
      </c>
      <c r="H577" s="3" t="s">
        <v>2020</v>
      </c>
      <c r="I577" s="3" t="s">
        <v>2021</v>
      </c>
      <c r="J577">
        <f t="shared" si="104"/>
        <v>0</v>
      </c>
      <c r="K577">
        <f t="shared" si="105"/>
        <v>0</v>
      </c>
      <c r="L577">
        <f t="shared" si="106"/>
        <v>0</v>
      </c>
      <c r="M577">
        <f t="shared" si="107"/>
        <v>0</v>
      </c>
      <c r="N577">
        <f t="shared" si="108"/>
        <v>1</v>
      </c>
      <c r="O577">
        <f t="shared" si="109"/>
        <v>0</v>
      </c>
      <c r="P577">
        <f t="shared" si="110"/>
        <v>0</v>
      </c>
      <c r="Q577">
        <f t="shared" si="111"/>
        <v>0</v>
      </c>
      <c r="R577">
        <v>0</v>
      </c>
      <c r="S577">
        <v>0</v>
      </c>
      <c r="T577">
        <v>0</v>
      </c>
      <c r="U577">
        <v>0</v>
      </c>
      <c r="V577">
        <v>0</v>
      </c>
      <c r="W577">
        <v>0</v>
      </c>
      <c r="X577">
        <v>0</v>
      </c>
      <c r="Y577">
        <v>0</v>
      </c>
      <c r="Z577">
        <v>0</v>
      </c>
      <c r="AA577">
        <v>0</v>
      </c>
      <c r="AB577">
        <v>0</v>
      </c>
      <c r="AC577">
        <v>0</v>
      </c>
      <c r="AD577">
        <v>0</v>
      </c>
      <c r="AE577">
        <v>0</v>
      </c>
      <c r="AF577">
        <v>0</v>
      </c>
      <c r="AG577">
        <v>0</v>
      </c>
      <c r="AH577">
        <v>1</v>
      </c>
      <c r="AI577">
        <v>0</v>
      </c>
      <c r="AJ577">
        <v>0</v>
      </c>
      <c r="AK577">
        <v>0</v>
      </c>
      <c r="AL577">
        <v>0</v>
      </c>
      <c r="AM577">
        <v>0</v>
      </c>
      <c r="AN577">
        <v>0</v>
      </c>
      <c r="AO577">
        <v>0</v>
      </c>
      <c r="AP577">
        <v>0</v>
      </c>
      <c r="AQ577">
        <v>0</v>
      </c>
      <c r="AR577">
        <v>0</v>
      </c>
      <c r="AS577">
        <f t="shared" si="112"/>
        <v>1</v>
      </c>
      <c r="AT577">
        <f t="shared" si="113"/>
        <v>1</v>
      </c>
      <c r="AU577" s="3" t="s">
        <v>129</v>
      </c>
      <c r="AV577">
        <f t="shared" si="114"/>
        <v>1</v>
      </c>
      <c r="AW577">
        <f t="shared" si="115"/>
        <v>0</v>
      </c>
      <c r="AX577">
        <f t="shared" si="116"/>
        <v>0</v>
      </c>
      <c r="AY577">
        <v>0</v>
      </c>
      <c r="AZ577" t="s">
        <v>147</v>
      </c>
      <c r="BA577" t="s">
        <v>148</v>
      </c>
      <c r="BB577" t="s">
        <v>8</v>
      </c>
    </row>
    <row r="578" ht="17" spans="1:54">
      <c r="A578" t="s">
        <v>2022</v>
      </c>
      <c r="B578" t="s">
        <v>1041</v>
      </c>
      <c r="C578" t="s">
        <v>56</v>
      </c>
      <c r="D578">
        <v>0</v>
      </c>
      <c r="E578">
        <v>0</v>
      </c>
      <c r="F578">
        <v>59.7</v>
      </c>
      <c r="G578" t="s">
        <v>726</v>
      </c>
      <c r="H578" s="3" t="s">
        <v>2023</v>
      </c>
      <c r="I578" s="3" t="s">
        <v>2023</v>
      </c>
      <c r="J578">
        <f t="shared" ref="J578:J641" si="117">IF(SUM(R578:T578)&gt;0,1,0)</f>
        <v>0</v>
      </c>
      <c r="K578">
        <f t="shared" ref="K578:K641" si="118">IF(SUM(U578:Y578)&gt;0,1,0)</f>
        <v>0</v>
      </c>
      <c r="L578">
        <f t="shared" ref="L578:L641" si="119">IF(SUM(Z578:AC578)&gt;0,1,0)</f>
        <v>0</v>
      </c>
      <c r="M578">
        <f t="shared" ref="M578:M641" si="120">IF(SUM(AD578:AF578)&gt;0,1,0)</f>
        <v>0</v>
      </c>
      <c r="N578">
        <f t="shared" ref="N578:N641" si="121">IF(SUM(AG578:AH578)&gt;0,1,0)</f>
        <v>0</v>
      </c>
      <c r="O578">
        <f t="shared" ref="O578:O641" si="122">IF(SUM(AI578:AL578)&gt;0,1,0)</f>
        <v>0</v>
      </c>
      <c r="P578">
        <f t="shared" ref="P578:P641" si="123">IF(SUM(AM578:AQ578)&gt;0,1,0)</f>
        <v>0</v>
      </c>
      <c r="Q578">
        <f t="shared" ref="Q578:Q641" si="124">IF(AR578&gt;0,1,0)</f>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f t="shared" ref="AS578:AS641" si="125">SUM(J578:Q578)</f>
        <v>0</v>
      </c>
      <c r="AT578">
        <f t="shared" ref="AT578:AT641" si="126">SUM(R578:AR578)</f>
        <v>0</v>
      </c>
      <c r="AU578" s="3" t="s">
        <v>118</v>
      </c>
      <c r="AV578">
        <f t="shared" ref="AV578:AV641" si="127">IF(AT578&gt;0,1,0)</f>
        <v>0</v>
      </c>
      <c r="AW578">
        <f t="shared" ref="AW578:AW641" si="128">IF(AT578=0,1,0)</f>
        <v>1</v>
      </c>
      <c r="AX578">
        <f t="shared" ref="AX578:AX641" si="129">IF(AT578&gt;=8,1,0)</f>
        <v>0</v>
      </c>
      <c r="AY578">
        <v>4.5</v>
      </c>
      <c r="AZ578" t="s">
        <v>60</v>
      </c>
      <c r="BA578" t="s">
        <v>61</v>
      </c>
      <c r="BB578" t="s">
        <v>8</v>
      </c>
    </row>
    <row r="579" ht="353" spans="1:54">
      <c r="A579" t="s">
        <v>2024</v>
      </c>
      <c r="B579" t="s">
        <v>1041</v>
      </c>
      <c r="C579" t="s">
        <v>116</v>
      </c>
      <c r="D579">
        <v>37</v>
      </c>
      <c r="E579">
        <v>2</v>
      </c>
      <c r="F579">
        <v>42.3</v>
      </c>
      <c r="G579" t="s">
        <v>2025</v>
      </c>
      <c r="H579" s="3" t="s">
        <v>2026</v>
      </c>
      <c r="I579" s="3" t="s">
        <v>2027</v>
      </c>
      <c r="J579">
        <f t="shared" si="117"/>
        <v>1</v>
      </c>
      <c r="K579">
        <f t="shared" si="118"/>
        <v>1</v>
      </c>
      <c r="L579">
        <f t="shared" si="119"/>
        <v>1</v>
      </c>
      <c r="M579">
        <f t="shared" si="120"/>
        <v>0</v>
      </c>
      <c r="N579">
        <f t="shared" si="121"/>
        <v>0</v>
      </c>
      <c r="O579">
        <f t="shared" si="122"/>
        <v>1</v>
      </c>
      <c r="P579">
        <f t="shared" si="123"/>
        <v>0</v>
      </c>
      <c r="Q579">
        <f t="shared" si="124"/>
        <v>0</v>
      </c>
      <c r="R579">
        <v>1</v>
      </c>
      <c r="S579">
        <v>0</v>
      </c>
      <c r="T579">
        <v>0</v>
      </c>
      <c r="U579">
        <v>0</v>
      </c>
      <c r="V579">
        <v>1</v>
      </c>
      <c r="W579">
        <v>0</v>
      </c>
      <c r="X579">
        <v>0</v>
      </c>
      <c r="Y579">
        <v>0</v>
      </c>
      <c r="Z579">
        <v>0</v>
      </c>
      <c r="AA579">
        <v>1</v>
      </c>
      <c r="AB579">
        <v>0</v>
      </c>
      <c r="AC579">
        <v>1</v>
      </c>
      <c r="AD579">
        <v>0</v>
      </c>
      <c r="AE579">
        <v>0</v>
      </c>
      <c r="AF579">
        <v>0</v>
      </c>
      <c r="AG579">
        <v>0</v>
      </c>
      <c r="AH579">
        <v>0</v>
      </c>
      <c r="AI579">
        <v>1</v>
      </c>
      <c r="AJ579">
        <v>0</v>
      </c>
      <c r="AK579">
        <v>0</v>
      </c>
      <c r="AL579">
        <v>0</v>
      </c>
      <c r="AM579">
        <v>0</v>
      </c>
      <c r="AN579">
        <v>0</v>
      </c>
      <c r="AO579">
        <v>0</v>
      </c>
      <c r="AP579">
        <v>0</v>
      </c>
      <c r="AQ579">
        <v>0</v>
      </c>
      <c r="AR579">
        <v>0</v>
      </c>
      <c r="AS579">
        <f t="shared" si="125"/>
        <v>4</v>
      </c>
      <c r="AT579">
        <f t="shared" si="126"/>
        <v>5</v>
      </c>
      <c r="AU579" s="3" t="s">
        <v>2028</v>
      </c>
      <c r="AV579">
        <f t="shared" si="127"/>
        <v>1</v>
      </c>
      <c r="AW579">
        <f t="shared" si="128"/>
        <v>0</v>
      </c>
      <c r="AX579">
        <f t="shared" si="129"/>
        <v>0</v>
      </c>
      <c r="AY579">
        <v>5.5</v>
      </c>
      <c r="AZ579" t="s">
        <v>60</v>
      </c>
      <c r="BA579" t="s">
        <v>61</v>
      </c>
      <c r="BB579" t="s">
        <v>8</v>
      </c>
    </row>
    <row r="580" ht="17" spans="1:54">
      <c r="A580" t="s">
        <v>2029</v>
      </c>
      <c r="B580" t="s">
        <v>1041</v>
      </c>
      <c r="C580" t="s">
        <v>56</v>
      </c>
      <c r="D580">
        <v>0</v>
      </c>
      <c r="E580">
        <v>0</v>
      </c>
      <c r="F580">
        <v>321.9</v>
      </c>
      <c r="G580" t="s">
        <v>2030</v>
      </c>
      <c r="H580" s="3" t="s">
        <v>2031</v>
      </c>
      <c r="I580" s="3" t="s">
        <v>2031</v>
      </c>
      <c r="J580">
        <f t="shared" si="117"/>
        <v>0</v>
      </c>
      <c r="K580">
        <f t="shared" si="118"/>
        <v>0</v>
      </c>
      <c r="L580">
        <f t="shared" si="119"/>
        <v>0</v>
      </c>
      <c r="M580">
        <f t="shared" si="120"/>
        <v>0</v>
      </c>
      <c r="N580">
        <f t="shared" si="121"/>
        <v>0</v>
      </c>
      <c r="O580">
        <f t="shared" si="122"/>
        <v>0</v>
      </c>
      <c r="P580">
        <f t="shared" si="123"/>
        <v>0</v>
      </c>
      <c r="Q580">
        <f t="shared" si="124"/>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f t="shared" si="125"/>
        <v>0</v>
      </c>
      <c r="AT580">
        <f t="shared" si="126"/>
        <v>0</v>
      </c>
      <c r="AU580" s="3" t="s">
        <v>118</v>
      </c>
      <c r="AV580">
        <f t="shared" si="127"/>
        <v>0</v>
      </c>
      <c r="AW580">
        <f t="shared" si="128"/>
        <v>1</v>
      </c>
      <c r="AX580">
        <f t="shared" si="129"/>
        <v>0</v>
      </c>
      <c r="AY580">
        <v>0</v>
      </c>
      <c r="AZ580" t="s">
        <v>147</v>
      </c>
      <c r="BA580" t="s">
        <v>148</v>
      </c>
      <c r="BB580" t="s">
        <v>8</v>
      </c>
    </row>
    <row r="581" ht="202" spans="1:54">
      <c r="A581" t="s">
        <v>2032</v>
      </c>
      <c r="B581" t="s">
        <v>1041</v>
      </c>
      <c r="C581" t="s">
        <v>56</v>
      </c>
      <c r="D581">
        <v>4</v>
      </c>
      <c r="E581">
        <v>0</v>
      </c>
      <c r="F581">
        <v>63.5</v>
      </c>
      <c r="G581" t="s">
        <v>2033</v>
      </c>
      <c r="H581" s="3" t="s">
        <v>2034</v>
      </c>
      <c r="I581" s="3" t="s">
        <v>2035</v>
      </c>
      <c r="J581">
        <f t="shared" si="117"/>
        <v>0</v>
      </c>
      <c r="K581">
        <f t="shared" si="118"/>
        <v>1</v>
      </c>
      <c r="L581">
        <f t="shared" si="119"/>
        <v>0</v>
      </c>
      <c r="M581">
        <f t="shared" si="120"/>
        <v>0</v>
      </c>
      <c r="N581">
        <f t="shared" si="121"/>
        <v>0</v>
      </c>
      <c r="O581">
        <f t="shared" si="122"/>
        <v>0</v>
      </c>
      <c r="P581">
        <f t="shared" si="123"/>
        <v>0</v>
      </c>
      <c r="Q581">
        <f t="shared" si="124"/>
        <v>0</v>
      </c>
      <c r="R581">
        <v>0</v>
      </c>
      <c r="S581">
        <v>0</v>
      </c>
      <c r="T581">
        <v>0</v>
      </c>
      <c r="U581">
        <v>1</v>
      </c>
      <c r="V581">
        <v>1</v>
      </c>
      <c r="W581">
        <v>1</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c r="AS581">
        <f t="shared" si="125"/>
        <v>1</v>
      </c>
      <c r="AT581">
        <f t="shared" si="126"/>
        <v>3</v>
      </c>
      <c r="AU581" s="3" t="s">
        <v>1681</v>
      </c>
      <c r="AV581">
        <f t="shared" si="127"/>
        <v>1</v>
      </c>
      <c r="AW581">
        <f t="shared" si="128"/>
        <v>0</v>
      </c>
      <c r="AX581">
        <f t="shared" si="129"/>
        <v>0</v>
      </c>
      <c r="AY581">
        <v>14.5</v>
      </c>
      <c r="AZ581" t="s">
        <v>60</v>
      </c>
      <c r="BA581" t="s">
        <v>61</v>
      </c>
      <c r="BB581" t="s">
        <v>8</v>
      </c>
    </row>
    <row r="582" ht="51" spans="1:54">
      <c r="A582" t="s">
        <v>2036</v>
      </c>
      <c r="B582" t="s">
        <v>1041</v>
      </c>
      <c r="C582" t="s">
        <v>56</v>
      </c>
      <c r="D582">
        <v>2</v>
      </c>
      <c r="E582">
        <v>0</v>
      </c>
      <c r="F582">
        <v>51.5</v>
      </c>
      <c r="G582" t="s">
        <v>768</v>
      </c>
      <c r="H582" s="3" t="s">
        <v>2037</v>
      </c>
      <c r="I582" s="3" t="s">
        <v>2038</v>
      </c>
      <c r="J582">
        <f t="shared" si="117"/>
        <v>0</v>
      </c>
      <c r="K582">
        <f t="shared" si="118"/>
        <v>0</v>
      </c>
      <c r="L582">
        <f t="shared" si="119"/>
        <v>0</v>
      </c>
      <c r="M582">
        <f t="shared" si="120"/>
        <v>0</v>
      </c>
      <c r="N582">
        <f t="shared" si="121"/>
        <v>1</v>
      </c>
      <c r="O582">
        <f t="shared" si="122"/>
        <v>1</v>
      </c>
      <c r="P582">
        <f t="shared" si="123"/>
        <v>0</v>
      </c>
      <c r="Q582">
        <f t="shared" si="124"/>
        <v>0</v>
      </c>
      <c r="R582">
        <v>0</v>
      </c>
      <c r="S582">
        <v>0</v>
      </c>
      <c r="T582">
        <v>0</v>
      </c>
      <c r="U582">
        <v>0</v>
      </c>
      <c r="V582">
        <v>0</v>
      </c>
      <c r="W582">
        <v>0</v>
      </c>
      <c r="X582">
        <v>0</v>
      </c>
      <c r="Y582">
        <v>0</v>
      </c>
      <c r="Z582">
        <v>0</v>
      </c>
      <c r="AA582">
        <v>0</v>
      </c>
      <c r="AB582">
        <v>0</v>
      </c>
      <c r="AC582">
        <v>0</v>
      </c>
      <c r="AD582">
        <v>0</v>
      </c>
      <c r="AE582">
        <v>0</v>
      </c>
      <c r="AF582">
        <v>0</v>
      </c>
      <c r="AG582">
        <v>0</v>
      </c>
      <c r="AH582">
        <v>1</v>
      </c>
      <c r="AI582">
        <v>1</v>
      </c>
      <c r="AJ582">
        <v>1</v>
      </c>
      <c r="AK582">
        <v>0</v>
      </c>
      <c r="AL582">
        <v>0</v>
      </c>
      <c r="AM582">
        <v>0</v>
      </c>
      <c r="AN582">
        <v>0</v>
      </c>
      <c r="AO582">
        <v>0</v>
      </c>
      <c r="AP582">
        <v>0</v>
      </c>
      <c r="AQ582">
        <v>0</v>
      </c>
      <c r="AR582">
        <v>0</v>
      </c>
      <c r="AS582">
        <f t="shared" si="125"/>
        <v>2</v>
      </c>
      <c r="AT582">
        <f t="shared" si="126"/>
        <v>3</v>
      </c>
      <c r="AU582" s="3" t="s">
        <v>2039</v>
      </c>
      <c r="AV582">
        <f t="shared" si="127"/>
        <v>1</v>
      </c>
      <c r="AW582">
        <f t="shared" si="128"/>
        <v>0</v>
      </c>
      <c r="AX582">
        <f t="shared" si="129"/>
        <v>0</v>
      </c>
      <c r="AY582">
        <v>2</v>
      </c>
      <c r="AZ582" t="s">
        <v>60</v>
      </c>
      <c r="BA582" t="s">
        <v>61</v>
      </c>
      <c r="BB582" t="s">
        <v>8</v>
      </c>
    </row>
    <row r="583" ht="51" spans="1:54">
      <c r="A583" t="s">
        <v>2040</v>
      </c>
      <c r="B583" t="s">
        <v>1041</v>
      </c>
      <c r="C583" t="s">
        <v>56</v>
      </c>
      <c r="D583">
        <v>2</v>
      </c>
      <c r="E583">
        <v>0</v>
      </c>
      <c r="F583">
        <v>252.5</v>
      </c>
      <c r="G583" t="s">
        <v>2041</v>
      </c>
      <c r="H583" s="3" t="s">
        <v>2042</v>
      </c>
      <c r="I583" s="3" t="s">
        <v>2043</v>
      </c>
      <c r="J583">
        <f t="shared" si="117"/>
        <v>1</v>
      </c>
      <c r="K583">
        <f t="shared" si="118"/>
        <v>1</v>
      </c>
      <c r="L583">
        <f t="shared" si="119"/>
        <v>0</v>
      </c>
      <c r="M583">
        <f t="shared" si="120"/>
        <v>0</v>
      </c>
      <c r="N583">
        <f t="shared" si="121"/>
        <v>1</v>
      </c>
      <c r="O583">
        <f t="shared" si="122"/>
        <v>0</v>
      </c>
      <c r="P583">
        <f t="shared" si="123"/>
        <v>0</v>
      </c>
      <c r="Q583">
        <f t="shared" si="124"/>
        <v>0</v>
      </c>
      <c r="R583">
        <v>1</v>
      </c>
      <c r="S583">
        <v>1</v>
      </c>
      <c r="T583">
        <v>0</v>
      </c>
      <c r="U583">
        <v>1</v>
      </c>
      <c r="V583">
        <v>0</v>
      </c>
      <c r="W583">
        <v>1</v>
      </c>
      <c r="X583">
        <v>0</v>
      </c>
      <c r="Y583">
        <v>0</v>
      </c>
      <c r="Z583">
        <v>0</v>
      </c>
      <c r="AA583">
        <v>0</v>
      </c>
      <c r="AB583">
        <v>0</v>
      </c>
      <c r="AC583">
        <v>0</v>
      </c>
      <c r="AD583">
        <v>0</v>
      </c>
      <c r="AE583">
        <v>0</v>
      </c>
      <c r="AF583">
        <v>0</v>
      </c>
      <c r="AG583">
        <v>0</v>
      </c>
      <c r="AH583">
        <v>1</v>
      </c>
      <c r="AI583">
        <v>0</v>
      </c>
      <c r="AJ583">
        <v>0</v>
      </c>
      <c r="AK583">
        <v>0</v>
      </c>
      <c r="AL583">
        <v>0</v>
      </c>
      <c r="AM583">
        <v>0</v>
      </c>
      <c r="AN583">
        <v>0</v>
      </c>
      <c r="AO583">
        <v>0</v>
      </c>
      <c r="AP583">
        <v>0</v>
      </c>
      <c r="AQ583">
        <v>0</v>
      </c>
      <c r="AR583">
        <v>0</v>
      </c>
      <c r="AS583">
        <f t="shared" si="125"/>
        <v>3</v>
      </c>
      <c r="AT583">
        <f t="shared" si="126"/>
        <v>5</v>
      </c>
      <c r="AU583" s="3" t="s">
        <v>2044</v>
      </c>
      <c r="AV583">
        <f t="shared" si="127"/>
        <v>1</v>
      </c>
      <c r="AW583">
        <f t="shared" si="128"/>
        <v>0</v>
      </c>
      <c r="AX583">
        <f t="shared" si="129"/>
        <v>0</v>
      </c>
      <c r="AY583">
        <v>6.5</v>
      </c>
      <c r="AZ583" t="s">
        <v>60</v>
      </c>
      <c r="BA583" t="s">
        <v>61</v>
      </c>
      <c r="BB583" t="s">
        <v>8</v>
      </c>
    </row>
    <row r="584" ht="320" spans="1:54">
      <c r="A584" t="s">
        <v>2045</v>
      </c>
      <c r="B584" t="s">
        <v>1041</v>
      </c>
      <c r="C584" t="s">
        <v>56</v>
      </c>
      <c r="D584">
        <v>7</v>
      </c>
      <c r="E584">
        <v>0</v>
      </c>
      <c r="F584">
        <v>56.7</v>
      </c>
      <c r="G584" t="s">
        <v>2046</v>
      </c>
      <c r="H584" s="3" t="s">
        <v>2047</v>
      </c>
      <c r="I584" s="3" t="s">
        <v>2048</v>
      </c>
      <c r="J584">
        <f t="shared" si="117"/>
        <v>0</v>
      </c>
      <c r="K584">
        <f t="shared" si="118"/>
        <v>1</v>
      </c>
      <c r="L584">
        <f t="shared" si="119"/>
        <v>1</v>
      </c>
      <c r="M584">
        <f t="shared" si="120"/>
        <v>0</v>
      </c>
      <c r="N584">
        <f t="shared" si="121"/>
        <v>1</v>
      </c>
      <c r="O584">
        <f t="shared" si="122"/>
        <v>0</v>
      </c>
      <c r="P584">
        <f t="shared" si="123"/>
        <v>0</v>
      </c>
      <c r="Q584">
        <f t="shared" si="124"/>
        <v>0</v>
      </c>
      <c r="R584">
        <v>0</v>
      </c>
      <c r="S584">
        <v>0</v>
      </c>
      <c r="T584">
        <v>0</v>
      </c>
      <c r="U584">
        <v>1</v>
      </c>
      <c r="V584">
        <v>1</v>
      </c>
      <c r="W584">
        <v>1</v>
      </c>
      <c r="X584">
        <v>0</v>
      </c>
      <c r="Y584">
        <v>0</v>
      </c>
      <c r="Z584">
        <v>1</v>
      </c>
      <c r="AA584">
        <v>0</v>
      </c>
      <c r="AB584">
        <v>0</v>
      </c>
      <c r="AC584">
        <v>0</v>
      </c>
      <c r="AD584">
        <v>0</v>
      </c>
      <c r="AE584">
        <v>0</v>
      </c>
      <c r="AF584">
        <v>0</v>
      </c>
      <c r="AG584">
        <v>0</v>
      </c>
      <c r="AH584">
        <v>1</v>
      </c>
      <c r="AI584">
        <v>0</v>
      </c>
      <c r="AJ584">
        <v>0</v>
      </c>
      <c r="AK584">
        <v>0</v>
      </c>
      <c r="AL584">
        <v>0</v>
      </c>
      <c r="AM584">
        <v>0</v>
      </c>
      <c r="AN584">
        <v>0</v>
      </c>
      <c r="AO584">
        <v>0</v>
      </c>
      <c r="AP584">
        <v>0</v>
      </c>
      <c r="AQ584">
        <v>0</v>
      </c>
      <c r="AR584">
        <v>0</v>
      </c>
      <c r="AS584">
        <f t="shared" si="125"/>
        <v>3</v>
      </c>
      <c r="AT584">
        <f t="shared" si="126"/>
        <v>5</v>
      </c>
      <c r="AU584" s="3" t="s">
        <v>2049</v>
      </c>
      <c r="AV584">
        <f t="shared" si="127"/>
        <v>1</v>
      </c>
      <c r="AW584">
        <f t="shared" si="128"/>
        <v>0</v>
      </c>
      <c r="AX584">
        <f t="shared" si="129"/>
        <v>0</v>
      </c>
      <c r="AY584">
        <v>1.5</v>
      </c>
      <c r="AZ584" t="s">
        <v>60</v>
      </c>
      <c r="BA584" t="s">
        <v>61</v>
      </c>
      <c r="BB584" t="s">
        <v>8</v>
      </c>
    </row>
    <row r="585" ht="202" spans="1:54">
      <c r="A585" t="s">
        <v>2050</v>
      </c>
      <c r="B585" t="s">
        <v>1041</v>
      </c>
      <c r="C585" t="s">
        <v>56</v>
      </c>
      <c r="D585">
        <v>0</v>
      </c>
      <c r="E585">
        <v>0</v>
      </c>
      <c r="F585">
        <v>58.5</v>
      </c>
      <c r="G585" t="s">
        <v>2051</v>
      </c>
      <c r="H585" s="3" t="s">
        <v>2052</v>
      </c>
      <c r="I585" s="3" t="s">
        <v>2053</v>
      </c>
      <c r="J585">
        <f t="shared" si="117"/>
        <v>1</v>
      </c>
      <c r="K585">
        <f t="shared" si="118"/>
        <v>1</v>
      </c>
      <c r="L585">
        <f t="shared" si="119"/>
        <v>1</v>
      </c>
      <c r="M585">
        <f t="shared" si="120"/>
        <v>0</v>
      </c>
      <c r="N585">
        <f t="shared" si="121"/>
        <v>0</v>
      </c>
      <c r="O585">
        <f t="shared" si="122"/>
        <v>0</v>
      </c>
      <c r="P585">
        <f t="shared" si="123"/>
        <v>0</v>
      </c>
      <c r="Q585">
        <f t="shared" si="124"/>
        <v>0</v>
      </c>
      <c r="R585">
        <v>1</v>
      </c>
      <c r="S585">
        <v>0</v>
      </c>
      <c r="T585">
        <v>0</v>
      </c>
      <c r="U585">
        <v>1</v>
      </c>
      <c r="V585">
        <v>1</v>
      </c>
      <c r="W585">
        <v>0</v>
      </c>
      <c r="X585">
        <v>0</v>
      </c>
      <c r="Y585">
        <v>0</v>
      </c>
      <c r="Z585">
        <v>1</v>
      </c>
      <c r="AA585">
        <v>0</v>
      </c>
      <c r="AB585">
        <v>1</v>
      </c>
      <c r="AC585">
        <v>0</v>
      </c>
      <c r="AD585">
        <v>0</v>
      </c>
      <c r="AE585">
        <v>0</v>
      </c>
      <c r="AF585">
        <v>0</v>
      </c>
      <c r="AG585">
        <v>0</v>
      </c>
      <c r="AH585">
        <v>0</v>
      </c>
      <c r="AI585">
        <v>0</v>
      </c>
      <c r="AJ585">
        <v>0</v>
      </c>
      <c r="AK585">
        <v>0</v>
      </c>
      <c r="AL585">
        <v>0</v>
      </c>
      <c r="AM585">
        <v>0</v>
      </c>
      <c r="AN585">
        <v>0</v>
      </c>
      <c r="AO585">
        <v>0</v>
      </c>
      <c r="AP585">
        <v>0</v>
      </c>
      <c r="AQ585">
        <v>0</v>
      </c>
      <c r="AR585">
        <v>0</v>
      </c>
      <c r="AS585">
        <f t="shared" si="125"/>
        <v>3</v>
      </c>
      <c r="AT585">
        <f t="shared" si="126"/>
        <v>5</v>
      </c>
      <c r="AU585" s="3" t="s">
        <v>2054</v>
      </c>
      <c r="AV585">
        <f t="shared" si="127"/>
        <v>1</v>
      </c>
      <c r="AW585">
        <f t="shared" si="128"/>
        <v>0</v>
      </c>
      <c r="AX585">
        <f t="shared" si="129"/>
        <v>0</v>
      </c>
      <c r="AY585">
        <v>6</v>
      </c>
      <c r="AZ585" t="s">
        <v>60</v>
      </c>
      <c r="BA585" t="s">
        <v>61</v>
      </c>
      <c r="BB585" t="s">
        <v>8</v>
      </c>
    </row>
    <row r="586" ht="409.5" spans="1:54">
      <c r="A586" t="s">
        <v>2055</v>
      </c>
      <c r="B586" t="s">
        <v>1041</v>
      </c>
      <c r="C586" t="s">
        <v>116</v>
      </c>
      <c r="D586">
        <v>14</v>
      </c>
      <c r="E586">
        <v>3</v>
      </c>
      <c r="F586">
        <v>45.3</v>
      </c>
      <c r="G586" t="s">
        <v>2056</v>
      </c>
      <c r="H586" s="3" t="s">
        <v>2057</v>
      </c>
      <c r="I586" s="3" t="s">
        <v>2058</v>
      </c>
      <c r="J586">
        <f t="shared" si="117"/>
        <v>0</v>
      </c>
      <c r="K586">
        <f t="shared" si="118"/>
        <v>0</v>
      </c>
      <c r="L586">
        <f t="shared" si="119"/>
        <v>0</v>
      </c>
      <c r="M586">
        <f t="shared" si="120"/>
        <v>0</v>
      </c>
      <c r="N586">
        <f t="shared" si="121"/>
        <v>0</v>
      </c>
      <c r="O586">
        <f t="shared" si="122"/>
        <v>0</v>
      </c>
      <c r="P586">
        <f t="shared" si="123"/>
        <v>0</v>
      </c>
      <c r="Q586">
        <f t="shared" si="124"/>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f t="shared" si="125"/>
        <v>0</v>
      </c>
      <c r="AT586">
        <f t="shared" si="126"/>
        <v>0</v>
      </c>
      <c r="AU586" s="3" t="s">
        <v>118</v>
      </c>
      <c r="AV586">
        <f t="shared" si="127"/>
        <v>0</v>
      </c>
      <c r="AW586">
        <f t="shared" si="128"/>
        <v>1</v>
      </c>
      <c r="AX586">
        <f t="shared" si="129"/>
        <v>0</v>
      </c>
      <c r="AY586">
        <v>2</v>
      </c>
      <c r="AZ586" t="s">
        <v>60</v>
      </c>
      <c r="BA586" t="s">
        <v>61</v>
      </c>
      <c r="BB586" t="s">
        <v>8</v>
      </c>
    </row>
    <row r="587" ht="101" spans="1:54">
      <c r="A587" t="s">
        <v>2059</v>
      </c>
      <c r="B587" t="s">
        <v>1041</v>
      </c>
      <c r="C587" t="s">
        <v>56</v>
      </c>
      <c r="D587">
        <v>6</v>
      </c>
      <c r="E587">
        <v>0</v>
      </c>
      <c r="F587">
        <v>91.6</v>
      </c>
      <c r="G587" t="s">
        <v>2060</v>
      </c>
      <c r="H587" s="3" t="s">
        <v>2061</v>
      </c>
      <c r="I587" s="3" t="s">
        <v>2062</v>
      </c>
      <c r="J587">
        <f t="shared" si="117"/>
        <v>0</v>
      </c>
      <c r="K587">
        <f t="shared" si="118"/>
        <v>1</v>
      </c>
      <c r="L587">
        <f t="shared" si="119"/>
        <v>0</v>
      </c>
      <c r="M587">
        <f t="shared" si="120"/>
        <v>0</v>
      </c>
      <c r="N587">
        <f t="shared" si="121"/>
        <v>0</v>
      </c>
      <c r="O587">
        <f t="shared" si="122"/>
        <v>0</v>
      </c>
      <c r="P587">
        <f t="shared" si="123"/>
        <v>0</v>
      </c>
      <c r="Q587">
        <f t="shared" si="124"/>
        <v>0</v>
      </c>
      <c r="R587">
        <v>0</v>
      </c>
      <c r="S587">
        <v>0</v>
      </c>
      <c r="T587">
        <v>0</v>
      </c>
      <c r="U587">
        <v>1</v>
      </c>
      <c r="V587">
        <v>1</v>
      </c>
      <c r="W587">
        <v>1</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f t="shared" si="125"/>
        <v>1</v>
      </c>
      <c r="AT587">
        <f t="shared" si="126"/>
        <v>3</v>
      </c>
      <c r="AU587" s="3" t="s">
        <v>1681</v>
      </c>
      <c r="AV587">
        <f t="shared" si="127"/>
        <v>1</v>
      </c>
      <c r="AW587">
        <f t="shared" si="128"/>
        <v>0</v>
      </c>
      <c r="AX587">
        <f t="shared" si="129"/>
        <v>0</v>
      </c>
      <c r="AY587">
        <v>5.5</v>
      </c>
      <c r="AZ587" t="s">
        <v>60</v>
      </c>
      <c r="BA587" t="s">
        <v>61</v>
      </c>
      <c r="BB587" t="s">
        <v>8</v>
      </c>
    </row>
    <row r="588" ht="409.5" spans="1:54">
      <c r="A588" t="s">
        <v>2063</v>
      </c>
      <c r="B588" t="s">
        <v>1041</v>
      </c>
      <c r="C588" t="s">
        <v>56</v>
      </c>
      <c r="D588">
        <v>10</v>
      </c>
      <c r="E588">
        <v>1</v>
      </c>
      <c r="F588">
        <v>100.6</v>
      </c>
      <c r="G588" t="s">
        <v>2064</v>
      </c>
      <c r="H588" s="3" t="s">
        <v>2065</v>
      </c>
      <c r="I588" s="3" t="s">
        <v>2066</v>
      </c>
      <c r="J588">
        <f t="shared" si="117"/>
        <v>1</v>
      </c>
      <c r="K588">
        <f t="shared" si="118"/>
        <v>1</v>
      </c>
      <c r="L588">
        <f t="shared" si="119"/>
        <v>0</v>
      </c>
      <c r="M588">
        <f t="shared" si="120"/>
        <v>0</v>
      </c>
      <c r="N588">
        <f t="shared" si="121"/>
        <v>0</v>
      </c>
      <c r="O588">
        <f t="shared" si="122"/>
        <v>1</v>
      </c>
      <c r="P588">
        <f t="shared" si="123"/>
        <v>1</v>
      </c>
      <c r="Q588">
        <f t="shared" si="124"/>
        <v>0</v>
      </c>
      <c r="R588">
        <v>1</v>
      </c>
      <c r="S588">
        <v>1</v>
      </c>
      <c r="T588">
        <v>0</v>
      </c>
      <c r="U588">
        <v>0</v>
      </c>
      <c r="V588">
        <v>1</v>
      </c>
      <c r="W588">
        <v>0</v>
      </c>
      <c r="X588">
        <v>0</v>
      </c>
      <c r="Y588">
        <v>1</v>
      </c>
      <c r="Z588">
        <v>0</v>
      </c>
      <c r="AA588">
        <v>0</v>
      </c>
      <c r="AB588">
        <v>0</v>
      </c>
      <c r="AC588">
        <v>0</v>
      </c>
      <c r="AD588">
        <v>0</v>
      </c>
      <c r="AE588">
        <v>0</v>
      </c>
      <c r="AF588">
        <v>0</v>
      </c>
      <c r="AG588">
        <v>0</v>
      </c>
      <c r="AH588">
        <v>0</v>
      </c>
      <c r="AI588">
        <v>0</v>
      </c>
      <c r="AJ588">
        <v>0</v>
      </c>
      <c r="AK588">
        <v>0</v>
      </c>
      <c r="AL588">
        <v>1</v>
      </c>
      <c r="AM588">
        <v>0</v>
      </c>
      <c r="AN588">
        <v>0</v>
      </c>
      <c r="AO588">
        <v>0</v>
      </c>
      <c r="AP588">
        <v>1</v>
      </c>
      <c r="AQ588">
        <v>0</v>
      </c>
      <c r="AR588">
        <v>0</v>
      </c>
      <c r="AS588">
        <f t="shared" si="125"/>
        <v>4</v>
      </c>
      <c r="AT588">
        <f t="shared" si="126"/>
        <v>6</v>
      </c>
      <c r="AU588" s="3" t="s">
        <v>2067</v>
      </c>
      <c r="AV588">
        <f t="shared" si="127"/>
        <v>1</v>
      </c>
      <c r="AW588">
        <f t="shared" si="128"/>
        <v>0</v>
      </c>
      <c r="AX588">
        <f t="shared" si="129"/>
        <v>0</v>
      </c>
      <c r="AY588">
        <v>1</v>
      </c>
      <c r="AZ588" t="s">
        <v>60</v>
      </c>
      <c r="BA588" t="s">
        <v>61</v>
      </c>
      <c r="BB588" t="s">
        <v>8</v>
      </c>
    </row>
    <row r="589" ht="135" spans="1:54">
      <c r="A589" t="s">
        <v>2068</v>
      </c>
      <c r="B589" t="s">
        <v>1041</v>
      </c>
      <c r="C589" t="s">
        <v>116</v>
      </c>
      <c r="D589">
        <v>13</v>
      </c>
      <c r="E589">
        <v>1</v>
      </c>
      <c r="F589">
        <v>15.8</v>
      </c>
      <c r="G589" t="s">
        <v>862</v>
      </c>
      <c r="H589" s="3" t="s">
        <v>2069</v>
      </c>
      <c r="I589" s="3" t="s">
        <v>2069</v>
      </c>
      <c r="J589">
        <f t="shared" si="117"/>
        <v>0</v>
      </c>
      <c r="K589">
        <f t="shared" si="118"/>
        <v>1</v>
      </c>
      <c r="L589">
        <f t="shared" si="119"/>
        <v>0</v>
      </c>
      <c r="M589">
        <f t="shared" si="120"/>
        <v>0</v>
      </c>
      <c r="N589">
        <f t="shared" si="121"/>
        <v>0</v>
      </c>
      <c r="O589">
        <f t="shared" si="122"/>
        <v>0</v>
      </c>
      <c r="P589">
        <f t="shared" si="123"/>
        <v>0</v>
      </c>
      <c r="Q589">
        <f t="shared" si="124"/>
        <v>0</v>
      </c>
      <c r="R589">
        <v>0</v>
      </c>
      <c r="S589">
        <v>0</v>
      </c>
      <c r="T589">
        <v>0</v>
      </c>
      <c r="U589">
        <v>0</v>
      </c>
      <c r="V589">
        <v>1</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f t="shared" si="125"/>
        <v>1</v>
      </c>
      <c r="AT589">
        <f t="shared" si="126"/>
        <v>1</v>
      </c>
      <c r="AU589" s="3" t="s">
        <v>845</v>
      </c>
      <c r="AV589">
        <f t="shared" si="127"/>
        <v>1</v>
      </c>
      <c r="AW589">
        <f t="shared" si="128"/>
        <v>0</v>
      </c>
      <c r="AX589">
        <f t="shared" si="129"/>
        <v>0</v>
      </c>
      <c r="AY589">
        <v>0</v>
      </c>
      <c r="AZ589" t="s">
        <v>147</v>
      </c>
      <c r="BA589" t="s">
        <v>148</v>
      </c>
      <c r="BB589" t="s">
        <v>8</v>
      </c>
    </row>
    <row r="590" ht="303" spans="1:54">
      <c r="A590" t="s">
        <v>2070</v>
      </c>
      <c r="B590" t="s">
        <v>1041</v>
      </c>
      <c r="C590" t="s">
        <v>116</v>
      </c>
      <c r="D590">
        <v>42</v>
      </c>
      <c r="E590">
        <v>3</v>
      </c>
      <c r="F590">
        <v>19.3</v>
      </c>
      <c r="G590" t="s">
        <v>2071</v>
      </c>
      <c r="H590" s="3" t="s">
        <v>2072</v>
      </c>
      <c r="I590" s="3" t="s">
        <v>2073</v>
      </c>
      <c r="J590">
        <f t="shared" si="117"/>
        <v>0</v>
      </c>
      <c r="K590">
        <f t="shared" si="118"/>
        <v>0</v>
      </c>
      <c r="L590">
        <f t="shared" si="119"/>
        <v>0</v>
      </c>
      <c r="M590">
        <f t="shared" si="120"/>
        <v>0</v>
      </c>
      <c r="N590">
        <f t="shared" si="121"/>
        <v>0</v>
      </c>
      <c r="O590">
        <f t="shared" si="122"/>
        <v>0</v>
      </c>
      <c r="P590">
        <f t="shared" si="123"/>
        <v>0</v>
      </c>
      <c r="Q590">
        <f t="shared" si="124"/>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f t="shared" si="125"/>
        <v>0</v>
      </c>
      <c r="AT590">
        <f t="shared" si="126"/>
        <v>0</v>
      </c>
      <c r="AU590" s="3" t="s">
        <v>118</v>
      </c>
      <c r="AV590">
        <f t="shared" si="127"/>
        <v>0</v>
      </c>
      <c r="AW590">
        <f t="shared" si="128"/>
        <v>1</v>
      </c>
      <c r="AX590">
        <f t="shared" si="129"/>
        <v>0</v>
      </c>
      <c r="AY590">
        <v>1</v>
      </c>
      <c r="AZ590" t="s">
        <v>60</v>
      </c>
      <c r="BA590" t="s">
        <v>61</v>
      </c>
      <c r="BB590" t="s">
        <v>8</v>
      </c>
    </row>
    <row r="591" ht="409.5" spans="1:54">
      <c r="A591" t="s">
        <v>2074</v>
      </c>
      <c r="B591" t="s">
        <v>1041</v>
      </c>
      <c r="C591" t="s">
        <v>116</v>
      </c>
      <c r="D591">
        <v>6</v>
      </c>
      <c r="E591">
        <v>0</v>
      </c>
      <c r="F591">
        <v>110.1</v>
      </c>
      <c r="G591" t="s">
        <v>2075</v>
      </c>
      <c r="H591" s="3" t="s">
        <v>2076</v>
      </c>
      <c r="I591" s="3" t="s">
        <v>2077</v>
      </c>
      <c r="J591">
        <f t="shared" si="117"/>
        <v>0</v>
      </c>
      <c r="K591">
        <f t="shared" si="118"/>
        <v>1</v>
      </c>
      <c r="L591">
        <f t="shared" si="119"/>
        <v>1</v>
      </c>
      <c r="M591">
        <f t="shared" si="120"/>
        <v>0</v>
      </c>
      <c r="N591">
        <f t="shared" si="121"/>
        <v>1</v>
      </c>
      <c r="O591">
        <f t="shared" si="122"/>
        <v>0</v>
      </c>
      <c r="P591">
        <f t="shared" si="123"/>
        <v>1</v>
      </c>
      <c r="Q591">
        <f t="shared" si="124"/>
        <v>0</v>
      </c>
      <c r="R591">
        <v>0</v>
      </c>
      <c r="S591">
        <v>0</v>
      </c>
      <c r="T591">
        <v>0</v>
      </c>
      <c r="U591">
        <v>1</v>
      </c>
      <c r="V591">
        <v>1</v>
      </c>
      <c r="W591">
        <v>0</v>
      </c>
      <c r="X591">
        <v>0</v>
      </c>
      <c r="Y591">
        <v>1</v>
      </c>
      <c r="Z591">
        <v>0</v>
      </c>
      <c r="AA591">
        <v>1</v>
      </c>
      <c r="AB591">
        <v>1</v>
      </c>
      <c r="AC591">
        <v>0</v>
      </c>
      <c r="AD591">
        <v>0</v>
      </c>
      <c r="AE591">
        <v>0</v>
      </c>
      <c r="AF591">
        <v>0</v>
      </c>
      <c r="AG591">
        <v>0</v>
      </c>
      <c r="AH591">
        <v>1</v>
      </c>
      <c r="AI591">
        <v>0</v>
      </c>
      <c r="AJ591">
        <v>0</v>
      </c>
      <c r="AK591">
        <v>0</v>
      </c>
      <c r="AL591">
        <v>0</v>
      </c>
      <c r="AM591">
        <v>0</v>
      </c>
      <c r="AN591">
        <v>0</v>
      </c>
      <c r="AO591">
        <v>0</v>
      </c>
      <c r="AP591">
        <v>1</v>
      </c>
      <c r="AQ591">
        <v>0</v>
      </c>
      <c r="AR591">
        <v>0</v>
      </c>
      <c r="AS591">
        <f t="shared" si="125"/>
        <v>4</v>
      </c>
      <c r="AT591">
        <f t="shared" si="126"/>
        <v>7</v>
      </c>
      <c r="AU591" s="3" t="s">
        <v>2078</v>
      </c>
      <c r="AV591">
        <f t="shared" si="127"/>
        <v>1</v>
      </c>
      <c r="AW591">
        <f t="shared" si="128"/>
        <v>0</v>
      </c>
      <c r="AX591">
        <f t="shared" si="129"/>
        <v>0</v>
      </c>
      <c r="AY591">
        <v>-0.5</v>
      </c>
      <c r="AZ591" t="s">
        <v>133</v>
      </c>
      <c r="BA591" t="s">
        <v>134</v>
      </c>
      <c r="BB591" t="s">
        <v>8</v>
      </c>
    </row>
    <row r="592" ht="409.5" spans="1:54">
      <c r="A592" t="s">
        <v>2079</v>
      </c>
      <c r="B592" t="s">
        <v>1041</v>
      </c>
      <c r="C592" t="s">
        <v>116</v>
      </c>
      <c r="D592">
        <v>12</v>
      </c>
      <c r="E592">
        <v>2</v>
      </c>
      <c r="F592">
        <v>50.8</v>
      </c>
      <c r="G592" t="s">
        <v>2080</v>
      </c>
      <c r="H592" s="3" t="s">
        <v>2081</v>
      </c>
      <c r="I592" s="3" t="s">
        <v>2082</v>
      </c>
      <c r="J592">
        <f t="shared" si="117"/>
        <v>0</v>
      </c>
      <c r="K592">
        <f t="shared" si="118"/>
        <v>1</v>
      </c>
      <c r="L592">
        <f t="shared" si="119"/>
        <v>1</v>
      </c>
      <c r="M592">
        <f t="shared" si="120"/>
        <v>0</v>
      </c>
      <c r="N592">
        <f t="shared" si="121"/>
        <v>1</v>
      </c>
      <c r="O592">
        <f t="shared" si="122"/>
        <v>0</v>
      </c>
      <c r="P592">
        <f t="shared" si="123"/>
        <v>0</v>
      </c>
      <c r="Q592">
        <f t="shared" si="124"/>
        <v>0</v>
      </c>
      <c r="R592">
        <v>0</v>
      </c>
      <c r="S592">
        <v>0</v>
      </c>
      <c r="T592">
        <v>0</v>
      </c>
      <c r="U592">
        <v>1</v>
      </c>
      <c r="V592">
        <v>1</v>
      </c>
      <c r="W592">
        <v>0</v>
      </c>
      <c r="X592">
        <v>0</v>
      </c>
      <c r="Y592">
        <v>0</v>
      </c>
      <c r="Z592">
        <v>0</v>
      </c>
      <c r="AA592">
        <v>1</v>
      </c>
      <c r="AB592">
        <v>0</v>
      </c>
      <c r="AC592">
        <v>0</v>
      </c>
      <c r="AD592">
        <v>0</v>
      </c>
      <c r="AE592">
        <v>0</v>
      </c>
      <c r="AF592">
        <v>0</v>
      </c>
      <c r="AG592">
        <v>0</v>
      </c>
      <c r="AH592">
        <v>1</v>
      </c>
      <c r="AI592">
        <v>0</v>
      </c>
      <c r="AJ592">
        <v>0</v>
      </c>
      <c r="AK592">
        <v>0</v>
      </c>
      <c r="AL592">
        <v>0</v>
      </c>
      <c r="AM592">
        <v>0</v>
      </c>
      <c r="AN592">
        <v>0</v>
      </c>
      <c r="AO592">
        <v>0</v>
      </c>
      <c r="AP592">
        <v>0</v>
      </c>
      <c r="AQ592">
        <v>0</v>
      </c>
      <c r="AR592">
        <v>0</v>
      </c>
      <c r="AS592">
        <f t="shared" si="125"/>
        <v>3</v>
      </c>
      <c r="AT592">
        <f t="shared" si="126"/>
        <v>4</v>
      </c>
      <c r="AU592" s="3" t="s">
        <v>2083</v>
      </c>
      <c r="AV592">
        <f t="shared" si="127"/>
        <v>1</v>
      </c>
      <c r="AW592">
        <f t="shared" si="128"/>
        <v>0</v>
      </c>
      <c r="AX592">
        <f t="shared" si="129"/>
        <v>0</v>
      </c>
      <c r="AY592">
        <v>-2</v>
      </c>
      <c r="AZ592" t="s">
        <v>133</v>
      </c>
      <c r="BA592" t="s">
        <v>134</v>
      </c>
      <c r="BB592" t="s">
        <v>8</v>
      </c>
    </row>
    <row r="593" ht="17" spans="1:54">
      <c r="A593" t="s">
        <v>2084</v>
      </c>
      <c r="B593" t="s">
        <v>1041</v>
      </c>
      <c r="C593" t="s">
        <v>116</v>
      </c>
      <c r="D593">
        <v>0</v>
      </c>
      <c r="E593">
        <v>2</v>
      </c>
      <c r="F593">
        <v>40</v>
      </c>
      <c r="G593" t="s">
        <v>2085</v>
      </c>
      <c r="H593" s="3" t="s">
        <v>2086</v>
      </c>
      <c r="I593" s="3" t="s">
        <v>2087</v>
      </c>
      <c r="J593">
        <f t="shared" si="117"/>
        <v>0</v>
      </c>
      <c r="K593">
        <f t="shared" si="118"/>
        <v>0</v>
      </c>
      <c r="L593">
        <f t="shared" si="119"/>
        <v>0</v>
      </c>
      <c r="M593">
        <f t="shared" si="120"/>
        <v>0</v>
      </c>
      <c r="N593">
        <f t="shared" si="121"/>
        <v>0</v>
      </c>
      <c r="O593">
        <f t="shared" si="122"/>
        <v>0</v>
      </c>
      <c r="P593">
        <f t="shared" si="123"/>
        <v>0</v>
      </c>
      <c r="Q593">
        <f t="shared" si="124"/>
        <v>0</v>
      </c>
      <c r="R593">
        <v>0</v>
      </c>
      <c r="S593">
        <v>0</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f t="shared" si="125"/>
        <v>0</v>
      </c>
      <c r="AT593">
        <f t="shared" si="126"/>
        <v>0</v>
      </c>
      <c r="AU593" s="3" t="s">
        <v>118</v>
      </c>
      <c r="AV593">
        <f t="shared" si="127"/>
        <v>0</v>
      </c>
      <c r="AW593">
        <f t="shared" si="128"/>
        <v>1</v>
      </c>
      <c r="AX593">
        <f t="shared" si="129"/>
        <v>0</v>
      </c>
      <c r="AY593">
        <v>-1</v>
      </c>
      <c r="AZ593" t="s">
        <v>133</v>
      </c>
      <c r="BA593" t="s">
        <v>134</v>
      </c>
      <c r="BB593" t="s">
        <v>8</v>
      </c>
    </row>
    <row r="594" ht="219" spans="1:54">
      <c r="A594" t="s">
        <v>2088</v>
      </c>
      <c r="B594" t="s">
        <v>1041</v>
      </c>
      <c r="C594" t="s">
        <v>56</v>
      </c>
      <c r="D594">
        <v>30</v>
      </c>
      <c r="E594">
        <v>2</v>
      </c>
      <c r="F594">
        <v>43.6</v>
      </c>
      <c r="G594" t="s">
        <v>2089</v>
      </c>
      <c r="H594" s="3" t="s">
        <v>2090</v>
      </c>
      <c r="I594" s="3" t="s">
        <v>2091</v>
      </c>
      <c r="J594">
        <f t="shared" si="117"/>
        <v>0</v>
      </c>
      <c r="K594">
        <f t="shared" si="118"/>
        <v>1</v>
      </c>
      <c r="L594">
        <f t="shared" si="119"/>
        <v>0</v>
      </c>
      <c r="M594">
        <f t="shared" si="120"/>
        <v>0</v>
      </c>
      <c r="N594">
        <f t="shared" si="121"/>
        <v>0</v>
      </c>
      <c r="O594">
        <f t="shared" si="122"/>
        <v>0</v>
      </c>
      <c r="P594">
        <f t="shared" si="123"/>
        <v>0</v>
      </c>
      <c r="Q594">
        <f t="shared" si="124"/>
        <v>0</v>
      </c>
      <c r="R594">
        <v>0</v>
      </c>
      <c r="S594">
        <v>0</v>
      </c>
      <c r="T594">
        <v>0</v>
      </c>
      <c r="U594">
        <v>0</v>
      </c>
      <c r="V594">
        <v>1</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f t="shared" si="125"/>
        <v>1</v>
      </c>
      <c r="AT594">
        <f t="shared" si="126"/>
        <v>1</v>
      </c>
      <c r="AU594" s="3" t="s">
        <v>845</v>
      </c>
      <c r="AV594">
        <f t="shared" si="127"/>
        <v>1</v>
      </c>
      <c r="AW594">
        <f t="shared" si="128"/>
        <v>0</v>
      </c>
      <c r="AX594">
        <f t="shared" si="129"/>
        <v>0</v>
      </c>
      <c r="AY594">
        <v>0</v>
      </c>
      <c r="AZ594" t="s">
        <v>147</v>
      </c>
      <c r="BA594" t="s">
        <v>148</v>
      </c>
      <c r="BB594" t="s">
        <v>8</v>
      </c>
    </row>
    <row r="595" ht="168" spans="1:54">
      <c r="A595" t="s">
        <v>2092</v>
      </c>
      <c r="B595" t="s">
        <v>1041</v>
      </c>
      <c r="C595" t="s">
        <v>116</v>
      </c>
      <c r="D595">
        <v>6</v>
      </c>
      <c r="E595">
        <v>1</v>
      </c>
      <c r="F595">
        <v>43.8</v>
      </c>
      <c r="G595" t="s">
        <v>2093</v>
      </c>
      <c r="H595" s="3" t="s">
        <v>2094</v>
      </c>
      <c r="I595" s="3" t="s">
        <v>2095</v>
      </c>
      <c r="J595">
        <f t="shared" si="117"/>
        <v>0</v>
      </c>
      <c r="K595">
        <f t="shared" si="118"/>
        <v>1</v>
      </c>
      <c r="L595">
        <f t="shared" si="119"/>
        <v>1</v>
      </c>
      <c r="M595">
        <f t="shared" si="120"/>
        <v>0</v>
      </c>
      <c r="N595">
        <f t="shared" si="121"/>
        <v>1</v>
      </c>
      <c r="O595">
        <f t="shared" si="122"/>
        <v>0</v>
      </c>
      <c r="P595">
        <f t="shared" si="123"/>
        <v>0</v>
      </c>
      <c r="Q595">
        <f t="shared" si="124"/>
        <v>0</v>
      </c>
      <c r="R595">
        <v>0</v>
      </c>
      <c r="S595">
        <v>0</v>
      </c>
      <c r="T595">
        <v>0</v>
      </c>
      <c r="U595">
        <v>0</v>
      </c>
      <c r="V595">
        <v>1</v>
      </c>
      <c r="W595">
        <v>0</v>
      </c>
      <c r="X595">
        <v>0</v>
      </c>
      <c r="Y595">
        <v>0</v>
      </c>
      <c r="Z595">
        <v>0</v>
      </c>
      <c r="AA595">
        <v>0</v>
      </c>
      <c r="AB595">
        <v>1</v>
      </c>
      <c r="AC595">
        <v>0</v>
      </c>
      <c r="AD595">
        <v>0</v>
      </c>
      <c r="AE595">
        <v>0</v>
      </c>
      <c r="AF595">
        <v>0</v>
      </c>
      <c r="AG595">
        <v>0</v>
      </c>
      <c r="AH595">
        <v>1</v>
      </c>
      <c r="AI595">
        <v>0</v>
      </c>
      <c r="AJ595">
        <v>0</v>
      </c>
      <c r="AK595">
        <v>0</v>
      </c>
      <c r="AL595">
        <v>0</v>
      </c>
      <c r="AM595">
        <v>0</v>
      </c>
      <c r="AN595">
        <v>0</v>
      </c>
      <c r="AO595">
        <v>0</v>
      </c>
      <c r="AP595">
        <v>0</v>
      </c>
      <c r="AQ595">
        <v>0</v>
      </c>
      <c r="AR595">
        <v>0</v>
      </c>
      <c r="AS595">
        <f t="shared" si="125"/>
        <v>3</v>
      </c>
      <c r="AT595">
        <f t="shared" si="126"/>
        <v>3</v>
      </c>
      <c r="AU595" s="3" t="s">
        <v>2096</v>
      </c>
      <c r="AV595">
        <f t="shared" si="127"/>
        <v>1</v>
      </c>
      <c r="AW595">
        <f t="shared" si="128"/>
        <v>0</v>
      </c>
      <c r="AX595">
        <f t="shared" si="129"/>
        <v>0</v>
      </c>
      <c r="AY595">
        <v>9</v>
      </c>
      <c r="AZ595" t="s">
        <v>60</v>
      </c>
      <c r="BA595" t="s">
        <v>61</v>
      </c>
      <c r="BB595" t="s">
        <v>8</v>
      </c>
    </row>
    <row r="596" ht="17" spans="1:54">
      <c r="A596" t="s">
        <v>2097</v>
      </c>
      <c r="B596" t="s">
        <v>1041</v>
      </c>
      <c r="C596" t="s">
        <v>56</v>
      </c>
      <c r="D596">
        <v>0</v>
      </c>
      <c r="E596">
        <v>0</v>
      </c>
      <c r="F596">
        <v>19.3</v>
      </c>
      <c r="G596" t="s">
        <v>294</v>
      </c>
      <c r="H596" s="3" t="s">
        <v>2098</v>
      </c>
      <c r="I596" s="3" t="s">
        <v>2099</v>
      </c>
      <c r="J596">
        <f t="shared" si="117"/>
        <v>0</v>
      </c>
      <c r="K596">
        <f t="shared" si="118"/>
        <v>0</v>
      </c>
      <c r="L596">
        <f t="shared" si="119"/>
        <v>0</v>
      </c>
      <c r="M596">
        <f t="shared" si="120"/>
        <v>0</v>
      </c>
      <c r="N596">
        <f t="shared" si="121"/>
        <v>0</v>
      </c>
      <c r="O596">
        <f t="shared" si="122"/>
        <v>0</v>
      </c>
      <c r="P596">
        <f t="shared" si="123"/>
        <v>0</v>
      </c>
      <c r="Q596">
        <f t="shared" si="124"/>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f t="shared" si="125"/>
        <v>0</v>
      </c>
      <c r="AT596">
        <f t="shared" si="126"/>
        <v>0</v>
      </c>
      <c r="AU596" s="3" t="s">
        <v>118</v>
      </c>
      <c r="AV596">
        <f t="shared" si="127"/>
        <v>0</v>
      </c>
      <c r="AW596">
        <f t="shared" si="128"/>
        <v>1</v>
      </c>
      <c r="AX596">
        <f t="shared" si="129"/>
        <v>0</v>
      </c>
      <c r="AY596">
        <v>1.5</v>
      </c>
      <c r="AZ596" t="s">
        <v>60</v>
      </c>
      <c r="BA596" t="s">
        <v>61</v>
      </c>
      <c r="BB596" t="s">
        <v>8</v>
      </c>
    </row>
    <row r="597" ht="236" spans="1:54">
      <c r="A597" t="s">
        <v>2100</v>
      </c>
      <c r="B597" t="s">
        <v>1041</v>
      </c>
      <c r="C597" t="s">
        <v>116</v>
      </c>
      <c r="D597">
        <v>7</v>
      </c>
      <c r="E597">
        <v>0</v>
      </c>
      <c r="F597">
        <v>16.5</v>
      </c>
      <c r="G597" t="s">
        <v>2101</v>
      </c>
      <c r="H597" s="3" t="s">
        <v>2102</v>
      </c>
      <c r="I597" s="3" t="s">
        <v>2103</v>
      </c>
      <c r="J597">
        <f t="shared" si="117"/>
        <v>0</v>
      </c>
      <c r="K597">
        <f t="shared" si="118"/>
        <v>1</v>
      </c>
      <c r="L597">
        <f t="shared" si="119"/>
        <v>0</v>
      </c>
      <c r="M597">
        <f t="shared" si="120"/>
        <v>0</v>
      </c>
      <c r="N597">
        <f t="shared" si="121"/>
        <v>0</v>
      </c>
      <c r="O597">
        <f t="shared" si="122"/>
        <v>0</v>
      </c>
      <c r="P597">
        <f t="shared" si="123"/>
        <v>0</v>
      </c>
      <c r="Q597">
        <f t="shared" si="124"/>
        <v>0</v>
      </c>
      <c r="R597">
        <v>0</v>
      </c>
      <c r="S597">
        <v>0</v>
      </c>
      <c r="T597">
        <v>0</v>
      </c>
      <c r="U597">
        <v>0</v>
      </c>
      <c r="V597">
        <v>1</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f t="shared" si="125"/>
        <v>1</v>
      </c>
      <c r="AT597">
        <f t="shared" si="126"/>
        <v>1</v>
      </c>
      <c r="AU597" s="3" t="s">
        <v>845</v>
      </c>
      <c r="AV597">
        <f t="shared" si="127"/>
        <v>1</v>
      </c>
      <c r="AW597">
        <f t="shared" si="128"/>
        <v>0</v>
      </c>
      <c r="AX597">
        <f t="shared" si="129"/>
        <v>0</v>
      </c>
      <c r="AY597">
        <v>0</v>
      </c>
      <c r="AZ597" t="s">
        <v>147</v>
      </c>
      <c r="BA597" t="s">
        <v>148</v>
      </c>
      <c r="BB597" t="s">
        <v>8</v>
      </c>
    </row>
    <row r="598" ht="202" spans="1:54">
      <c r="A598" t="s">
        <v>2104</v>
      </c>
      <c r="B598" t="s">
        <v>1041</v>
      </c>
      <c r="C598" t="s">
        <v>116</v>
      </c>
      <c r="D598">
        <v>9</v>
      </c>
      <c r="E598">
        <v>0</v>
      </c>
      <c r="F598">
        <v>70.7</v>
      </c>
      <c r="G598" t="s">
        <v>2105</v>
      </c>
      <c r="H598" s="3" t="s">
        <v>2106</v>
      </c>
      <c r="I598" s="3" t="s">
        <v>2107</v>
      </c>
      <c r="J598">
        <f t="shared" si="117"/>
        <v>0</v>
      </c>
      <c r="K598">
        <f t="shared" si="118"/>
        <v>0</v>
      </c>
      <c r="L598">
        <f t="shared" si="119"/>
        <v>0</v>
      </c>
      <c r="M598">
        <f t="shared" si="120"/>
        <v>0</v>
      </c>
      <c r="N598">
        <f t="shared" si="121"/>
        <v>1</v>
      </c>
      <c r="O598">
        <f t="shared" si="122"/>
        <v>0</v>
      </c>
      <c r="P598">
        <f t="shared" si="123"/>
        <v>0</v>
      </c>
      <c r="Q598">
        <f t="shared" si="124"/>
        <v>0</v>
      </c>
      <c r="R598">
        <v>0</v>
      </c>
      <c r="S598">
        <v>0</v>
      </c>
      <c r="T598">
        <v>0</v>
      </c>
      <c r="U598">
        <v>0</v>
      </c>
      <c r="V598">
        <v>0</v>
      </c>
      <c r="W598">
        <v>0</v>
      </c>
      <c r="X598">
        <v>0</v>
      </c>
      <c r="Y598">
        <v>0</v>
      </c>
      <c r="Z598">
        <v>0</v>
      </c>
      <c r="AA598">
        <v>0</v>
      </c>
      <c r="AB598">
        <v>0</v>
      </c>
      <c r="AC598">
        <v>0</v>
      </c>
      <c r="AD598">
        <v>0</v>
      </c>
      <c r="AE598">
        <v>0</v>
      </c>
      <c r="AF598">
        <v>0</v>
      </c>
      <c r="AG598">
        <v>0</v>
      </c>
      <c r="AH598">
        <v>1</v>
      </c>
      <c r="AI598">
        <v>0</v>
      </c>
      <c r="AJ598">
        <v>0</v>
      </c>
      <c r="AK598">
        <v>0</v>
      </c>
      <c r="AL598">
        <v>0</v>
      </c>
      <c r="AM598">
        <v>0</v>
      </c>
      <c r="AN598">
        <v>0</v>
      </c>
      <c r="AO598">
        <v>0</v>
      </c>
      <c r="AP598">
        <v>0</v>
      </c>
      <c r="AQ598">
        <v>0</v>
      </c>
      <c r="AR598">
        <v>0</v>
      </c>
      <c r="AS598">
        <f t="shared" si="125"/>
        <v>1</v>
      </c>
      <c r="AT598">
        <f t="shared" si="126"/>
        <v>1</v>
      </c>
      <c r="AU598" s="3" t="s">
        <v>129</v>
      </c>
      <c r="AV598">
        <f t="shared" si="127"/>
        <v>1</v>
      </c>
      <c r="AW598">
        <f t="shared" si="128"/>
        <v>0</v>
      </c>
      <c r="AX598">
        <f t="shared" si="129"/>
        <v>0</v>
      </c>
      <c r="AY598">
        <v>0</v>
      </c>
      <c r="AZ598" t="s">
        <v>147</v>
      </c>
      <c r="BA598" t="s">
        <v>148</v>
      </c>
      <c r="BB598" t="s">
        <v>8</v>
      </c>
    </row>
    <row r="599" ht="34" spans="1:54">
      <c r="A599" t="s">
        <v>2108</v>
      </c>
      <c r="B599" t="s">
        <v>1041</v>
      </c>
      <c r="C599" t="s">
        <v>56</v>
      </c>
      <c r="D599">
        <v>0</v>
      </c>
      <c r="E599">
        <v>0</v>
      </c>
      <c r="F599">
        <v>43.6</v>
      </c>
      <c r="G599" t="s">
        <v>1000</v>
      </c>
      <c r="H599" s="3" t="s">
        <v>2109</v>
      </c>
      <c r="I599" s="3" t="s">
        <v>2110</v>
      </c>
      <c r="J599">
        <f t="shared" si="117"/>
        <v>0</v>
      </c>
      <c r="K599">
        <f t="shared" si="118"/>
        <v>0</v>
      </c>
      <c r="L599">
        <f t="shared" si="119"/>
        <v>0</v>
      </c>
      <c r="M599">
        <f t="shared" si="120"/>
        <v>0</v>
      </c>
      <c r="N599">
        <f t="shared" si="121"/>
        <v>1</v>
      </c>
      <c r="O599">
        <f t="shared" si="122"/>
        <v>1</v>
      </c>
      <c r="P599">
        <f t="shared" si="123"/>
        <v>0</v>
      </c>
      <c r="Q599">
        <f t="shared" si="124"/>
        <v>0</v>
      </c>
      <c r="R599">
        <v>0</v>
      </c>
      <c r="S599">
        <v>0</v>
      </c>
      <c r="T599">
        <v>0</v>
      </c>
      <c r="U599">
        <v>0</v>
      </c>
      <c r="V599">
        <v>0</v>
      </c>
      <c r="W599">
        <v>0</v>
      </c>
      <c r="X599">
        <v>0</v>
      </c>
      <c r="Y599">
        <v>0</v>
      </c>
      <c r="Z599">
        <v>0</v>
      </c>
      <c r="AA599">
        <v>0</v>
      </c>
      <c r="AB599">
        <v>0</v>
      </c>
      <c r="AC599">
        <v>0</v>
      </c>
      <c r="AD599">
        <v>0</v>
      </c>
      <c r="AE599">
        <v>0</v>
      </c>
      <c r="AF599">
        <v>0</v>
      </c>
      <c r="AG599">
        <v>0</v>
      </c>
      <c r="AH599">
        <v>1</v>
      </c>
      <c r="AI599">
        <v>1</v>
      </c>
      <c r="AJ599">
        <v>0</v>
      </c>
      <c r="AK599">
        <v>0</v>
      </c>
      <c r="AL599">
        <v>0</v>
      </c>
      <c r="AM599">
        <v>0</v>
      </c>
      <c r="AN599">
        <v>0</v>
      </c>
      <c r="AO599">
        <v>0</v>
      </c>
      <c r="AP599">
        <v>0</v>
      </c>
      <c r="AQ599">
        <v>0</v>
      </c>
      <c r="AR599">
        <v>0</v>
      </c>
      <c r="AS599">
        <f t="shared" si="125"/>
        <v>2</v>
      </c>
      <c r="AT599">
        <f t="shared" si="126"/>
        <v>2</v>
      </c>
      <c r="AU599" s="3" t="s">
        <v>103</v>
      </c>
      <c r="AV599">
        <f t="shared" si="127"/>
        <v>1</v>
      </c>
      <c r="AW599">
        <f t="shared" si="128"/>
        <v>0</v>
      </c>
      <c r="AX599">
        <f t="shared" si="129"/>
        <v>0</v>
      </c>
      <c r="AY599">
        <v>-1</v>
      </c>
      <c r="AZ599" t="s">
        <v>133</v>
      </c>
      <c r="BA599" t="s">
        <v>134</v>
      </c>
      <c r="BB599" t="s">
        <v>8</v>
      </c>
    </row>
    <row r="600" ht="219" spans="1:54">
      <c r="A600" t="s">
        <v>2111</v>
      </c>
      <c r="B600" t="s">
        <v>1041</v>
      </c>
      <c r="C600" t="s">
        <v>56</v>
      </c>
      <c r="D600">
        <v>3</v>
      </c>
      <c r="E600">
        <v>0</v>
      </c>
      <c r="F600">
        <v>48.8</v>
      </c>
      <c r="G600" t="s">
        <v>1000</v>
      </c>
      <c r="H600" s="3" t="s">
        <v>2112</v>
      </c>
      <c r="I600" s="3" t="s">
        <v>2113</v>
      </c>
      <c r="J600">
        <f t="shared" si="117"/>
        <v>1</v>
      </c>
      <c r="K600">
        <f t="shared" si="118"/>
        <v>1</v>
      </c>
      <c r="L600">
        <f t="shared" si="119"/>
        <v>0</v>
      </c>
      <c r="M600">
        <f t="shared" si="120"/>
        <v>0</v>
      </c>
      <c r="N600">
        <f t="shared" si="121"/>
        <v>1</v>
      </c>
      <c r="O600">
        <f t="shared" si="122"/>
        <v>0</v>
      </c>
      <c r="P600">
        <f t="shared" si="123"/>
        <v>0</v>
      </c>
      <c r="Q600">
        <f t="shared" si="124"/>
        <v>0</v>
      </c>
      <c r="R600">
        <v>1</v>
      </c>
      <c r="S600">
        <v>0</v>
      </c>
      <c r="T600">
        <v>0</v>
      </c>
      <c r="U600">
        <v>0</v>
      </c>
      <c r="V600">
        <v>0</v>
      </c>
      <c r="W600">
        <v>1</v>
      </c>
      <c r="X600">
        <v>0</v>
      </c>
      <c r="Y600">
        <v>0</v>
      </c>
      <c r="Z600">
        <v>0</v>
      </c>
      <c r="AA600">
        <v>0</v>
      </c>
      <c r="AB600">
        <v>0</v>
      </c>
      <c r="AC600">
        <v>0</v>
      </c>
      <c r="AD600">
        <v>0</v>
      </c>
      <c r="AE600">
        <v>0</v>
      </c>
      <c r="AF600">
        <v>0</v>
      </c>
      <c r="AG600">
        <v>0</v>
      </c>
      <c r="AH600">
        <v>1</v>
      </c>
      <c r="AI600">
        <v>0</v>
      </c>
      <c r="AJ600">
        <v>0</v>
      </c>
      <c r="AK600">
        <v>0</v>
      </c>
      <c r="AL600">
        <v>0</v>
      </c>
      <c r="AM600">
        <v>0</v>
      </c>
      <c r="AN600">
        <v>0</v>
      </c>
      <c r="AO600">
        <v>0</v>
      </c>
      <c r="AP600">
        <v>0</v>
      </c>
      <c r="AQ600">
        <v>0</v>
      </c>
      <c r="AR600">
        <v>0</v>
      </c>
      <c r="AS600">
        <f t="shared" si="125"/>
        <v>3</v>
      </c>
      <c r="AT600">
        <f t="shared" si="126"/>
        <v>3</v>
      </c>
      <c r="AU600" s="3" t="s">
        <v>1165</v>
      </c>
      <c r="AV600">
        <f t="shared" si="127"/>
        <v>1</v>
      </c>
      <c r="AW600">
        <f t="shared" si="128"/>
        <v>0</v>
      </c>
      <c r="AX600">
        <f t="shared" si="129"/>
        <v>0</v>
      </c>
      <c r="AY600">
        <v>4.5</v>
      </c>
      <c r="AZ600" t="s">
        <v>60</v>
      </c>
      <c r="BA600" t="s">
        <v>61</v>
      </c>
      <c r="BB600" t="s">
        <v>8</v>
      </c>
    </row>
    <row r="601" ht="17" spans="1:54">
      <c r="A601" t="s">
        <v>2114</v>
      </c>
      <c r="B601" t="s">
        <v>1041</v>
      </c>
      <c r="C601" t="s">
        <v>56</v>
      </c>
      <c r="D601">
        <v>0</v>
      </c>
      <c r="E601">
        <v>1</v>
      </c>
      <c r="F601">
        <v>41.9</v>
      </c>
      <c r="G601" t="s">
        <v>1034</v>
      </c>
      <c r="H601" s="3" t="s">
        <v>2115</v>
      </c>
      <c r="I601" s="3" t="s">
        <v>2116</v>
      </c>
      <c r="J601">
        <f t="shared" si="117"/>
        <v>0</v>
      </c>
      <c r="K601">
        <f t="shared" si="118"/>
        <v>1</v>
      </c>
      <c r="L601">
        <f t="shared" si="119"/>
        <v>0</v>
      </c>
      <c r="M601">
        <f t="shared" si="120"/>
        <v>0</v>
      </c>
      <c r="N601">
        <f t="shared" si="121"/>
        <v>1</v>
      </c>
      <c r="O601">
        <f t="shared" si="122"/>
        <v>0</v>
      </c>
      <c r="P601">
        <f t="shared" si="123"/>
        <v>0</v>
      </c>
      <c r="Q601">
        <f t="shared" si="124"/>
        <v>0</v>
      </c>
      <c r="R601">
        <v>0</v>
      </c>
      <c r="S601">
        <v>0</v>
      </c>
      <c r="T601">
        <v>0</v>
      </c>
      <c r="U601">
        <v>0</v>
      </c>
      <c r="V601">
        <v>1</v>
      </c>
      <c r="W601">
        <v>0</v>
      </c>
      <c r="X601">
        <v>0</v>
      </c>
      <c r="Y601">
        <v>0</v>
      </c>
      <c r="Z601">
        <v>0</v>
      </c>
      <c r="AA601">
        <v>0</v>
      </c>
      <c r="AB601">
        <v>0</v>
      </c>
      <c r="AC601">
        <v>0</v>
      </c>
      <c r="AD601">
        <v>0</v>
      </c>
      <c r="AE601">
        <v>0</v>
      </c>
      <c r="AF601">
        <v>0</v>
      </c>
      <c r="AG601">
        <v>0</v>
      </c>
      <c r="AH601">
        <v>1</v>
      </c>
      <c r="AI601">
        <v>0</v>
      </c>
      <c r="AJ601">
        <v>0</v>
      </c>
      <c r="AK601">
        <v>0</v>
      </c>
      <c r="AL601">
        <v>0</v>
      </c>
      <c r="AM601">
        <v>0</v>
      </c>
      <c r="AN601">
        <v>0</v>
      </c>
      <c r="AO601">
        <v>0</v>
      </c>
      <c r="AP601">
        <v>0</v>
      </c>
      <c r="AQ601">
        <v>0</v>
      </c>
      <c r="AR601">
        <v>0</v>
      </c>
      <c r="AS601">
        <f t="shared" si="125"/>
        <v>2</v>
      </c>
      <c r="AT601">
        <f t="shared" si="126"/>
        <v>2</v>
      </c>
      <c r="AU601" s="3" t="s">
        <v>1124</v>
      </c>
      <c r="AV601">
        <f t="shared" si="127"/>
        <v>1</v>
      </c>
      <c r="AW601">
        <f t="shared" si="128"/>
        <v>0</v>
      </c>
      <c r="AX601">
        <f t="shared" si="129"/>
        <v>0</v>
      </c>
      <c r="AY601">
        <v>2</v>
      </c>
      <c r="AZ601" t="s">
        <v>60</v>
      </c>
      <c r="BA601" t="s">
        <v>61</v>
      </c>
      <c r="BB601" t="s">
        <v>8</v>
      </c>
    </row>
    <row r="602" ht="34" spans="1:54">
      <c r="A602" t="s">
        <v>2117</v>
      </c>
      <c r="B602" t="s">
        <v>2118</v>
      </c>
      <c r="C602" t="s">
        <v>56</v>
      </c>
      <c r="D602">
        <v>256</v>
      </c>
      <c r="E602">
        <v>94</v>
      </c>
      <c r="F602">
        <v>2.5</v>
      </c>
      <c r="G602" t="s">
        <v>2119</v>
      </c>
      <c r="H602" s="3" t="s">
        <v>2120</v>
      </c>
      <c r="I602" s="3" t="s">
        <v>2121</v>
      </c>
      <c r="J602">
        <f t="shared" si="117"/>
        <v>0</v>
      </c>
      <c r="K602">
        <f t="shared" si="118"/>
        <v>0</v>
      </c>
      <c r="L602">
        <f t="shared" si="119"/>
        <v>0</v>
      </c>
      <c r="M602">
        <f t="shared" si="120"/>
        <v>0</v>
      </c>
      <c r="N602">
        <f t="shared" si="121"/>
        <v>0</v>
      </c>
      <c r="O602">
        <f t="shared" si="122"/>
        <v>0</v>
      </c>
      <c r="P602">
        <f t="shared" si="123"/>
        <v>0</v>
      </c>
      <c r="Q602">
        <f t="shared" si="124"/>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f t="shared" si="125"/>
        <v>0</v>
      </c>
      <c r="AT602">
        <f t="shared" si="126"/>
        <v>0</v>
      </c>
      <c r="AU602" s="3" t="s">
        <v>118</v>
      </c>
      <c r="AV602">
        <f t="shared" si="127"/>
        <v>0</v>
      </c>
      <c r="AW602">
        <f t="shared" si="128"/>
        <v>1</v>
      </c>
      <c r="AX602">
        <f t="shared" si="129"/>
        <v>0</v>
      </c>
      <c r="AY602">
        <v>8</v>
      </c>
      <c r="AZ602" t="s">
        <v>60</v>
      </c>
      <c r="BA602" t="s">
        <v>61</v>
      </c>
      <c r="BB602" t="s">
        <v>8</v>
      </c>
    </row>
    <row r="603" ht="34" spans="1:54">
      <c r="A603" t="s">
        <v>2122</v>
      </c>
      <c r="B603" t="s">
        <v>2118</v>
      </c>
      <c r="C603" t="s">
        <v>56</v>
      </c>
      <c r="D603">
        <v>9</v>
      </c>
      <c r="E603">
        <v>0</v>
      </c>
      <c r="F603">
        <v>50</v>
      </c>
      <c r="G603" t="s">
        <v>57</v>
      </c>
      <c r="H603" s="3" t="s">
        <v>2123</v>
      </c>
      <c r="I603" s="3" t="s">
        <v>2124</v>
      </c>
      <c r="J603">
        <f t="shared" si="117"/>
        <v>0</v>
      </c>
      <c r="K603">
        <f t="shared" si="118"/>
        <v>1</v>
      </c>
      <c r="L603">
        <f t="shared" si="119"/>
        <v>1</v>
      </c>
      <c r="M603">
        <f t="shared" si="120"/>
        <v>0</v>
      </c>
      <c r="N603">
        <f t="shared" si="121"/>
        <v>0</v>
      </c>
      <c r="O603">
        <f t="shared" si="122"/>
        <v>0</v>
      </c>
      <c r="P603">
        <f t="shared" si="123"/>
        <v>0</v>
      </c>
      <c r="Q603">
        <f t="shared" si="124"/>
        <v>0</v>
      </c>
      <c r="R603">
        <v>0</v>
      </c>
      <c r="S603">
        <v>0</v>
      </c>
      <c r="T603">
        <v>0</v>
      </c>
      <c r="U603">
        <v>0</v>
      </c>
      <c r="V603">
        <v>1</v>
      </c>
      <c r="W603">
        <v>0</v>
      </c>
      <c r="X603">
        <v>0</v>
      </c>
      <c r="Y603">
        <v>0</v>
      </c>
      <c r="Z603">
        <v>0</v>
      </c>
      <c r="AA603">
        <v>0</v>
      </c>
      <c r="AB603">
        <v>1</v>
      </c>
      <c r="AC603">
        <v>0</v>
      </c>
      <c r="AD603">
        <v>0</v>
      </c>
      <c r="AE603">
        <v>0</v>
      </c>
      <c r="AF603">
        <v>0</v>
      </c>
      <c r="AG603">
        <v>0</v>
      </c>
      <c r="AH603">
        <v>0</v>
      </c>
      <c r="AI603">
        <v>0</v>
      </c>
      <c r="AJ603">
        <v>0</v>
      </c>
      <c r="AK603">
        <v>0</v>
      </c>
      <c r="AL603">
        <v>0</v>
      </c>
      <c r="AM603">
        <v>0</v>
      </c>
      <c r="AN603">
        <v>0</v>
      </c>
      <c r="AO603">
        <v>0</v>
      </c>
      <c r="AP603">
        <v>0</v>
      </c>
      <c r="AQ603">
        <v>0</v>
      </c>
      <c r="AR603">
        <v>0</v>
      </c>
      <c r="AS603">
        <f t="shared" si="125"/>
        <v>2</v>
      </c>
      <c r="AT603">
        <f t="shared" si="126"/>
        <v>2</v>
      </c>
      <c r="AU603" s="3" t="s">
        <v>1833</v>
      </c>
      <c r="AV603">
        <f t="shared" si="127"/>
        <v>1</v>
      </c>
      <c r="AW603">
        <f t="shared" si="128"/>
        <v>0</v>
      </c>
      <c r="AX603">
        <f t="shared" si="129"/>
        <v>0</v>
      </c>
      <c r="AY603">
        <v>2</v>
      </c>
      <c r="AZ603" t="s">
        <v>60</v>
      </c>
      <c r="BA603" t="s">
        <v>61</v>
      </c>
      <c r="BB603" t="s">
        <v>8</v>
      </c>
    </row>
    <row r="604" ht="219" spans="1:54">
      <c r="A604" t="s">
        <v>2125</v>
      </c>
      <c r="B604" t="s">
        <v>2118</v>
      </c>
      <c r="C604" t="s">
        <v>56</v>
      </c>
      <c r="D604">
        <v>7</v>
      </c>
      <c r="E604">
        <v>0</v>
      </c>
      <c r="F604">
        <v>61.8</v>
      </c>
      <c r="G604" t="s">
        <v>57</v>
      </c>
      <c r="H604" s="3" t="s">
        <v>2126</v>
      </c>
      <c r="I604" s="3" t="s">
        <v>2127</v>
      </c>
      <c r="J604">
        <f t="shared" si="117"/>
        <v>1</v>
      </c>
      <c r="K604">
        <f t="shared" si="118"/>
        <v>1</v>
      </c>
      <c r="L604">
        <f t="shared" si="119"/>
        <v>1</v>
      </c>
      <c r="M604">
        <f t="shared" si="120"/>
        <v>0</v>
      </c>
      <c r="N604">
        <f t="shared" si="121"/>
        <v>0</v>
      </c>
      <c r="O604">
        <f t="shared" si="122"/>
        <v>0</v>
      </c>
      <c r="P604">
        <f t="shared" si="123"/>
        <v>0</v>
      </c>
      <c r="Q604">
        <f t="shared" si="124"/>
        <v>0</v>
      </c>
      <c r="R604">
        <v>1</v>
      </c>
      <c r="S604">
        <v>0</v>
      </c>
      <c r="T604">
        <v>1</v>
      </c>
      <c r="U604">
        <v>1</v>
      </c>
      <c r="V604">
        <v>1</v>
      </c>
      <c r="W604">
        <v>1</v>
      </c>
      <c r="X604">
        <v>0</v>
      </c>
      <c r="Y604">
        <v>0</v>
      </c>
      <c r="Z604">
        <v>0</v>
      </c>
      <c r="AA604">
        <v>0</v>
      </c>
      <c r="AB604">
        <v>0</v>
      </c>
      <c r="AC604">
        <v>1</v>
      </c>
      <c r="AD604">
        <v>0</v>
      </c>
      <c r="AE604">
        <v>0</v>
      </c>
      <c r="AF604">
        <v>0</v>
      </c>
      <c r="AG604">
        <v>0</v>
      </c>
      <c r="AH604">
        <v>0</v>
      </c>
      <c r="AI604">
        <v>0</v>
      </c>
      <c r="AJ604">
        <v>0</v>
      </c>
      <c r="AK604">
        <v>0</v>
      </c>
      <c r="AL604">
        <v>0</v>
      </c>
      <c r="AM604">
        <v>0</v>
      </c>
      <c r="AN604">
        <v>0</v>
      </c>
      <c r="AO604">
        <v>0</v>
      </c>
      <c r="AP604">
        <v>0</v>
      </c>
      <c r="AQ604">
        <v>0</v>
      </c>
      <c r="AR604">
        <v>0</v>
      </c>
      <c r="AS604">
        <f t="shared" si="125"/>
        <v>3</v>
      </c>
      <c r="AT604">
        <f t="shared" si="126"/>
        <v>6</v>
      </c>
      <c r="AU604" s="3" t="s">
        <v>2128</v>
      </c>
      <c r="AV604">
        <f t="shared" si="127"/>
        <v>1</v>
      </c>
      <c r="AW604">
        <f t="shared" si="128"/>
        <v>0</v>
      </c>
      <c r="AX604">
        <f t="shared" si="129"/>
        <v>0</v>
      </c>
      <c r="AY604">
        <v>4</v>
      </c>
      <c r="AZ604" t="s">
        <v>60</v>
      </c>
      <c r="BA604" t="s">
        <v>61</v>
      </c>
      <c r="BB604" t="s">
        <v>8</v>
      </c>
    </row>
    <row r="605" ht="34" spans="1:54">
      <c r="A605" t="s">
        <v>2129</v>
      </c>
      <c r="B605" t="s">
        <v>2118</v>
      </c>
      <c r="C605" t="s">
        <v>56</v>
      </c>
      <c r="D605">
        <v>0</v>
      </c>
      <c r="E605">
        <v>0</v>
      </c>
      <c r="F605">
        <v>6.6</v>
      </c>
      <c r="G605" t="s">
        <v>57</v>
      </c>
      <c r="H605" s="3" t="s">
        <v>2130</v>
      </c>
      <c r="I605" s="3" t="s">
        <v>2131</v>
      </c>
      <c r="J605">
        <f t="shared" si="117"/>
        <v>1</v>
      </c>
      <c r="K605">
        <f t="shared" si="118"/>
        <v>0</v>
      </c>
      <c r="L605">
        <f t="shared" si="119"/>
        <v>0</v>
      </c>
      <c r="M605">
        <f t="shared" si="120"/>
        <v>0</v>
      </c>
      <c r="N605">
        <f t="shared" si="121"/>
        <v>1</v>
      </c>
      <c r="O605">
        <f t="shared" si="122"/>
        <v>0</v>
      </c>
      <c r="P605">
        <f t="shared" si="123"/>
        <v>0</v>
      </c>
      <c r="Q605">
        <f t="shared" si="124"/>
        <v>0</v>
      </c>
      <c r="R605">
        <v>0</v>
      </c>
      <c r="S605">
        <v>0</v>
      </c>
      <c r="T605">
        <v>1</v>
      </c>
      <c r="U605">
        <v>0</v>
      </c>
      <c r="V605">
        <v>0</v>
      </c>
      <c r="W605">
        <v>0</v>
      </c>
      <c r="X605">
        <v>0</v>
      </c>
      <c r="Y605">
        <v>0</v>
      </c>
      <c r="Z605">
        <v>0</v>
      </c>
      <c r="AA605">
        <v>0</v>
      </c>
      <c r="AB605">
        <v>0</v>
      </c>
      <c r="AC605">
        <v>0</v>
      </c>
      <c r="AD605">
        <v>0</v>
      </c>
      <c r="AE605">
        <v>0</v>
      </c>
      <c r="AF605">
        <v>0</v>
      </c>
      <c r="AG605">
        <v>1</v>
      </c>
      <c r="AH605">
        <v>1</v>
      </c>
      <c r="AI605">
        <v>0</v>
      </c>
      <c r="AJ605">
        <v>0</v>
      </c>
      <c r="AK605">
        <v>0</v>
      </c>
      <c r="AL605">
        <v>0</v>
      </c>
      <c r="AM605">
        <v>0</v>
      </c>
      <c r="AN605">
        <v>0</v>
      </c>
      <c r="AO605">
        <v>0</v>
      </c>
      <c r="AP605">
        <v>0</v>
      </c>
      <c r="AQ605">
        <v>0</v>
      </c>
      <c r="AR605">
        <v>0</v>
      </c>
      <c r="AS605">
        <f t="shared" si="125"/>
        <v>2</v>
      </c>
      <c r="AT605">
        <f t="shared" si="126"/>
        <v>3</v>
      </c>
      <c r="AU605" s="3" t="s">
        <v>2132</v>
      </c>
      <c r="AV605">
        <f t="shared" si="127"/>
        <v>1</v>
      </c>
      <c r="AW605">
        <f t="shared" si="128"/>
        <v>0</v>
      </c>
      <c r="AX605">
        <f t="shared" si="129"/>
        <v>0</v>
      </c>
      <c r="AY605">
        <v>4</v>
      </c>
      <c r="AZ605" t="s">
        <v>60</v>
      </c>
      <c r="BA605" t="s">
        <v>61</v>
      </c>
      <c r="BB605" t="s">
        <v>8</v>
      </c>
    </row>
    <row r="606" ht="34" spans="1:54">
      <c r="A606" t="s">
        <v>2133</v>
      </c>
      <c r="B606" t="s">
        <v>2118</v>
      </c>
      <c r="C606" t="s">
        <v>56</v>
      </c>
      <c r="D606">
        <v>0</v>
      </c>
      <c r="E606">
        <v>0</v>
      </c>
      <c r="F606">
        <v>66.9</v>
      </c>
      <c r="G606" t="s">
        <v>57</v>
      </c>
      <c r="H606" s="3" t="s">
        <v>2134</v>
      </c>
      <c r="I606" s="3" t="s">
        <v>2135</v>
      </c>
      <c r="J606">
        <f t="shared" si="117"/>
        <v>1</v>
      </c>
      <c r="K606">
        <f t="shared" si="118"/>
        <v>1</v>
      </c>
      <c r="L606">
        <f t="shared" si="119"/>
        <v>0</v>
      </c>
      <c r="M606">
        <f t="shared" si="120"/>
        <v>0</v>
      </c>
      <c r="N606">
        <f t="shared" si="121"/>
        <v>0</v>
      </c>
      <c r="O606">
        <f t="shared" si="122"/>
        <v>1</v>
      </c>
      <c r="P606">
        <f t="shared" si="123"/>
        <v>0</v>
      </c>
      <c r="Q606">
        <f t="shared" si="124"/>
        <v>0</v>
      </c>
      <c r="R606">
        <v>1</v>
      </c>
      <c r="S606">
        <v>1</v>
      </c>
      <c r="T606">
        <v>1</v>
      </c>
      <c r="U606">
        <v>1</v>
      </c>
      <c r="V606">
        <v>1</v>
      </c>
      <c r="W606">
        <v>0</v>
      </c>
      <c r="X606">
        <v>0</v>
      </c>
      <c r="Y606">
        <v>0</v>
      </c>
      <c r="Z606">
        <v>0</v>
      </c>
      <c r="AA606">
        <v>0</v>
      </c>
      <c r="AB606">
        <v>0</v>
      </c>
      <c r="AC606">
        <v>0</v>
      </c>
      <c r="AD606">
        <v>0</v>
      </c>
      <c r="AE606">
        <v>0</v>
      </c>
      <c r="AF606">
        <v>0</v>
      </c>
      <c r="AG606">
        <v>0</v>
      </c>
      <c r="AH606">
        <v>0</v>
      </c>
      <c r="AI606">
        <v>0</v>
      </c>
      <c r="AJ606">
        <v>0</v>
      </c>
      <c r="AK606">
        <v>1</v>
      </c>
      <c r="AL606">
        <v>0</v>
      </c>
      <c r="AM606">
        <v>0</v>
      </c>
      <c r="AN606">
        <v>0</v>
      </c>
      <c r="AO606">
        <v>0</v>
      </c>
      <c r="AP606">
        <v>0</v>
      </c>
      <c r="AQ606">
        <v>0</v>
      </c>
      <c r="AR606">
        <v>0</v>
      </c>
      <c r="AS606">
        <f t="shared" si="125"/>
        <v>3</v>
      </c>
      <c r="AT606">
        <f t="shared" si="126"/>
        <v>6</v>
      </c>
      <c r="AU606" s="3" t="s">
        <v>2136</v>
      </c>
      <c r="AV606">
        <f t="shared" si="127"/>
        <v>1</v>
      </c>
      <c r="AW606">
        <f t="shared" si="128"/>
        <v>0</v>
      </c>
      <c r="AX606">
        <f t="shared" si="129"/>
        <v>0</v>
      </c>
      <c r="AY606">
        <v>8.5</v>
      </c>
      <c r="AZ606" t="s">
        <v>60</v>
      </c>
      <c r="BA606" t="s">
        <v>61</v>
      </c>
      <c r="BB606" t="s">
        <v>8</v>
      </c>
    </row>
    <row r="607" ht="353" spans="1:54">
      <c r="A607" t="s">
        <v>2137</v>
      </c>
      <c r="B607" t="s">
        <v>2118</v>
      </c>
      <c r="C607" t="s">
        <v>56</v>
      </c>
      <c r="D607">
        <v>5</v>
      </c>
      <c r="E607">
        <v>0</v>
      </c>
      <c r="F607">
        <v>39.7</v>
      </c>
      <c r="G607" t="s">
        <v>57</v>
      </c>
      <c r="H607" s="3" t="s">
        <v>2138</v>
      </c>
      <c r="I607" s="3" t="s">
        <v>2139</v>
      </c>
      <c r="J607">
        <f t="shared" si="117"/>
        <v>1</v>
      </c>
      <c r="K607">
        <f t="shared" si="118"/>
        <v>1</v>
      </c>
      <c r="L607">
        <f t="shared" si="119"/>
        <v>0</v>
      </c>
      <c r="M607">
        <f t="shared" si="120"/>
        <v>0</v>
      </c>
      <c r="N607">
        <f t="shared" si="121"/>
        <v>0</v>
      </c>
      <c r="O607">
        <f t="shared" si="122"/>
        <v>1</v>
      </c>
      <c r="P607">
        <f t="shared" si="123"/>
        <v>0</v>
      </c>
      <c r="Q607">
        <f t="shared" si="124"/>
        <v>0</v>
      </c>
      <c r="R607">
        <v>0</v>
      </c>
      <c r="S607">
        <v>1</v>
      </c>
      <c r="T607">
        <v>0</v>
      </c>
      <c r="U607">
        <v>0</v>
      </c>
      <c r="V607">
        <v>0</v>
      </c>
      <c r="W607">
        <v>1</v>
      </c>
      <c r="X607">
        <v>0</v>
      </c>
      <c r="Y607">
        <v>0</v>
      </c>
      <c r="Z607">
        <v>0</v>
      </c>
      <c r="AA607">
        <v>0</v>
      </c>
      <c r="AB607">
        <v>0</v>
      </c>
      <c r="AC607">
        <v>0</v>
      </c>
      <c r="AD607">
        <v>0</v>
      </c>
      <c r="AE607">
        <v>0</v>
      </c>
      <c r="AF607">
        <v>0</v>
      </c>
      <c r="AG607">
        <v>0</v>
      </c>
      <c r="AH607">
        <v>0</v>
      </c>
      <c r="AI607">
        <v>1</v>
      </c>
      <c r="AJ607">
        <v>0</v>
      </c>
      <c r="AK607">
        <v>0</v>
      </c>
      <c r="AL607">
        <v>1</v>
      </c>
      <c r="AM607">
        <v>0</v>
      </c>
      <c r="AN607">
        <v>0</v>
      </c>
      <c r="AO607">
        <v>0</v>
      </c>
      <c r="AP607">
        <v>0</v>
      </c>
      <c r="AQ607">
        <v>0</v>
      </c>
      <c r="AR607">
        <v>0</v>
      </c>
      <c r="AS607">
        <f t="shared" si="125"/>
        <v>3</v>
      </c>
      <c r="AT607">
        <f t="shared" si="126"/>
        <v>4</v>
      </c>
      <c r="AU607" s="3" t="s">
        <v>2140</v>
      </c>
      <c r="AV607">
        <f t="shared" si="127"/>
        <v>1</v>
      </c>
      <c r="AW607">
        <f t="shared" si="128"/>
        <v>0</v>
      </c>
      <c r="AX607">
        <f t="shared" si="129"/>
        <v>0</v>
      </c>
      <c r="AY607">
        <v>-2</v>
      </c>
      <c r="AZ607" t="s">
        <v>133</v>
      </c>
      <c r="BA607" t="s">
        <v>134</v>
      </c>
      <c r="BB607" t="s">
        <v>8</v>
      </c>
    </row>
    <row r="608" ht="34" spans="1:54">
      <c r="A608" t="s">
        <v>2141</v>
      </c>
      <c r="B608" t="s">
        <v>2118</v>
      </c>
      <c r="C608" t="s">
        <v>56</v>
      </c>
      <c r="D608">
        <v>0</v>
      </c>
      <c r="E608">
        <v>0</v>
      </c>
      <c r="F608">
        <v>40.1</v>
      </c>
      <c r="G608" t="s">
        <v>57</v>
      </c>
      <c r="H608" s="3" t="s">
        <v>2142</v>
      </c>
      <c r="I608" s="3" t="s">
        <v>2143</v>
      </c>
      <c r="J608">
        <f t="shared" si="117"/>
        <v>1</v>
      </c>
      <c r="K608">
        <f t="shared" si="118"/>
        <v>0</v>
      </c>
      <c r="L608">
        <f t="shared" si="119"/>
        <v>0</v>
      </c>
      <c r="M608">
        <f t="shared" si="120"/>
        <v>0</v>
      </c>
      <c r="N608">
        <f t="shared" si="121"/>
        <v>1</v>
      </c>
      <c r="O608">
        <f t="shared" si="122"/>
        <v>0</v>
      </c>
      <c r="P608">
        <f t="shared" si="123"/>
        <v>0</v>
      </c>
      <c r="Q608">
        <f t="shared" si="124"/>
        <v>0</v>
      </c>
      <c r="R608">
        <v>1</v>
      </c>
      <c r="S608">
        <v>0</v>
      </c>
      <c r="T608">
        <v>1</v>
      </c>
      <c r="U608">
        <v>0</v>
      </c>
      <c r="V608">
        <v>0</v>
      </c>
      <c r="W608">
        <v>0</v>
      </c>
      <c r="X608">
        <v>0</v>
      </c>
      <c r="Y608">
        <v>0</v>
      </c>
      <c r="Z608">
        <v>0</v>
      </c>
      <c r="AA608">
        <v>0</v>
      </c>
      <c r="AB608">
        <v>0</v>
      </c>
      <c r="AC608">
        <v>0</v>
      </c>
      <c r="AD608">
        <v>0</v>
      </c>
      <c r="AE608">
        <v>0</v>
      </c>
      <c r="AF608">
        <v>0</v>
      </c>
      <c r="AG608">
        <v>0</v>
      </c>
      <c r="AH608">
        <v>1</v>
      </c>
      <c r="AI608">
        <v>0</v>
      </c>
      <c r="AJ608">
        <v>0</v>
      </c>
      <c r="AK608">
        <v>0</v>
      </c>
      <c r="AL608">
        <v>0</v>
      </c>
      <c r="AM608">
        <v>0</v>
      </c>
      <c r="AN608">
        <v>0</v>
      </c>
      <c r="AO608">
        <v>0</v>
      </c>
      <c r="AP608">
        <v>0</v>
      </c>
      <c r="AQ608">
        <v>0</v>
      </c>
      <c r="AR608">
        <v>0</v>
      </c>
      <c r="AS608">
        <f t="shared" si="125"/>
        <v>2</v>
      </c>
      <c r="AT608">
        <f t="shared" si="126"/>
        <v>3</v>
      </c>
      <c r="AU608" s="3" t="s">
        <v>2144</v>
      </c>
      <c r="AV608">
        <f t="shared" si="127"/>
        <v>1</v>
      </c>
      <c r="AW608">
        <f t="shared" si="128"/>
        <v>0</v>
      </c>
      <c r="AX608">
        <f t="shared" si="129"/>
        <v>0</v>
      </c>
      <c r="AY608">
        <v>-2</v>
      </c>
      <c r="AZ608" t="s">
        <v>133</v>
      </c>
      <c r="BA608" t="s">
        <v>134</v>
      </c>
      <c r="BB608" t="s">
        <v>8</v>
      </c>
    </row>
    <row r="609" ht="34" spans="1:54">
      <c r="A609" t="s">
        <v>2145</v>
      </c>
      <c r="B609" t="s">
        <v>2118</v>
      </c>
      <c r="C609" t="s">
        <v>56</v>
      </c>
      <c r="D609">
        <v>0</v>
      </c>
      <c r="E609">
        <v>0</v>
      </c>
      <c r="F609">
        <v>37.7</v>
      </c>
      <c r="G609" t="s">
        <v>57</v>
      </c>
      <c r="H609" s="3" t="s">
        <v>2146</v>
      </c>
      <c r="I609" s="3" t="s">
        <v>2147</v>
      </c>
      <c r="J609">
        <f t="shared" si="117"/>
        <v>0</v>
      </c>
      <c r="K609">
        <f t="shared" si="118"/>
        <v>0</v>
      </c>
      <c r="L609">
        <f t="shared" si="119"/>
        <v>0</v>
      </c>
      <c r="M609">
        <f t="shared" si="120"/>
        <v>0</v>
      </c>
      <c r="N609">
        <f t="shared" si="121"/>
        <v>1</v>
      </c>
      <c r="O609">
        <f t="shared" si="122"/>
        <v>0</v>
      </c>
      <c r="P609">
        <f t="shared" si="123"/>
        <v>0</v>
      </c>
      <c r="Q609">
        <f t="shared" si="124"/>
        <v>0</v>
      </c>
      <c r="R609">
        <v>0</v>
      </c>
      <c r="S609">
        <v>0</v>
      </c>
      <c r="T609">
        <v>0</v>
      </c>
      <c r="U609">
        <v>0</v>
      </c>
      <c r="V609">
        <v>0</v>
      </c>
      <c r="W609">
        <v>0</v>
      </c>
      <c r="X609">
        <v>0</v>
      </c>
      <c r="Y609">
        <v>0</v>
      </c>
      <c r="Z609">
        <v>0</v>
      </c>
      <c r="AA609">
        <v>0</v>
      </c>
      <c r="AB609">
        <v>0</v>
      </c>
      <c r="AC609">
        <v>0</v>
      </c>
      <c r="AD609">
        <v>0</v>
      </c>
      <c r="AE609">
        <v>0</v>
      </c>
      <c r="AF609">
        <v>0</v>
      </c>
      <c r="AG609">
        <v>0</v>
      </c>
      <c r="AH609">
        <v>1</v>
      </c>
      <c r="AI609">
        <v>0</v>
      </c>
      <c r="AJ609">
        <v>0</v>
      </c>
      <c r="AK609">
        <v>0</v>
      </c>
      <c r="AL609">
        <v>0</v>
      </c>
      <c r="AM609">
        <v>0</v>
      </c>
      <c r="AN609">
        <v>0</v>
      </c>
      <c r="AO609">
        <v>0</v>
      </c>
      <c r="AP609">
        <v>0</v>
      </c>
      <c r="AQ609">
        <v>0</v>
      </c>
      <c r="AR609">
        <v>0</v>
      </c>
      <c r="AS609">
        <f t="shared" si="125"/>
        <v>1</v>
      </c>
      <c r="AT609">
        <f t="shared" si="126"/>
        <v>1</v>
      </c>
      <c r="AU609" s="3" t="s">
        <v>129</v>
      </c>
      <c r="AV609">
        <f t="shared" si="127"/>
        <v>1</v>
      </c>
      <c r="AW609">
        <f t="shared" si="128"/>
        <v>0</v>
      </c>
      <c r="AX609">
        <f t="shared" si="129"/>
        <v>0</v>
      </c>
      <c r="AY609">
        <v>3.5</v>
      </c>
      <c r="AZ609" t="s">
        <v>60</v>
      </c>
      <c r="BA609" t="s">
        <v>61</v>
      </c>
      <c r="BB609" t="s">
        <v>8</v>
      </c>
    </row>
    <row r="610" ht="303" spans="1:54">
      <c r="A610" t="s">
        <v>2148</v>
      </c>
      <c r="B610" t="s">
        <v>2118</v>
      </c>
      <c r="C610" t="s">
        <v>56</v>
      </c>
      <c r="D610">
        <v>0</v>
      </c>
      <c r="E610">
        <v>1</v>
      </c>
      <c r="F610">
        <v>73.8</v>
      </c>
      <c r="G610" t="s">
        <v>57</v>
      </c>
      <c r="H610" s="3" t="s">
        <v>2149</v>
      </c>
      <c r="I610" s="3" t="s">
        <v>2150</v>
      </c>
      <c r="J610">
        <f t="shared" si="117"/>
        <v>0</v>
      </c>
      <c r="K610">
        <f t="shared" si="118"/>
        <v>0</v>
      </c>
      <c r="L610">
        <f t="shared" si="119"/>
        <v>0</v>
      </c>
      <c r="M610">
        <f t="shared" si="120"/>
        <v>0</v>
      </c>
      <c r="N610">
        <f t="shared" si="121"/>
        <v>1</v>
      </c>
      <c r="O610">
        <f t="shared" si="122"/>
        <v>1</v>
      </c>
      <c r="P610">
        <f t="shared" si="123"/>
        <v>0</v>
      </c>
      <c r="Q610">
        <f t="shared" si="124"/>
        <v>0</v>
      </c>
      <c r="R610">
        <v>0</v>
      </c>
      <c r="S610">
        <v>0</v>
      </c>
      <c r="T610">
        <v>0</v>
      </c>
      <c r="U610">
        <v>0</v>
      </c>
      <c r="V610">
        <v>0</v>
      </c>
      <c r="W610">
        <v>0</v>
      </c>
      <c r="X610">
        <v>0</v>
      </c>
      <c r="Y610">
        <v>0</v>
      </c>
      <c r="Z610">
        <v>0</v>
      </c>
      <c r="AA610">
        <v>0</v>
      </c>
      <c r="AB610">
        <v>0</v>
      </c>
      <c r="AC610">
        <v>0</v>
      </c>
      <c r="AD610">
        <v>0</v>
      </c>
      <c r="AE610">
        <v>0</v>
      </c>
      <c r="AF610">
        <v>0</v>
      </c>
      <c r="AG610">
        <v>1</v>
      </c>
      <c r="AH610">
        <v>1</v>
      </c>
      <c r="AI610">
        <v>1</v>
      </c>
      <c r="AJ610">
        <v>0</v>
      </c>
      <c r="AK610">
        <v>0</v>
      </c>
      <c r="AL610">
        <v>0</v>
      </c>
      <c r="AM610">
        <v>0</v>
      </c>
      <c r="AN610">
        <v>0</v>
      </c>
      <c r="AO610">
        <v>0</v>
      </c>
      <c r="AP610">
        <v>0</v>
      </c>
      <c r="AQ610">
        <v>0</v>
      </c>
      <c r="AR610">
        <v>0</v>
      </c>
      <c r="AS610">
        <f t="shared" si="125"/>
        <v>2</v>
      </c>
      <c r="AT610">
        <f t="shared" si="126"/>
        <v>3</v>
      </c>
      <c r="AU610" s="3" t="s">
        <v>1120</v>
      </c>
      <c r="AV610">
        <f t="shared" si="127"/>
        <v>1</v>
      </c>
      <c r="AW610">
        <f t="shared" si="128"/>
        <v>0</v>
      </c>
      <c r="AX610">
        <f t="shared" si="129"/>
        <v>0</v>
      </c>
      <c r="AY610">
        <v>6.5</v>
      </c>
      <c r="AZ610" t="s">
        <v>60</v>
      </c>
      <c r="BA610" t="s">
        <v>61</v>
      </c>
      <c r="BB610" t="s">
        <v>8</v>
      </c>
    </row>
    <row r="611" ht="269" spans="1:54">
      <c r="A611" t="s">
        <v>2151</v>
      </c>
      <c r="B611" t="s">
        <v>2118</v>
      </c>
      <c r="C611" t="s">
        <v>56</v>
      </c>
      <c r="D611">
        <v>0</v>
      </c>
      <c r="E611">
        <v>0</v>
      </c>
      <c r="F611">
        <v>41.8</v>
      </c>
      <c r="G611" t="s">
        <v>57</v>
      </c>
      <c r="H611" s="3" t="s">
        <v>2152</v>
      </c>
      <c r="I611" s="3" t="s">
        <v>2153</v>
      </c>
      <c r="J611">
        <f t="shared" si="117"/>
        <v>0</v>
      </c>
      <c r="K611">
        <f t="shared" si="118"/>
        <v>0</v>
      </c>
      <c r="L611">
        <f t="shared" si="119"/>
        <v>1</v>
      </c>
      <c r="M611">
        <f t="shared" si="120"/>
        <v>0</v>
      </c>
      <c r="N611">
        <f t="shared" si="121"/>
        <v>0</v>
      </c>
      <c r="O611">
        <f t="shared" si="122"/>
        <v>1</v>
      </c>
      <c r="P611">
        <f t="shared" si="123"/>
        <v>0</v>
      </c>
      <c r="Q611">
        <f t="shared" si="124"/>
        <v>0</v>
      </c>
      <c r="R611">
        <v>0</v>
      </c>
      <c r="S611">
        <v>0</v>
      </c>
      <c r="T611">
        <v>0</v>
      </c>
      <c r="U611">
        <v>0</v>
      </c>
      <c r="V611">
        <v>0</v>
      </c>
      <c r="W611">
        <v>0</v>
      </c>
      <c r="X611">
        <v>0</v>
      </c>
      <c r="Y611">
        <v>0</v>
      </c>
      <c r="Z611">
        <v>0</v>
      </c>
      <c r="AA611">
        <v>0</v>
      </c>
      <c r="AB611">
        <v>1</v>
      </c>
      <c r="AC611">
        <v>0</v>
      </c>
      <c r="AD611">
        <v>0</v>
      </c>
      <c r="AE611">
        <v>0</v>
      </c>
      <c r="AF611">
        <v>0</v>
      </c>
      <c r="AG611">
        <v>0</v>
      </c>
      <c r="AH611">
        <v>0</v>
      </c>
      <c r="AI611">
        <v>1</v>
      </c>
      <c r="AJ611">
        <v>0</v>
      </c>
      <c r="AK611">
        <v>0</v>
      </c>
      <c r="AL611">
        <v>0</v>
      </c>
      <c r="AM611">
        <v>0</v>
      </c>
      <c r="AN611">
        <v>0</v>
      </c>
      <c r="AO611">
        <v>0</v>
      </c>
      <c r="AP611">
        <v>0</v>
      </c>
      <c r="AQ611">
        <v>0</v>
      </c>
      <c r="AR611">
        <v>0</v>
      </c>
      <c r="AS611">
        <f t="shared" si="125"/>
        <v>2</v>
      </c>
      <c r="AT611">
        <f t="shared" si="126"/>
        <v>2</v>
      </c>
      <c r="AU611" s="3" t="s">
        <v>2154</v>
      </c>
      <c r="AV611">
        <f t="shared" si="127"/>
        <v>1</v>
      </c>
      <c r="AW611">
        <f t="shared" si="128"/>
        <v>0</v>
      </c>
      <c r="AX611">
        <f t="shared" si="129"/>
        <v>0</v>
      </c>
      <c r="AY611">
        <v>4</v>
      </c>
      <c r="AZ611" t="s">
        <v>60</v>
      </c>
      <c r="BA611" t="s">
        <v>61</v>
      </c>
      <c r="BB611" t="s">
        <v>8</v>
      </c>
    </row>
    <row r="612" ht="51" spans="1:54">
      <c r="A612" t="s">
        <v>2155</v>
      </c>
      <c r="B612" t="s">
        <v>2118</v>
      </c>
      <c r="C612" t="s">
        <v>56</v>
      </c>
      <c r="D612">
        <v>2</v>
      </c>
      <c r="E612">
        <v>0</v>
      </c>
      <c r="F612">
        <v>23.7</v>
      </c>
      <c r="G612" t="s">
        <v>57</v>
      </c>
      <c r="H612" s="3" t="s">
        <v>2156</v>
      </c>
      <c r="I612" s="3" t="s">
        <v>2157</v>
      </c>
      <c r="J612">
        <f t="shared" si="117"/>
        <v>0</v>
      </c>
      <c r="K612">
        <f t="shared" si="118"/>
        <v>0</v>
      </c>
      <c r="L612">
        <f t="shared" si="119"/>
        <v>0</v>
      </c>
      <c r="M612">
        <f t="shared" si="120"/>
        <v>0</v>
      </c>
      <c r="N612">
        <f t="shared" si="121"/>
        <v>1</v>
      </c>
      <c r="O612">
        <f t="shared" si="122"/>
        <v>0</v>
      </c>
      <c r="P612">
        <f t="shared" si="123"/>
        <v>0</v>
      </c>
      <c r="Q612">
        <f t="shared" si="124"/>
        <v>0</v>
      </c>
      <c r="R612">
        <v>0</v>
      </c>
      <c r="S612">
        <v>0</v>
      </c>
      <c r="T612">
        <v>0</v>
      </c>
      <c r="U612">
        <v>0</v>
      </c>
      <c r="V612">
        <v>0</v>
      </c>
      <c r="W612">
        <v>0</v>
      </c>
      <c r="X612">
        <v>0</v>
      </c>
      <c r="Y612">
        <v>0</v>
      </c>
      <c r="Z612">
        <v>0</v>
      </c>
      <c r="AA612">
        <v>0</v>
      </c>
      <c r="AB612">
        <v>0</v>
      </c>
      <c r="AC612">
        <v>0</v>
      </c>
      <c r="AD612">
        <v>0</v>
      </c>
      <c r="AE612">
        <v>0</v>
      </c>
      <c r="AF612">
        <v>0</v>
      </c>
      <c r="AG612">
        <v>0</v>
      </c>
      <c r="AH612">
        <v>1</v>
      </c>
      <c r="AI612">
        <v>0</v>
      </c>
      <c r="AJ612">
        <v>0</v>
      </c>
      <c r="AK612">
        <v>0</v>
      </c>
      <c r="AL612">
        <v>0</v>
      </c>
      <c r="AM612">
        <v>0</v>
      </c>
      <c r="AN612">
        <v>0</v>
      </c>
      <c r="AO612">
        <v>0</v>
      </c>
      <c r="AP612">
        <v>0</v>
      </c>
      <c r="AQ612">
        <v>0</v>
      </c>
      <c r="AR612">
        <v>0</v>
      </c>
      <c r="AS612">
        <f t="shared" si="125"/>
        <v>1</v>
      </c>
      <c r="AT612">
        <f t="shared" si="126"/>
        <v>1</v>
      </c>
      <c r="AU612" s="3" t="s">
        <v>129</v>
      </c>
      <c r="AV612">
        <f t="shared" si="127"/>
        <v>1</v>
      </c>
      <c r="AW612">
        <f t="shared" si="128"/>
        <v>0</v>
      </c>
      <c r="AX612">
        <f t="shared" si="129"/>
        <v>0</v>
      </c>
      <c r="AY612">
        <v>-0.5</v>
      </c>
      <c r="AZ612" t="s">
        <v>133</v>
      </c>
      <c r="BA612" t="s">
        <v>134</v>
      </c>
      <c r="BB612" t="s">
        <v>8</v>
      </c>
    </row>
    <row r="613" ht="51" spans="1:54">
      <c r="A613" t="s">
        <v>2158</v>
      </c>
      <c r="B613" t="s">
        <v>2118</v>
      </c>
      <c r="C613" t="s">
        <v>116</v>
      </c>
      <c r="D613">
        <v>3</v>
      </c>
      <c r="E613">
        <v>0</v>
      </c>
      <c r="F613">
        <v>45.4</v>
      </c>
      <c r="G613" t="s">
        <v>57</v>
      </c>
      <c r="H613" s="3" t="s">
        <v>2159</v>
      </c>
      <c r="I613" s="3" t="s">
        <v>2160</v>
      </c>
      <c r="J613">
        <f t="shared" si="117"/>
        <v>0</v>
      </c>
      <c r="K613">
        <f t="shared" si="118"/>
        <v>1</v>
      </c>
      <c r="L613">
        <f t="shared" si="119"/>
        <v>1</v>
      </c>
      <c r="M613">
        <f t="shared" si="120"/>
        <v>0</v>
      </c>
      <c r="N613">
        <f t="shared" si="121"/>
        <v>0</v>
      </c>
      <c r="O613">
        <f t="shared" si="122"/>
        <v>0</v>
      </c>
      <c r="P613">
        <f t="shared" si="123"/>
        <v>0</v>
      </c>
      <c r="Q613">
        <f t="shared" si="124"/>
        <v>0</v>
      </c>
      <c r="R613">
        <v>0</v>
      </c>
      <c r="S613">
        <v>0</v>
      </c>
      <c r="T613">
        <v>0</v>
      </c>
      <c r="U613">
        <v>0</v>
      </c>
      <c r="V613">
        <v>1</v>
      </c>
      <c r="W613">
        <v>1</v>
      </c>
      <c r="X613">
        <v>0</v>
      </c>
      <c r="Y613">
        <v>0</v>
      </c>
      <c r="Z613">
        <v>0</v>
      </c>
      <c r="AA613">
        <v>0</v>
      </c>
      <c r="AB613">
        <v>0</v>
      </c>
      <c r="AC613">
        <v>1</v>
      </c>
      <c r="AD613">
        <v>0</v>
      </c>
      <c r="AE613">
        <v>0</v>
      </c>
      <c r="AF613">
        <v>0</v>
      </c>
      <c r="AG613">
        <v>0</v>
      </c>
      <c r="AH613">
        <v>0</v>
      </c>
      <c r="AI613">
        <v>0</v>
      </c>
      <c r="AJ613">
        <v>0</v>
      </c>
      <c r="AK613">
        <v>0</v>
      </c>
      <c r="AL613">
        <v>0</v>
      </c>
      <c r="AM613">
        <v>0</v>
      </c>
      <c r="AN613">
        <v>0</v>
      </c>
      <c r="AO613">
        <v>0</v>
      </c>
      <c r="AP613">
        <v>0</v>
      </c>
      <c r="AQ613">
        <v>0</v>
      </c>
      <c r="AR613">
        <v>0</v>
      </c>
      <c r="AS613">
        <f t="shared" si="125"/>
        <v>2</v>
      </c>
      <c r="AT613">
        <f t="shared" si="126"/>
        <v>3</v>
      </c>
      <c r="AU613" s="3" t="s">
        <v>2161</v>
      </c>
      <c r="AV613">
        <f t="shared" si="127"/>
        <v>1</v>
      </c>
      <c r="AW613">
        <f t="shared" si="128"/>
        <v>0</v>
      </c>
      <c r="AX613">
        <f t="shared" si="129"/>
        <v>0</v>
      </c>
      <c r="AY613">
        <v>-4</v>
      </c>
      <c r="AZ613" t="s">
        <v>133</v>
      </c>
      <c r="BA613" t="s">
        <v>134</v>
      </c>
      <c r="BB613" t="s">
        <v>8</v>
      </c>
    </row>
    <row r="614" ht="68" spans="1:54">
      <c r="A614" t="s">
        <v>2162</v>
      </c>
      <c r="B614" t="s">
        <v>2118</v>
      </c>
      <c r="C614" t="s">
        <v>56</v>
      </c>
      <c r="D614">
        <v>0</v>
      </c>
      <c r="E614">
        <v>0</v>
      </c>
      <c r="F614">
        <v>77.1</v>
      </c>
      <c r="G614" t="s">
        <v>57</v>
      </c>
      <c r="H614" s="3" t="s">
        <v>2163</v>
      </c>
      <c r="I614" s="3" t="s">
        <v>2164</v>
      </c>
      <c r="J614">
        <f t="shared" si="117"/>
        <v>1</v>
      </c>
      <c r="K614">
        <f t="shared" si="118"/>
        <v>1</v>
      </c>
      <c r="L614">
        <f t="shared" si="119"/>
        <v>0</v>
      </c>
      <c r="M614">
        <f t="shared" si="120"/>
        <v>0</v>
      </c>
      <c r="N614">
        <f t="shared" si="121"/>
        <v>1</v>
      </c>
      <c r="O614">
        <f t="shared" si="122"/>
        <v>0</v>
      </c>
      <c r="P614">
        <f t="shared" si="123"/>
        <v>0</v>
      </c>
      <c r="Q614">
        <f t="shared" si="124"/>
        <v>0</v>
      </c>
      <c r="R614">
        <v>1</v>
      </c>
      <c r="S614">
        <v>0</v>
      </c>
      <c r="T614">
        <v>0</v>
      </c>
      <c r="U614">
        <v>1</v>
      </c>
      <c r="V614">
        <v>1</v>
      </c>
      <c r="W614">
        <v>1</v>
      </c>
      <c r="X614">
        <v>0</v>
      </c>
      <c r="Y614">
        <v>0</v>
      </c>
      <c r="Z614">
        <v>0</v>
      </c>
      <c r="AA614">
        <v>0</v>
      </c>
      <c r="AB614">
        <v>0</v>
      </c>
      <c r="AC614">
        <v>0</v>
      </c>
      <c r="AD614">
        <v>0</v>
      </c>
      <c r="AE614">
        <v>0</v>
      </c>
      <c r="AF614">
        <v>0</v>
      </c>
      <c r="AG614">
        <v>0</v>
      </c>
      <c r="AH614">
        <v>1</v>
      </c>
      <c r="AI614">
        <v>0</v>
      </c>
      <c r="AJ614">
        <v>0</v>
      </c>
      <c r="AK614">
        <v>0</v>
      </c>
      <c r="AL614">
        <v>0</v>
      </c>
      <c r="AM614">
        <v>0</v>
      </c>
      <c r="AN614">
        <v>0</v>
      </c>
      <c r="AO614">
        <v>0</v>
      </c>
      <c r="AP614">
        <v>0</v>
      </c>
      <c r="AQ614">
        <v>0</v>
      </c>
      <c r="AR614">
        <v>0</v>
      </c>
      <c r="AS614">
        <f t="shared" si="125"/>
        <v>3</v>
      </c>
      <c r="AT614">
        <f t="shared" si="126"/>
        <v>5</v>
      </c>
      <c r="AU614" s="3" t="s">
        <v>1282</v>
      </c>
      <c r="AV614">
        <f t="shared" si="127"/>
        <v>1</v>
      </c>
      <c r="AW614">
        <f t="shared" si="128"/>
        <v>0</v>
      </c>
      <c r="AX614">
        <f t="shared" si="129"/>
        <v>0</v>
      </c>
      <c r="AY614">
        <v>1.5</v>
      </c>
      <c r="AZ614" t="s">
        <v>60</v>
      </c>
      <c r="BA614" t="s">
        <v>61</v>
      </c>
      <c r="BB614" t="s">
        <v>8</v>
      </c>
    </row>
    <row r="615" ht="34" spans="1:54">
      <c r="A615" t="s">
        <v>2165</v>
      </c>
      <c r="B615" t="s">
        <v>2118</v>
      </c>
      <c r="C615" t="s">
        <v>56</v>
      </c>
      <c r="D615">
        <v>2</v>
      </c>
      <c r="E615">
        <v>0</v>
      </c>
      <c r="F615">
        <v>39.9</v>
      </c>
      <c r="G615" t="s">
        <v>57</v>
      </c>
      <c r="H615" s="3" t="s">
        <v>2166</v>
      </c>
      <c r="I615" s="3" t="s">
        <v>2167</v>
      </c>
      <c r="J615">
        <f t="shared" si="117"/>
        <v>1</v>
      </c>
      <c r="K615">
        <f t="shared" si="118"/>
        <v>1</v>
      </c>
      <c r="L615">
        <f t="shared" si="119"/>
        <v>0</v>
      </c>
      <c r="M615">
        <f t="shared" si="120"/>
        <v>0</v>
      </c>
      <c r="N615">
        <f t="shared" si="121"/>
        <v>1</v>
      </c>
      <c r="O615">
        <f t="shared" si="122"/>
        <v>0</v>
      </c>
      <c r="P615">
        <f t="shared" si="123"/>
        <v>0</v>
      </c>
      <c r="Q615">
        <f t="shared" si="124"/>
        <v>0</v>
      </c>
      <c r="R615">
        <v>1</v>
      </c>
      <c r="S615">
        <v>0</v>
      </c>
      <c r="T615">
        <v>0</v>
      </c>
      <c r="U615">
        <v>0</v>
      </c>
      <c r="V615">
        <v>0</v>
      </c>
      <c r="W615">
        <v>1</v>
      </c>
      <c r="X615">
        <v>0</v>
      </c>
      <c r="Y615">
        <v>0</v>
      </c>
      <c r="Z615">
        <v>0</v>
      </c>
      <c r="AA615">
        <v>0</v>
      </c>
      <c r="AB615">
        <v>0</v>
      </c>
      <c r="AC615">
        <v>0</v>
      </c>
      <c r="AD615">
        <v>0</v>
      </c>
      <c r="AE615">
        <v>0</v>
      </c>
      <c r="AF615">
        <v>0</v>
      </c>
      <c r="AG615">
        <v>0</v>
      </c>
      <c r="AH615">
        <v>1</v>
      </c>
      <c r="AI615">
        <v>0</v>
      </c>
      <c r="AJ615">
        <v>0</v>
      </c>
      <c r="AK615">
        <v>0</v>
      </c>
      <c r="AL615">
        <v>0</v>
      </c>
      <c r="AM615">
        <v>0</v>
      </c>
      <c r="AN615">
        <v>0</v>
      </c>
      <c r="AO615">
        <v>0</v>
      </c>
      <c r="AP615">
        <v>0</v>
      </c>
      <c r="AQ615">
        <v>0</v>
      </c>
      <c r="AR615">
        <v>0</v>
      </c>
      <c r="AS615">
        <f t="shared" si="125"/>
        <v>3</v>
      </c>
      <c r="AT615">
        <f t="shared" si="126"/>
        <v>3</v>
      </c>
      <c r="AU615" s="3" t="s">
        <v>1165</v>
      </c>
      <c r="AV615">
        <f t="shared" si="127"/>
        <v>1</v>
      </c>
      <c r="AW615">
        <f t="shared" si="128"/>
        <v>0</v>
      </c>
      <c r="AX615">
        <f t="shared" si="129"/>
        <v>0</v>
      </c>
      <c r="AY615">
        <v>6</v>
      </c>
      <c r="AZ615" t="s">
        <v>60</v>
      </c>
      <c r="BA615" t="s">
        <v>61</v>
      </c>
      <c r="BB615" t="s">
        <v>8</v>
      </c>
    </row>
    <row r="616" ht="152" spans="1:54">
      <c r="A616" t="s">
        <v>2168</v>
      </c>
      <c r="B616" t="s">
        <v>2118</v>
      </c>
      <c r="C616" t="s">
        <v>56</v>
      </c>
      <c r="D616">
        <v>2</v>
      </c>
      <c r="E616">
        <v>0</v>
      </c>
      <c r="F616">
        <v>74.1</v>
      </c>
      <c r="G616" t="s">
        <v>57</v>
      </c>
      <c r="H616" s="3" t="s">
        <v>2169</v>
      </c>
      <c r="I616" s="3" t="s">
        <v>2170</v>
      </c>
      <c r="J616">
        <f t="shared" si="117"/>
        <v>0</v>
      </c>
      <c r="K616">
        <f t="shared" si="118"/>
        <v>0</v>
      </c>
      <c r="L616">
        <f t="shared" si="119"/>
        <v>1</v>
      </c>
      <c r="M616">
        <f t="shared" si="120"/>
        <v>0</v>
      </c>
      <c r="N616">
        <f t="shared" si="121"/>
        <v>0</v>
      </c>
      <c r="O616">
        <f t="shared" si="122"/>
        <v>0</v>
      </c>
      <c r="P616">
        <f t="shared" si="123"/>
        <v>0</v>
      </c>
      <c r="Q616">
        <f t="shared" si="124"/>
        <v>0</v>
      </c>
      <c r="R616">
        <v>0</v>
      </c>
      <c r="S616">
        <v>0</v>
      </c>
      <c r="T616">
        <v>0</v>
      </c>
      <c r="U616">
        <v>0</v>
      </c>
      <c r="V616">
        <v>0</v>
      </c>
      <c r="W616">
        <v>0</v>
      </c>
      <c r="X616">
        <v>0</v>
      </c>
      <c r="Y616">
        <v>0</v>
      </c>
      <c r="Z616">
        <v>1</v>
      </c>
      <c r="AA616">
        <v>0</v>
      </c>
      <c r="AB616">
        <v>0</v>
      </c>
      <c r="AC616">
        <v>1</v>
      </c>
      <c r="AD616">
        <v>0</v>
      </c>
      <c r="AE616">
        <v>0</v>
      </c>
      <c r="AF616">
        <v>0</v>
      </c>
      <c r="AG616">
        <v>0</v>
      </c>
      <c r="AH616">
        <v>0</v>
      </c>
      <c r="AI616">
        <v>0</v>
      </c>
      <c r="AJ616">
        <v>0</v>
      </c>
      <c r="AK616">
        <v>0</v>
      </c>
      <c r="AL616">
        <v>0</v>
      </c>
      <c r="AM616">
        <v>0</v>
      </c>
      <c r="AN616">
        <v>0</v>
      </c>
      <c r="AO616">
        <v>0</v>
      </c>
      <c r="AP616">
        <v>0</v>
      </c>
      <c r="AQ616">
        <v>0</v>
      </c>
      <c r="AR616">
        <v>0</v>
      </c>
      <c r="AS616">
        <f t="shared" si="125"/>
        <v>1</v>
      </c>
      <c r="AT616">
        <f t="shared" si="126"/>
        <v>2</v>
      </c>
      <c r="AU616" s="3" t="s">
        <v>2171</v>
      </c>
      <c r="AV616">
        <f t="shared" si="127"/>
        <v>1</v>
      </c>
      <c r="AW616">
        <f t="shared" si="128"/>
        <v>0</v>
      </c>
      <c r="AX616">
        <f t="shared" si="129"/>
        <v>0</v>
      </c>
      <c r="AY616">
        <v>-1</v>
      </c>
      <c r="AZ616" t="s">
        <v>133</v>
      </c>
      <c r="BA616" t="s">
        <v>134</v>
      </c>
      <c r="BB616" t="s">
        <v>8</v>
      </c>
    </row>
    <row r="617" ht="135" spans="1:54">
      <c r="A617" t="s">
        <v>2172</v>
      </c>
      <c r="B617" t="s">
        <v>2118</v>
      </c>
      <c r="C617" t="s">
        <v>116</v>
      </c>
      <c r="D617">
        <v>7</v>
      </c>
      <c r="E617">
        <v>1</v>
      </c>
      <c r="F617">
        <v>27.9</v>
      </c>
      <c r="G617" t="s">
        <v>57</v>
      </c>
      <c r="H617" s="3" t="s">
        <v>2173</v>
      </c>
      <c r="I617" s="3" t="s">
        <v>2174</v>
      </c>
      <c r="J617">
        <f t="shared" si="117"/>
        <v>1</v>
      </c>
      <c r="K617">
        <f t="shared" si="118"/>
        <v>0</v>
      </c>
      <c r="L617">
        <f t="shared" si="119"/>
        <v>1</v>
      </c>
      <c r="M617">
        <f t="shared" si="120"/>
        <v>0</v>
      </c>
      <c r="N617">
        <f t="shared" si="121"/>
        <v>1</v>
      </c>
      <c r="O617">
        <f t="shared" si="122"/>
        <v>0</v>
      </c>
      <c r="P617">
        <f t="shared" si="123"/>
        <v>0</v>
      </c>
      <c r="Q617">
        <f t="shared" si="124"/>
        <v>0</v>
      </c>
      <c r="R617">
        <v>1</v>
      </c>
      <c r="S617">
        <v>0</v>
      </c>
      <c r="T617">
        <v>0</v>
      </c>
      <c r="U617">
        <v>0</v>
      </c>
      <c r="V617">
        <v>0</v>
      </c>
      <c r="W617">
        <v>0</v>
      </c>
      <c r="X617">
        <v>0</v>
      </c>
      <c r="Y617">
        <v>0</v>
      </c>
      <c r="Z617">
        <v>0</v>
      </c>
      <c r="AA617">
        <v>1</v>
      </c>
      <c r="AB617">
        <v>0</v>
      </c>
      <c r="AC617">
        <v>0</v>
      </c>
      <c r="AD617">
        <v>0</v>
      </c>
      <c r="AE617">
        <v>0</v>
      </c>
      <c r="AF617">
        <v>0</v>
      </c>
      <c r="AG617">
        <v>0</v>
      </c>
      <c r="AH617">
        <v>1</v>
      </c>
      <c r="AI617">
        <v>0</v>
      </c>
      <c r="AJ617">
        <v>0</v>
      </c>
      <c r="AK617">
        <v>0</v>
      </c>
      <c r="AL617">
        <v>0</v>
      </c>
      <c r="AM617">
        <v>0</v>
      </c>
      <c r="AN617">
        <v>0</v>
      </c>
      <c r="AO617">
        <v>0</v>
      </c>
      <c r="AP617">
        <v>0</v>
      </c>
      <c r="AQ617">
        <v>0</v>
      </c>
      <c r="AR617">
        <v>0</v>
      </c>
      <c r="AS617">
        <f t="shared" si="125"/>
        <v>3</v>
      </c>
      <c r="AT617">
        <f t="shared" si="126"/>
        <v>3</v>
      </c>
      <c r="AU617" s="3" t="s">
        <v>2175</v>
      </c>
      <c r="AV617">
        <f t="shared" si="127"/>
        <v>1</v>
      </c>
      <c r="AW617">
        <f t="shared" si="128"/>
        <v>0</v>
      </c>
      <c r="AX617">
        <f t="shared" si="129"/>
        <v>0</v>
      </c>
      <c r="AY617">
        <v>-6.5</v>
      </c>
      <c r="AZ617" t="s">
        <v>133</v>
      </c>
      <c r="BA617" t="s">
        <v>134</v>
      </c>
      <c r="BB617" t="s">
        <v>8</v>
      </c>
    </row>
    <row r="618" ht="84" spans="1:54">
      <c r="A618" t="s">
        <v>2176</v>
      </c>
      <c r="B618" t="s">
        <v>2118</v>
      </c>
      <c r="C618" t="s">
        <v>56</v>
      </c>
      <c r="D618">
        <v>6</v>
      </c>
      <c r="E618">
        <v>0</v>
      </c>
      <c r="F618">
        <v>46.2</v>
      </c>
      <c r="G618" t="s">
        <v>2177</v>
      </c>
      <c r="H618" s="3" t="s">
        <v>2178</v>
      </c>
      <c r="I618" s="3" t="s">
        <v>2179</v>
      </c>
      <c r="J618">
        <f t="shared" si="117"/>
        <v>0</v>
      </c>
      <c r="K618">
        <f t="shared" si="118"/>
        <v>1</v>
      </c>
      <c r="L618">
        <f t="shared" si="119"/>
        <v>0</v>
      </c>
      <c r="M618">
        <f t="shared" si="120"/>
        <v>0</v>
      </c>
      <c r="N618">
        <f t="shared" si="121"/>
        <v>1</v>
      </c>
      <c r="O618">
        <f t="shared" si="122"/>
        <v>1</v>
      </c>
      <c r="P618">
        <f t="shared" si="123"/>
        <v>0</v>
      </c>
      <c r="Q618">
        <f t="shared" si="124"/>
        <v>0</v>
      </c>
      <c r="R618">
        <v>0</v>
      </c>
      <c r="S618">
        <v>0</v>
      </c>
      <c r="T618">
        <v>0</v>
      </c>
      <c r="U618">
        <v>0</v>
      </c>
      <c r="V618">
        <v>1</v>
      </c>
      <c r="W618">
        <v>1</v>
      </c>
      <c r="X618">
        <v>0</v>
      </c>
      <c r="Y618">
        <v>0</v>
      </c>
      <c r="Z618">
        <v>0</v>
      </c>
      <c r="AA618">
        <v>0</v>
      </c>
      <c r="AB618">
        <v>0</v>
      </c>
      <c r="AC618">
        <v>0</v>
      </c>
      <c r="AD618">
        <v>0</v>
      </c>
      <c r="AE618">
        <v>0</v>
      </c>
      <c r="AF618">
        <v>0</v>
      </c>
      <c r="AG618">
        <v>0</v>
      </c>
      <c r="AH618">
        <v>1</v>
      </c>
      <c r="AI618">
        <v>1</v>
      </c>
      <c r="AJ618">
        <v>0</v>
      </c>
      <c r="AK618">
        <v>0</v>
      </c>
      <c r="AL618">
        <v>0</v>
      </c>
      <c r="AM618">
        <v>0</v>
      </c>
      <c r="AN618">
        <v>0</v>
      </c>
      <c r="AO618">
        <v>0</v>
      </c>
      <c r="AP618">
        <v>0</v>
      </c>
      <c r="AQ618">
        <v>0</v>
      </c>
      <c r="AR618">
        <v>0</v>
      </c>
      <c r="AS618">
        <f t="shared" si="125"/>
        <v>3</v>
      </c>
      <c r="AT618">
        <f t="shared" si="126"/>
        <v>4</v>
      </c>
      <c r="AU618" s="3" t="s">
        <v>2180</v>
      </c>
      <c r="AV618">
        <f t="shared" si="127"/>
        <v>1</v>
      </c>
      <c r="AW618">
        <f t="shared" si="128"/>
        <v>0</v>
      </c>
      <c r="AX618">
        <f t="shared" si="129"/>
        <v>0</v>
      </c>
      <c r="AY618">
        <v>7</v>
      </c>
      <c r="AZ618" t="s">
        <v>60</v>
      </c>
      <c r="BA618" t="s">
        <v>61</v>
      </c>
      <c r="BB618" t="s">
        <v>8</v>
      </c>
    </row>
    <row r="619" ht="409.5" spans="1:54">
      <c r="A619" t="s">
        <v>2181</v>
      </c>
      <c r="B619" t="s">
        <v>2118</v>
      </c>
      <c r="C619" t="s">
        <v>56</v>
      </c>
      <c r="D619">
        <v>0</v>
      </c>
      <c r="E619">
        <v>0</v>
      </c>
      <c r="F619">
        <v>53.5</v>
      </c>
      <c r="G619" t="s">
        <v>57</v>
      </c>
      <c r="H619" s="3" t="s">
        <v>2182</v>
      </c>
      <c r="I619" s="3" t="s">
        <v>2183</v>
      </c>
      <c r="J619">
        <f t="shared" si="117"/>
        <v>1</v>
      </c>
      <c r="K619">
        <f t="shared" si="118"/>
        <v>1</v>
      </c>
      <c r="L619">
        <f t="shared" si="119"/>
        <v>1</v>
      </c>
      <c r="M619">
        <f t="shared" si="120"/>
        <v>0</v>
      </c>
      <c r="N619">
        <f t="shared" si="121"/>
        <v>1</v>
      </c>
      <c r="O619">
        <f t="shared" si="122"/>
        <v>0</v>
      </c>
      <c r="P619">
        <f t="shared" si="123"/>
        <v>0</v>
      </c>
      <c r="Q619">
        <f t="shared" si="124"/>
        <v>1</v>
      </c>
      <c r="R619">
        <v>0</v>
      </c>
      <c r="S619">
        <v>0</v>
      </c>
      <c r="T619">
        <v>1</v>
      </c>
      <c r="U619">
        <v>0</v>
      </c>
      <c r="V619">
        <v>1</v>
      </c>
      <c r="W619">
        <v>0</v>
      </c>
      <c r="X619">
        <v>0</v>
      </c>
      <c r="Y619">
        <v>0</v>
      </c>
      <c r="Z619">
        <v>1</v>
      </c>
      <c r="AA619">
        <v>0</v>
      </c>
      <c r="AB619">
        <v>0</v>
      </c>
      <c r="AC619">
        <v>0</v>
      </c>
      <c r="AD619">
        <v>0</v>
      </c>
      <c r="AE619">
        <v>0</v>
      </c>
      <c r="AF619">
        <v>0</v>
      </c>
      <c r="AG619">
        <v>0</v>
      </c>
      <c r="AH619">
        <v>1</v>
      </c>
      <c r="AI619">
        <v>0</v>
      </c>
      <c r="AJ619">
        <v>0</v>
      </c>
      <c r="AK619">
        <v>0</v>
      </c>
      <c r="AL619">
        <v>0</v>
      </c>
      <c r="AM619">
        <v>0</v>
      </c>
      <c r="AN619">
        <v>0</v>
      </c>
      <c r="AO619">
        <v>0</v>
      </c>
      <c r="AP619">
        <v>0</v>
      </c>
      <c r="AQ619">
        <v>0</v>
      </c>
      <c r="AR619">
        <v>1</v>
      </c>
      <c r="AS619">
        <f t="shared" si="125"/>
        <v>5</v>
      </c>
      <c r="AT619">
        <f t="shared" si="126"/>
        <v>5</v>
      </c>
      <c r="AU619" s="3" t="s">
        <v>2184</v>
      </c>
      <c r="AV619">
        <f t="shared" si="127"/>
        <v>1</v>
      </c>
      <c r="AW619">
        <f t="shared" si="128"/>
        <v>0</v>
      </c>
      <c r="AX619">
        <f t="shared" si="129"/>
        <v>0</v>
      </c>
      <c r="AY619">
        <v>1.5</v>
      </c>
      <c r="AZ619" t="s">
        <v>60</v>
      </c>
      <c r="BA619" t="s">
        <v>61</v>
      </c>
      <c r="BB619" t="s">
        <v>8</v>
      </c>
    </row>
    <row r="620" ht="84" spans="1:54">
      <c r="A620" t="s">
        <v>2185</v>
      </c>
      <c r="B620" t="s">
        <v>2118</v>
      </c>
      <c r="C620" t="s">
        <v>56</v>
      </c>
      <c r="D620">
        <v>10</v>
      </c>
      <c r="E620">
        <v>0</v>
      </c>
      <c r="F620">
        <v>70.6</v>
      </c>
      <c r="G620" t="s">
        <v>57</v>
      </c>
      <c r="H620" s="3" t="s">
        <v>2186</v>
      </c>
      <c r="I620" s="3" t="s">
        <v>2187</v>
      </c>
      <c r="J620">
        <f t="shared" si="117"/>
        <v>1</v>
      </c>
      <c r="K620">
        <f t="shared" si="118"/>
        <v>1</v>
      </c>
      <c r="L620">
        <f t="shared" si="119"/>
        <v>0</v>
      </c>
      <c r="M620">
        <f t="shared" si="120"/>
        <v>0</v>
      </c>
      <c r="N620">
        <f t="shared" si="121"/>
        <v>1</v>
      </c>
      <c r="O620">
        <f t="shared" si="122"/>
        <v>1</v>
      </c>
      <c r="P620">
        <f t="shared" si="123"/>
        <v>0</v>
      </c>
      <c r="Q620">
        <f t="shared" si="124"/>
        <v>0</v>
      </c>
      <c r="R620">
        <v>0</v>
      </c>
      <c r="S620">
        <v>1</v>
      </c>
      <c r="T620">
        <v>0</v>
      </c>
      <c r="U620">
        <v>0</v>
      </c>
      <c r="V620">
        <v>1</v>
      </c>
      <c r="W620">
        <v>1</v>
      </c>
      <c r="X620">
        <v>0</v>
      </c>
      <c r="Y620">
        <v>0</v>
      </c>
      <c r="Z620">
        <v>0</v>
      </c>
      <c r="AA620">
        <v>0</v>
      </c>
      <c r="AB620">
        <v>0</v>
      </c>
      <c r="AC620">
        <v>0</v>
      </c>
      <c r="AD620">
        <v>0</v>
      </c>
      <c r="AE620">
        <v>0</v>
      </c>
      <c r="AF620">
        <v>0</v>
      </c>
      <c r="AG620">
        <v>0</v>
      </c>
      <c r="AH620">
        <v>1</v>
      </c>
      <c r="AI620">
        <v>1</v>
      </c>
      <c r="AJ620">
        <v>0</v>
      </c>
      <c r="AK620">
        <v>0</v>
      </c>
      <c r="AL620">
        <v>0</v>
      </c>
      <c r="AM620">
        <v>0</v>
      </c>
      <c r="AN620">
        <v>0</v>
      </c>
      <c r="AO620">
        <v>0</v>
      </c>
      <c r="AP620">
        <v>0</v>
      </c>
      <c r="AQ620">
        <v>0</v>
      </c>
      <c r="AR620">
        <v>0</v>
      </c>
      <c r="AS620">
        <f t="shared" si="125"/>
        <v>4</v>
      </c>
      <c r="AT620">
        <f t="shared" si="126"/>
        <v>5</v>
      </c>
      <c r="AU620" s="3" t="s">
        <v>2188</v>
      </c>
      <c r="AV620">
        <f t="shared" si="127"/>
        <v>1</v>
      </c>
      <c r="AW620">
        <f t="shared" si="128"/>
        <v>0</v>
      </c>
      <c r="AX620">
        <f t="shared" si="129"/>
        <v>0</v>
      </c>
      <c r="AY620">
        <v>8.5</v>
      </c>
      <c r="AZ620" t="s">
        <v>60</v>
      </c>
      <c r="BA620" t="s">
        <v>61</v>
      </c>
      <c r="BB620" t="s">
        <v>8</v>
      </c>
    </row>
    <row r="621" ht="51" spans="1:54">
      <c r="A621" t="s">
        <v>2189</v>
      </c>
      <c r="B621" t="s">
        <v>2118</v>
      </c>
      <c r="C621" t="s">
        <v>116</v>
      </c>
      <c r="D621">
        <v>9</v>
      </c>
      <c r="E621">
        <v>4</v>
      </c>
      <c r="F621">
        <v>18.3</v>
      </c>
      <c r="G621" t="s">
        <v>57</v>
      </c>
      <c r="H621" s="3" t="s">
        <v>2190</v>
      </c>
      <c r="I621" s="3" t="s">
        <v>2191</v>
      </c>
      <c r="J621">
        <f t="shared" si="117"/>
        <v>1</v>
      </c>
      <c r="K621">
        <f t="shared" si="118"/>
        <v>1</v>
      </c>
      <c r="L621">
        <f t="shared" si="119"/>
        <v>0</v>
      </c>
      <c r="M621">
        <f t="shared" si="120"/>
        <v>0</v>
      </c>
      <c r="N621">
        <f t="shared" si="121"/>
        <v>1</v>
      </c>
      <c r="O621">
        <f t="shared" si="122"/>
        <v>0</v>
      </c>
      <c r="P621">
        <f t="shared" si="123"/>
        <v>0</v>
      </c>
      <c r="Q621">
        <f t="shared" si="124"/>
        <v>0</v>
      </c>
      <c r="R621">
        <v>1</v>
      </c>
      <c r="S621">
        <v>0</v>
      </c>
      <c r="T621">
        <v>1</v>
      </c>
      <c r="U621">
        <v>1</v>
      </c>
      <c r="V621">
        <v>0</v>
      </c>
      <c r="W621">
        <v>0</v>
      </c>
      <c r="X621">
        <v>0</v>
      </c>
      <c r="Y621">
        <v>0</v>
      </c>
      <c r="Z621">
        <v>0</v>
      </c>
      <c r="AA621">
        <v>0</v>
      </c>
      <c r="AB621">
        <v>0</v>
      </c>
      <c r="AC621">
        <v>0</v>
      </c>
      <c r="AD621">
        <v>0</v>
      </c>
      <c r="AE621">
        <v>0</v>
      </c>
      <c r="AF621">
        <v>0</v>
      </c>
      <c r="AG621">
        <v>0</v>
      </c>
      <c r="AH621">
        <v>1</v>
      </c>
      <c r="AI621">
        <v>0</v>
      </c>
      <c r="AJ621">
        <v>0</v>
      </c>
      <c r="AK621">
        <v>0</v>
      </c>
      <c r="AL621">
        <v>0</v>
      </c>
      <c r="AM621">
        <v>0</v>
      </c>
      <c r="AN621">
        <v>0</v>
      </c>
      <c r="AO621">
        <v>0</v>
      </c>
      <c r="AP621">
        <v>0</v>
      </c>
      <c r="AQ621">
        <v>0</v>
      </c>
      <c r="AR621">
        <v>0</v>
      </c>
      <c r="AS621">
        <f t="shared" si="125"/>
        <v>3</v>
      </c>
      <c r="AT621">
        <f t="shared" si="126"/>
        <v>4</v>
      </c>
      <c r="AU621" s="3" t="s">
        <v>2192</v>
      </c>
      <c r="AV621">
        <f t="shared" si="127"/>
        <v>1</v>
      </c>
      <c r="AW621">
        <f t="shared" si="128"/>
        <v>0</v>
      </c>
      <c r="AX621">
        <f t="shared" si="129"/>
        <v>0</v>
      </c>
      <c r="AY621">
        <v>-0.5</v>
      </c>
      <c r="AZ621" t="s">
        <v>133</v>
      </c>
      <c r="BA621" t="s">
        <v>134</v>
      </c>
      <c r="BB621" t="s">
        <v>8</v>
      </c>
    </row>
    <row r="622" ht="84" spans="1:54">
      <c r="A622" t="s">
        <v>2193</v>
      </c>
      <c r="B622" t="s">
        <v>2118</v>
      </c>
      <c r="C622" t="s">
        <v>56</v>
      </c>
      <c r="D622">
        <v>0</v>
      </c>
      <c r="E622">
        <v>0</v>
      </c>
      <c r="F622">
        <v>47.5</v>
      </c>
      <c r="G622" t="s">
        <v>57</v>
      </c>
      <c r="H622" s="3" t="s">
        <v>2194</v>
      </c>
      <c r="I622" s="3" t="s">
        <v>2195</v>
      </c>
      <c r="J622">
        <f t="shared" si="117"/>
        <v>1</v>
      </c>
      <c r="K622">
        <f t="shared" si="118"/>
        <v>1</v>
      </c>
      <c r="L622">
        <f t="shared" si="119"/>
        <v>0</v>
      </c>
      <c r="M622">
        <f t="shared" si="120"/>
        <v>1</v>
      </c>
      <c r="N622">
        <f t="shared" si="121"/>
        <v>1</v>
      </c>
      <c r="O622">
        <f t="shared" si="122"/>
        <v>0</v>
      </c>
      <c r="P622">
        <f t="shared" si="123"/>
        <v>0</v>
      </c>
      <c r="Q622">
        <f t="shared" si="124"/>
        <v>1</v>
      </c>
      <c r="R622">
        <v>1</v>
      </c>
      <c r="S622">
        <v>0</v>
      </c>
      <c r="T622">
        <v>0</v>
      </c>
      <c r="U622">
        <v>1</v>
      </c>
      <c r="V622">
        <v>0</v>
      </c>
      <c r="W622">
        <v>0</v>
      </c>
      <c r="X622">
        <v>0</v>
      </c>
      <c r="Y622">
        <v>0</v>
      </c>
      <c r="Z622">
        <v>0</v>
      </c>
      <c r="AA622">
        <v>0</v>
      </c>
      <c r="AB622">
        <v>0</v>
      </c>
      <c r="AC622">
        <v>0</v>
      </c>
      <c r="AD622">
        <v>1</v>
      </c>
      <c r="AE622">
        <v>0</v>
      </c>
      <c r="AF622">
        <v>0</v>
      </c>
      <c r="AG622">
        <v>1</v>
      </c>
      <c r="AH622">
        <v>1</v>
      </c>
      <c r="AI622">
        <v>0</v>
      </c>
      <c r="AJ622">
        <v>0</v>
      </c>
      <c r="AK622">
        <v>0</v>
      </c>
      <c r="AL622">
        <v>0</v>
      </c>
      <c r="AM622">
        <v>0</v>
      </c>
      <c r="AN622">
        <v>0</v>
      </c>
      <c r="AO622">
        <v>0</v>
      </c>
      <c r="AP622">
        <v>0</v>
      </c>
      <c r="AQ622">
        <v>0</v>
      </c>
      <c r="AR622">
        <v>1</v>
      </c>
      <c r="AS622">
        <f t="shared" si="125"/>
        <v>5</v>
      </c>
      <c r="AT622">
        <f t="shared" si="126"/>
        <v>6</v>
      </c>
      <c r="AU622" s="3" t="s">
        <v>2196</v>
      </c>
      <c r="AV622">
        <f t="shared" si="127"/>
        <v>1</v>
      </c>
      <c r="AW622">
        <f t="shared" si="128"/>
        <v>0</v>
      </c>
      <c r="AX622">
        <f t="shared" si="129"/>
        <v>0</v>
      </c>
      <c r="AY622">
        <v>1</v>
      </c>
      <c r="AZ622" t="s">
        <v>60</v>
      </c>
      <c r="BA622" t="s">
        <v>61</v>
      </c>
      <c r="BB622" t="s">
        <v>8</v>
      </c>
    </row>
    <row r="623" ht="202" spans="1:54">
      <c r="A623" t="s">
        <v>2197</v>
      </c>
      <c r="B623" t="s">
        <v>2118</v>
      </c>
      <c r="C623" t="s">
        <v>56</v>
      </c>
      <c r="D623">
        <v>0</v>
      </c>
      <c r="E623">
        <v>0</v>
      </c>
      <c r="F623">
        <v>40.9</v>
      </c>
      <c r="G623" t="s">
        <v>57</v>
      </c>
      <c r="H623" s="3" t="s">
        <v>2198</v>
      </c>
      <c r="I623" s="3" t="s">
        <v>2199</v>
      </c>
      <c r="J623">
        <f t="shared" si="117"/>
        <v>0</v>
      </c>
      <c r="K623">
        <f t="shared" si="118"/>
        <v>0</v>
      </c>
      <c r="L623">
        <f t="shared" si="119"/>
        <v>0</v>
      </c>
      <c r="M623">
        <f t="shared" si="120"/>
        <v>1</v>
      </c>
      <c r="N623">
        <f t="shared" si="121"/>
        <v>1</v>
      </c>
      <c r="O623">
        <f t="shared" si="122"/>
        <v>0</v>
      </c>
      <c r="P623">
        <f t="shared" si="123"/>
        <v>0</v>
      </c>
      <c r="Q623">
        <f t="shared" si="124"/>
        <v>0</v>
      </c>
      <c r="R623">
        <v>0</v>
      </c>
      <c r="S623">
        <v>0</v>
      </c>
      <c r="T623">
        <v>0</v>
      </c>
      <c r="U623">
        <v>0</v>
      </c>
      <c r="V623">
        <v>0</v>
      </c>
      <c r="W623">
        <v>0</v>
      </c>
      <c r="X623">
        <v>0</v>
      </c>
      <c r="Y623">
        <v>0</v>
      </c>
      <c r="Z623">
        <v>0</v>
      </c>
      <c r="AA623">
        <v>0</v>
      </c>
      <c r="AB623">
        <v>0</v>
      </c>
      <c r="AC623">
        <v>0</v>
      </c>
      <c r="AD623">
        <v>1</v>
      </c>
      <c r="AE623">
        <v>0</v>
      </c>
      <c r="AF623">
        <v>0</v>
      </c>
      <c r="AG623">
        <v>0</v>
      </c>
      <c r="AH623">
        <v>1</v>
      </c>
      <c r="AI623">
        <v>0</v>
      </c>
      <c r="AJ623">
        <v>0</v>
      </c>
      <c r="AK623">
        <v>0</v>
      </c>
      <c r="AL623">
        <v>0</v>
      </c>
      <c r="AM623">
        <v>0</v>
      </c>
      <c r="AN623">
        <v>0</v>
      </c>
      <c r="AO623">
        <v>0</v>
      </c>
      <c r="AP623">
        <v>0</v>
      </c>
      <c r="AQ623">
        <v>0</v>
      </c>
      <c r="AR623">
        <v>0</v>
      </c>
      <c r="AS623">
        <f t="shared" si="125"/>
        <v>2</v>
      </c>
      <c r="AT623">
        <f t="shared" si="126"/>
        <v>2</v>
      </c>
      <c r="AU623" s="3" t="s">
        <v>1322</v>
      </c>
      <c r="AV623">
        <f t="shared" si="127"/>
        <v>1</v>
      </c>
      <c r="AW623">
        <f t="shared" si="128"/>
        <v>0</v>
      </c>
      <c r="AX623">
        <f t="shared" si="129"/>
        <v>0</v>
      </c>
      <c r="AY623">
        <v>2.5</v>
      </c>
      <c r="AZ623" t="s">
        <v>60</v>
      </c>
      <c r="BA623" t="s">
        <v>61</v>
      </c>
      <c r="BB623" t="s">
        <v>8</v>
      </c>
    </row>
    <row r="624" ht="135" spans="1:54">
      <c r="A624" t="s">
        <v>2200</v>
      </c>
      <c r="B624" t="s">
        <v>2118</v>
      </c>
      <c r="C624" t="s">
        <v>56</v>
      </c>
      <c r="D624">
        <v>18</v>
      </c>
      <c r="E624">
        <v>0</v>
      </c>
      <c r="F624">
        <v>64</v>
      </c>
      <c r="G624" t="s">
        <v>57</v>
      </c>
      <c r="H624" s="3" t="s">
        <v>2201</v>
      </c>
      <c r="I624" s="3" t="s">
        <v>2202</v>
      </c>
      <c r="J624">
        <f t="shared" si="117"/>
        <v>1</v>
      </c>
      <c r="K624">
        <f t="shared" si="118"/>
        <v>1</v>
      </c>
      <c r="L624">
        <f t="shared" si="119"/>
        <v>0</v>
      </c>
      <c r="M624">
        <f t="shared" si="120"/>
        <v>0</v>
      </c>
      <c r="N624">
        <f t="shared" si="121"/>
        <v>0</v>
      </c>
      <c r="O624">
        <f t="shared" si="122"/>
        <v>0</v>
      </c>
      <c r="P624">
        <f t="shared" si="123"/>
        <v>0</v>
      </c>
      <c r="Q624">
        <f t="shared" si="124"/>
        <v>0</v>
      </c>
      <c r="R624">
        <v>1</v>
      </c>
      <c r="S624">
        <v>0</v>
      </c>
      <c r="T624">
        <v>1</v>
      </c>
      <c r="U624">
        <v>1</v>
      </c>
      <c r="V624">
        <v>0</v>
      </c>
      <c r="W624">
        <v>1</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f t="shared" si="125"/>
        <v>2</v>
      </c>
      <c r="AT624">
        <f t="shared" si="126"/>
        <v>4</v>
      </c>
      <c r="AU624" s="3" t="s">
        <v>2203</v>
      </c>
      <c r="AV624">
        <f t="shared" si="127"/>
        <v>1</v>
      </c>
      <c r="AW624">
        <f t="shared" si="128"/>
        <v>0</v>
      </c>
      <c r="AX624">
        <f t="shared" si="129"/>
        <v>0</v>
      </c>
      <c r="AY624">
        <v>2.5</v>
      </c>
      <c r="AZ624" t="s">
        <v>60</v>
      </c>
      <c r="BA624" t="s">
        <v>61</v>
      </c>
      <c r="BB624" t="s">
        <v>8</v>
      </c>
    </row>
    <row r="625" ht="152" spans="1:54">
      <c r="A625" t="s">
        <v>2204</v>
      </c>
      <c r="B625" t="s">
        <v>2118</v>
      </c>
      <c r="C625" t="s">
        <v>56</v>
      </c>
      <c r="D625">
        <v>16</v>
      </c>
      <c r="E625">
        <v>0</v>
      </c>
      <c r="F625">
        <v>41.6</v>
      </c>
      <c r="G625" t="s">
        <v>57</v>
      </c>
      <c r="H625" s="3" t="s">
        <v>2205</v>
      </c>
      <c r="I625" s="3" t="s">
        <v>2206</v>
      </c>
      <c r="J625">
        <f t="shared" si="117"/>
        <v>0</v>
      </c>
      <c r="K625">
        <f t="shared" si="118"/>
        <v>0</v>
      </c>
      <c r="L625">
        <f t="shared" si="119"/>
        <v>0</v>
      </c>
      <c r="M625">
        <f t="shared" si="120"/>
        <v>0</v>
      </c>
      <c r="N625">
        <f t="shared" si="121"/>
        <v>1</v>
      </c>
      <c r="O625">
        <f t="shared" si="122"/>
        <v>1</v>
      </c>
      <c r="P625">
        <f t="shared" si="123"/>
        <v>0</v>
      </c>
      <c r="Q625">
        <f t="shared" si="124"/>
        <v>0</v>
      </c>
      <c r="R625">
        <v>0</v>
      </c>
      <c r="S625">
        <v>0</v>
      </c>
      <c r="T625">
        <v>0</v>
      </c>
      <c r="U625">
        <v>0</v>
      </c>
      <c r="V625">
        <v>0</v>
      </c>
      <c r="W625">
        <v>0</v>
      </c>
      <c r="X625">
        <v>0</v>
      </c>
      <c r="Y625">
        <v>0</v>
      </c>
      <c r="Z625">
        <v>0</v>
      </c>
      <c r="AA625">
        <v>0</v>
      </c>
      <c r="AB625">
        <v>0</v>
      </c>
      <c r="AC625">
        <v>0</v>
      </c>
      <c r="AD625">
        <v>0</v>
      </c>
      <c r="AE625">
        <v>0</v>
      </c>
      <c r="AF625">
        <v>0</v>
      </c>
      <c r="AG625">
        <v>0</v>
      </c>
      <c r="AH625">
        <v>1</v>
      </c>
      <c r="AI625">
        <v>1</v>
      </c>
      <c r="AJ625">
        <v>0</v>
      </c>
      <c r="AK625">
        <v>0</v>
      </c>
      <c r="AL625">
        <v>0</v>
      </c>
      <c r="AM625">
        <v>0</v>
      </c>
      <c r="AN625">
        <v>0</v>
      </c>
      <c r="AO625">
        <v>0</v>
      </c>
      <c r="AP625">
        <v>0</v>
      </c>
      <c r="AQ625">
        <v>0</v>
      </c>
      <c r="AR625">
        <v>0</v>
      </c>
      <c r="AS625">
        <f t="shared" si="125"/>
        <v>2</v>
      </c>
      <c r="AT625">
        <f t="shared" si="126"/>
        <v>2</v>
      </c>
      <c r="AU625" s="3" t="s">
        <v>103</v>
      </c>
      <c r="AV625">
        <f t="shared" si="127"/>
        <v>1</v>
      </c>
      <c r="AW625">
        <f t="shared" si="128"/>
        <v>0</v>
      </c>
      <c r="AX625">
        <f t="shared" si="129"/>
        <v>0</v>
      </c>
      <c r="AY625">
        <v>5.5</v>
      </c>
      <c r="AZ625" t="s">
        <v>60</v>
      </c>
      <c r="BA625" t="s">
        <v>61</v>
      </c>
      <c r="BB625" t="s">
        <v>8</v>
      </c>
    </row>
    <row r="626" ht="135" spans="1:54">
      <c r="A626" t="s">
        <v>2207</v>
      </c>
      <c r="B626" t="s">
        <v>2118</v>
      </c>
      <c r="C626" t="s">
        <v>56</v>
      </c>
      <c r="D626">
        <v>15</v>
      </c>
      <c r="E626">
        <v>4</v>
      </c>
      <c r="F626">
        <v>39.3</v>
      </c>
      <c r="G626" t="s">
        <v>57</v>
      </c>
      <c r="H626" s="3" t="s">
        <v>2208</v>
      </c>
      <c r="I626" s="3" t="s">
        <v>2209</v>
      </c>
      <c r="J626">
        <f t="shared" si="117"/>
        <v>0</v>
      </c>
      <c r="K626">
        <f t="shared" si="118"/>
        <v>1</v>
      </c>
      <c r="L626">
        <f t="shared" si="119"/>
        <v>0</v>
      </c>
      <c r="M626">
        <f t="shared" si="120"/>
        <v>1</v>
      </c>
      <c r="N626">
        <f t="shared" si="121"/>
        <v>1</v>
      </c>
      <c r="O626">
        <f t="shared" si="122"/>
        <v>0</v>
      </c>
      <c r="P626">
        <f t="shared" si="123"/>
        <v>0</v>
      </c>
      <c r="Q626">
        <f t="shared" si="124"/>
        <v>0</v>
      </c>
      <c r="R626">
        <v>0</v>
      </c>
      <c r="S626">
        <v>0</v>
      </c>
      <c r="T626">
        <v>0</v>
      </c>
      <c r="U626">
        <v>1</v>
      </c>
      <c r="V626">
        <v>0</v>
      </c>
      <c r="W626">
        <v>0</v>
      </c>
      <c r="X626">
        <v>0</v>
      </c>
      <c r="Y626">
        <v>1</v>
      </c>
      <c r="Z626">
        <v>0</v>
      </c>
      <c r="AA626">
        <v>0</v>
      </c>
      <c r="AB626">
        <v>0</v>
      </c>
      <c r="AC626">
        <v>0</v>
      </c>
      <c r="AD626">
        <v>0</v>
      </c>
      <c r="AE626">
        <v>0</v>
      </c>
      <c r="AF626">
        <v>1</v>
      </c>
      <c r="AG626">
        <v>0</v>
      </c>
      <c r="AH626">
        <v>1</v>
      </c>
      <c r="AI626">
        <v>0</v>
      </c>
      <c r="AJ626">
        <v>0</v>
      </c>
      <c r="AK626">
        <v>0</v>
      </c>
      <c r="AL626">
        <v>0</v>
      </c>
      <c r="AM626">
        <v>0</v>
      </c>
      <c r="AN626">
        <v>0</v>
      </c>
      <c r="AO626">
        <v>0</v>
      </c>
      <c r="AP626">
        <v>0</v>
      </c>
      <c r="AQ626">
        <v>0</v>
      </c>
      <c r="AR626">
        <v>0</v>
      </c>
      <c r="AS626">
        <f t="shared" si="125"/>
        <v>3</v>
      </c>
      <c r="AT626">
        <f t="shared" si="126"/>
        <v>4</v>
      </c>
      <c r="AU626" s="3" t="s">
        <v>2210</v>
      </c>
      <c r="AV626">
        <f t="shared" si="127"/>
        <v>1</v>
      </c>
      <c r="AW626">
        <f t="shared" si="128"/>
        <v>0</v>
      </c>
      <c r="AX626">
        <f t="shared" si="129"/>
        <v>0</v>
      </c>
      <c r="AY626">
        <v>-3</v>
      </c>
      <c r="AZ626" t="s">
        <v>133</v>
      </c>
      <c r="BA626" t="s">
        <v>134</v>
      </c>
      <c r="BB626" t="s">
        <v>8</v>
      </c>
    </row>
    <row r="627" ht="409.5" spans="1:54">
      <c r="A627" t="s">
        <v>2211</v>
      </c>
      <c r="B627" t="s">
        <v>2118</v>
      </c>
      <c r="C627" t="s">
        <v>56</v>
      </c>
      <c r="D627">
        <v>20</v>
      </c>
      <c r="E627">
        <v>1</v>
      </c>
      <c r="F627">
        <v>46.7</v>
      </c>
      <c r="G627" t="s">
        <v>57</v>
      </c>
      <c r="H627" s="3" t="s">
        <v>2212</v>
      </c>
      <c r="I627" s="3" t="s">
        <v>2213</v>
      </c>
      <c r="J627">
        <f t="shared" si="117"/>
        <v>1</v>
      </c>
      <c r="K627">
        <f t="shared" si="118"/>
        <v>1</v>
      </c>
      <c r="L627">
        <f t="shared" si="119"/>
        <v>0</v>
      </c>
      <c r="M627">
        <f t="shared" si="120"/>
        <v>1</v>
      </c>
      <c r="N627">
        <f t="shared" si="121"/>
        <v>1</v>
      </c>
      <c r="O627">
        <f t="shared" si="122"/>
        <v>0</v>
      </c>
      <c r="P627">
        <f t="shared" si="123"/>
        <v>0</v>
      </c>
      <c r="Q627">
        <f t="shared" si="124"/>
        <v>1</v>
      </c>
      <c r="R627">
        <v>1</v>
      </c>
      <c r="S627">
        <v>0</v>
      </c>
      <c r="T627">
        <v>0</v>
      </c>
      <c r="U627">
        <v>0</v>
      </c>
      <c r="V627">
        <v>1</v>
      </c>
      <c r="W627">
        <v>0</v>
      </c>
      <c r="X627">
        <v>0</v>
      </c>
      <c r="Y627">
        <v>1</v>
      </c>
      <c r="Z627">
        <v>0</v>
      </c>
      <c r="AA627">
        <v>0</v>
      </c>
      <c r="AB627">
        <v>0</v>
      </c>
      <c r="AC627">
        <v>0</v>
      </c>
      <c r="AD627">
        <v>1</v>
      </c>
      <c r="AE627">
        <v>0</v>
      </c>
      <c r="AF627">
        <v>1</v>
      </c>
      <c r="AG627">
        <v>1</v>
      </c>
      <c r="AH627">
        <v>0</v>
      </c>
      <c r="AI627">
        <v>0</v>
      </c>
      <c r="AJ627">
        <v>0</v>
      </c>
      <c r="AK627">
        <v>0</v>
      </c>
      <c r="AL627">
        <v>0</v>
      </c>
      <c r="AM627">
        <v>0</v>
      </c>
      <c r="AN627">
        <v>0</v>
      </c>
      <c r="AO627">
        <v>0</v>
      </c>
      <c r="AP627">
        <v>0</v>
      </c>
      <c r="AQ627">
        <v>0</v>
      </c>
      <c r="AR627">
        <v>1</v>
      </c>
      <c r="AS627">
        <f t="shared" si="125"/>
        <v>5</v>
      </c>
      <c r="AT627">
        <f t="shared" si="126"/>
        <v>7</v>
      </c>
      <c r="AU627" s="3" t="s">
        <v>2214</v>
      </c>
      <c r="AV627">
        <f t="shared" si="127"/>
        <v>1</v>
      </c>
      <c r="AW627">
        <f t="shared" si="128"/>
        <v>0</v>
      </c>
      <c r="AX627">
        <f t="shared" si="129"/>
        <v>0</v>
      </c>
      <c r="AY627">
        <v>4.5</v>
      </c>
      <c r="AZ627" t="s">
        <v>60</v>
      </c>
      <c r="BA627" t="s">
        <v>61</v>
      </c>
      <c r="BB627" t="s">
        <v>8</v>
      </c>
    </row>
    <row r="628" ht="370" spans="1:54">
      <c r="A628" t="s">
        <v>2215</v>
      </c>
      <c r="B628" t="s">
        <v>2118</v>
      </c>
      <c r="C628" t="s">
        <v>56</v>
      </c>
      <c r="D628">
        <v>74</v>
      </c>
      <c r="E628">
        <v>13</v>
      </c>
      <c r="F628">
        <v>47.6</v>
      </c>
      <c r="G628" t="s">
        <v>57</v>
      </c>
      <c r="H628" s="3" t="s">
        <v>2216</v>
      </c>
      <c r="I628" s="3" t="s">
        <v>2217</v>
      </c>
      <c r="J628">
        <f t="shared" si="117"/>
        <v>1</v>
      </c>
      <c r="K628">
        <f t="shared" si="118"/>
        <v>1</v>
      </c>
      <c r="L628">
        <f t="shared" si="119"/>
        <v>0</v>
      </c>
      <c r="M628">
        <f t="shared" si="120"/>
        <v>0</v>
      </c>
      <c r="N628">
        <f t="shared" si="121"/>
        <v>0</v>
      </c>
      <c r="O628">
        <f t="shared" si="122"/>
        <v>1</v>
      </c>
      <c r="P628">
        <f t="shared" si="123"/>
        <v>0</v>
      </c>
      <c r="Q628">
        <f t="shared" si="124"/>
        <v>0</v>
      </c>
      <c r="R628">
        <v>1</v>
      </c>
      <c r="S628">
        <v>0</v>
      </c>
      <c r="T628">
        <v>1</v>
      </c>
      <c r="U628">
        <v>1</v>
      </c>
      <c r="V628">
        <v>0</v>
      </c>
      <c r="W628">
        <v>1</v>
      </c>
      <c r="X628">
        <v>0</v>
      </c>
      <c r="Y628">
        <v>0</v>
      </c>
      <c r="Z628">
        <v>0</v>
      </c>
      <c r="AA628">
        <v>0</v>
      </c>
      <c r="AB628">
        <v>0</v>
      </c>
      <c r="AC628">
        <v>0</v>
      </c>
      <c r="AD628">
        <v>0</v>
      </c>
      <c r="AE628">
        <v>0</v>
      </c>
      <c r="AF628">
        <v>0</v>
      </c>
      <c r="AG628">
        <v>0</v>
      </c>
      <c r="AH628">
        <v>0</v>
      </c>
      <c r="AI628">
        <v>1</v>
      </c>
      <c r="AJ628">
        <v>0</v>
      </c>
      <c r="AK628">
        <v>0</v>
      </c>
      <c r="AL628">
        <v>0</v>
      </c>
      <c r="AM628">
        <v>0</v>
      </c>
      <c r="AN628">
        <v>0</v>
      </c>
      <c r="AO628">
        <v>0</v>
      </c>
      <c r="AP628">
        <v>0</v>
      </c>
      <c r="AQ628">
        <v>0</v>
      </c>
      <c r="AR628">
        <v>0</v>
      </c>
      <c r="AS628">
        <f t="shared" si="125"/>
        <v>3</v>
      </c>
      <c r="AT628">
        <f t="shared" si="126"/>
        <v>5</v>
      </c>
      <c r="AU628" s="3" t="s">
        <v>2218</v>
      </c>
      <c r="AV628">
        <f t="shared" si="127"/>
        <v>1</v>
      </c>
      <c r="AW628">
        <f t="shared" si="128"/>
        <v>0</v>
      </c>
      <c r="AX628">
        <f t="shared" si="129"/>
        <v>0</v>
      </c>
      <c r="AY628">
        <v>2</v>
      </c>
      <c r="AZ628" t="s">
        <v>60</v>
      </c>
      <c r="BA628" t="s">
        <v>61</v>
      </c>
      <c r="BB628" t="s">
        <v>8</v>
      </c>
    </row>
    <row r="629" ht="135" spans="1:54">
      <c r="A629" t="s">
        <v>2219</v>
      </c>
      <c r="B629" t="s">
        <v>2118</v>
      </c>
      <c r="C629" t="s">
        <v>56</v>
      </c>
      <c r="D629">
        <v>13</v>
      </c>
      <c r="E629">
        <v>3</v>
      </c>
      <c r="F629">
        <v>42.2</v>
      </c>
      <c r="G629" t="s">
        <v>57</v>
      </c>
      <c r="H629" s="3" t="s">
        <v>2220</v>
      </c>
      <c r="I629" s="3" t="s">
        <v>2221</v>
      </c>
      <c r="J629">
        <f t="shared" si="117"/>
        <v>0</v>
      </c>
      <c r="K629">
        <f t="shared" si="118"/>
        <v>1</v>
      </c>
      <c r="L629">
        <f t="shared" si="119"/>
        <v>0</v>
      </c>
      <c r="M629">
        <f t="shared" si="120"/>
        <v>0</v>
      </c>
      <c r="N629">
        <f t="shared" si="121"/>
        <v>0</v>
      </c>
      <c r="O629">
        <f t="shared" si="122"/>
        <v>0</v>
      </c>
      <c r="P629">
        <f t="shared" si="123"/>
        <v>0</v>
      </c>
      <c r="Q629">
        <f t="shared" si="124"/>
        <v>0</v>
      </c>
      <c r="R629">
        <v>0</v>
      </c>
      <c r="S629">
        <v>0</v>
      </c>
      <c r="T629">
        <v>0</v>
      </c>
      <c r="U629">
        <v>1</v>
      </c>
      <c r="V629">
        <v>1</v>
      </c>
      <c r="W629">
        <v>1</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f t="shared" si="125"/>
        <v>1</v>
      </c>
      <c r="AT629">
        <f t="shared" si="126"/>
        <v>3</v>
      </c>
      <c r="AU629" s="3" t="s">
        <v>1681</v>
      </c>
      <c r="AV629">
        <f t="shared" si="127"/>
        <v>1</v>
      </c>
      <c r="AW629">
        <f t="shared" si="128"/>
        <v>0</v>
      </c>
      <c r="AX629">
        <f t="shared" si="129"/>
        <v>0</v>
      </c>
      <c r="AY629">
        <v>3</v>
      </c>
      <c r="AZ629" t="s">
        <v>60</v>
      </c>
      <c r="BA629" t="s">
        <v>61</v>
      </c>
      <c r="BB629" t="s">
        <v>8</v>
      </c>
    </row>
    <row r="630" ht="118" spans="1:54">
      <c r="A630" t="s">
        <v>2222</v>
      </c>
      <c r="B630" t="s">
        <v>2118</v>
      </c>
      <c r="C630" t="s">
        <v>116</v>
      </c>
      <c r="D630">
        <v>62</v>
      </c>
      <c r="E630">
        <v>0</v>
      </c>
      <c r="F630">
        <v>99.3</v>
      </c>
      <c r="G630" t="s">
        <v>106</v>
      </c>
      <c r="H630" s="3" t="s">
        <v>2223</v>
      </c>
      <c r="I630" s="3" t="s">
        <v>2224</v>
      </c>
      <c r="J630">
        <f t="shared" si="117"/>
        <v>1</v>
      </c>
      <c r="K630">
        <f t="shared" si="118"/>
        <v>1</v>
      </c>
      <c r="L630">
        <f t="shared" si="119"/>
        <v>1</v>
      </c>
      <c r="M630">
        <f t="shared" si="120"/>
        <v>0</v>
      </c>
      <c r="N630">
        <f t="shared" si="121"/>
        <v>1</v>
      </c>
      <c r="O630">
        <f t="shared" si="122"/>
        <v>0</v>
      </c>
      <c r="P630">
        <f t="shared" si="123"/>
        <v>0</v>
      </c>
      <c r="Q630">
        <f t="shared" si="124"/>
        <v>0</v>
      </c>
      <c r="R630">
        <v>1</v>
      </c>
      <c r="S630">
        <v>1</v>
      </c>
      <c r="T630">
        <v>0</v>
      </c>
      <c r="U630">
        <v>0</v>
      </c>
      <c r="V630">
        <v>0</v>
      </c>
      <c r="W630">
        <v>1</v>
      </c>
      <c r="X630">
        <v>0</v>
      </c>
      <c r="Y630">
        <v>0</v>
      </c>
      <c r="Z630">
        <v>1</v>
      </c>
      <c r="AA630">
        <v>0</v>
      </c>
      <c r="AB630">
        <v>0</v>
      </c>
      <c r="AC630">
        <v>0</v>
      </c>
      <c r="AD630">
        <v>0</v>
      </c>
      <c r="AE630">
        <v>0</v>
      </c>
      <c r="AF630">
        <v>0</v>
      </c>
      <c r="AG630">
        <v>0</v>
      </c>
      <c r="AH630">
        <v>1</v>
      </c>
      <c r="AI630">
        <v>0</v>
      </c>
      <c r="AJ630">
        <v>0</v>
      </c>
      <c r="AK630">
        <v>0</v>
      </c>
      <c r="AL630">
        <v>0</v>
      </c>
      <c r="AM630">
        <v>0</v>
      </c>
      <c r="AN630">
        <v>0</v>
      </c>
      <c r="AO630">
        <v>0</v>
      </c>
      <c r="AP630">
        <v>0</v>
      </c>
      <c r="AQ630">
        <v>0</v>
      </c>
      <c r="AR630">
        <v>0</v>
      </c>
      <c r="AS630">
        <f t="shared" si="125"/>
        <v>4</v>
      </c>
      <c r="AT630">
        <f t="shared" si="126"/>
        <v>5</v>
      </c>
      <c r="AU630" s="3" t="s">
        <v>2225</v>
      </c>
      <c r="AV630">
        <f t="shared" si="127"/>
        <v>1</v>
      </c>
      <c r="AW630">
        <f t="shared" si="128"/>
        <v>0</v>
      </c>
      <c r="AX630">
        <f t="shared" si="129"/>
        <v>0</v>
      </c>
      <c r="AY630">
        <v>6.5</v>
      </c>
      <c r="AZ630" t="s">
        <v>60</v>
      </c>
      <c r="BA630" t="s">
        <v>61</v>
      </c>
      <c r="BB630" t="s">
        <v>8</v>
      </c>
    </row>
    <row r="631" ht="409.5" spans="1:54">
      <c r="A631" t="s">
        <v>2226</v>
      </c>
      <c r="B631" t="s">
        <v>2118</v>
      </c>
      <c r="C631" t="s">
        <v>56</v>
      </c>
      <c r="D631">
        <v>3</v>
      </c>
      <c r="E631">
        <v>0</v>
      </c>
      <c r="F631">
        <v>60</v>
      </c>
      <c r="G631" t="s">
        <v>106</v>
      </c>
      <c r="H631" s="3" t="s">
        <v>2227</v>
      </c>
      <c r="I631" s="3" t="s">
        <v>2228</v>
      </c>
      <c r="J631">
        <f t="shared" si="117"/>
        <v>0</v>
      </c>
      <c r="K631">
        <f t="shared" si="118"/>
        <v>1</v>
      </c>
      <c r="L631">
        <f t="shared" si="119"/>
        <v>1</v>
      </c>
      <c r="M631">
        <f t="shared" si="120"/>
        <v>1</v>
      </c>
      <c r="N631">
        <f t="shared" si="121"/>
        <v>0</v>
      </c>
      <c r="O631">
        <f t="shared" si="122"/>
        <v>0</v>
      </c>
      <c r="P631">
        <f t="shared" si="123"/>
        <v>0</v>
      </c>
      <c r="Q631">
        <f t="shared" si="124"/>
        <v>0</v>
      </c>
      <c r="R631">
        <v>0</v>
      </c>
      <c r="S631">
        <v>0</v>
      </c>
      <c r="T631">
        <v>0</v>
      </c>
      <c r="U631">
        <v>1</v>
      </c>
      <c r="V631">
        <v>0</v>
      </c>
      <c r="W631">
        <v>0</v>
      </c>
      <c r="X631">
        <v>0</v>
      </c>
      <c r="Y631">
        <v>0</v>
      </c>
      <c r="Z631">
        <v>1</v>
      </c>
      <c r="AA631">
        <v>1</v>
      </c>
      <c r="AB631">
        <v>0</v>
      </c>
      <c r="AC631">
        <v>1</v>
      </c>
      <c r="AD631">
        <v>1</v>
      </c>
      <c r="AE631">
        <v>0</v>
      </c>
      <c r="AF631">
        <v>1</v>
      </c>
      <c r="AG631">
        <v>0</v>
      </c>
      <c r="AH631">
        <v>0</v>
      </c>
      <c r="AI631">
        <v>0</v>
      </c>
      <c r="AJ631">
        <v>0</v>
      </c>
      <c r="AK631">
        <v>0</v>
      </c>
      <c r="AL631">
        <v>0</v>
      </c>
      <c r="AM631">
        <v>0</v>
      </c>
      <c r="AN631">
        <v>0</v>
      </c>
      <c r="AO631">
        <v>0</v>
      </c>
      <c r="AP631">
        <v>0</v>
      </c>
      <c r="AQ631">
        <v>0</v>
      </c>
      <c r="AR631">
        <v>0</v>
      </c>
      <c r="AS631">
        <f t="shared" si="125"/>
        <v>3</v>
      </c>
      <c r="AT631">
        <f t="shared" si="126"/>
        <v>6</v>
      </c>
      <c r="AU631" s="3" t="s">
        <v>2229</v>
      </c>
      <c r="AV631">
        <f t="shared" si="127"/>
        <v>1</v>
      </c>
      <c r="AW631">
        <f t="shared" si="128"/>
        <v>0</v>
      </c>
      <c r="AX631">
        <f t="shared" si="129"/>
        <v>0</v>
      </c>
      <c r="AY631">
        <v>4.5</v>
      </c>
      <c r="AZ631" t="s">
        <v>60</v>
      </c>
      <c r="BA631" t="s">
        <v>61</v>
      </c>
      <c r="BB631" t="s">
        <v>8</v>
      </c>
    </row>
    <row r="632" ht="51" spans="1:54">
      <c r="A632" t="s">
        <v>2230</v>
      </c>
      <c r="B632" t="s">
        <v>2118</v>
      </c>
      <c r="C632" t="s">
        <v>56</v>
      </c>
      <c r="D632">
        <v>0</v>
      </c>
      <c r="E632">
        <v>0</v>
      </c>
      <c r="F632">
        <v>11.2</v>
      </c>
      <c r="G632" t="s">
        <v>106</v>
      </c>
      <c r="H632" s="3" t="s">
        <v>2231</v>
      </c>
      <c r="I632" s="3" t="s">
        <v>2232</v>
      </c>
      <c r="J632">
        <f t="shared" si="117"/>
        <v>0</v>
      </c>
      <c r="K632">
        <f t="shared" si="118"/>
        <v>0</v>
      </c>
      <c r="L632">
        <f t="shared" si="119"/>
        <v>0</v>
      </c>
      <c r="M632">
        <f t="shared" si="120"/>
        <v>0</v>
      </c>
      <c r="N632">
        <f t="shared" si="121"/>
        <v>1</v>
      </c>
      <c r="O632">
        <f t="shared" si="122"/>
        <v>0</v>
      </c>
      <c r="P632">
        <f t="shared" si="123"/>
        <v>0</v>
      </c>
      <c r="Q632">
        <f t="shared" si="124"/>
        <v>0</v>
      </c>
      <c r="R632">
        <v>0</v>
      </c>
      <c r="S632">
        <v>0</v>
      </c>
      <c r="T632">
        <v>0</v>
      </c>
      <c r="U632">
        <v>0</v>
      </c>
      <c r="V632">
        <v>0</v>
      </c>
      <c r="W632">
        <v>0</v>
      </c>
      <c r="X632">
        <v>0</v>
      </c>
      <c r="Y632">
        <v>0</v>
      </c>
      <c r="Z632">
        <v>0</v>
      </c>
      <c r="AA632">
        <v>0</v>
      </c>
      <c r="AB632">
        <v>0</v>
      </c>
      <c r="AC632">
        <v>0</v>
      </c>
      <c r="AD632">
        <v>0</v>
      </c>
      <c r="AE632">
        <v>0</v>
      </c>
      <c r="AF632">
        <v>0</v>
      </c>
      <c r="AG632">
        <v>0</v>
      </c>
      <c r="AH632">
        <v>1</v>
      </c>
      <c r="AI632">
        <v>0</v>
      </c>
      <c r="AJ632">
        <v>0</v>
      </c>
      <c r="AK632">
        <v>0</v>
      </c>
      <c r="AL632">
        <v>0</v>
      </c>
      <c r="AM632">
        <v>0</v>
      </c>
      <c r="AN632">
        <v>0</v>
      </c>
      <c r="AO632">
        <v>0</v>
      </c>
      <c r="AP632">
        <v>0</v>
      </c>
      <c r="AQ632">
        <v>0</v>
      </c>
      <c r="AR632">
        <v>0</v>
      </c>
      <c r="AS632">
        <f t="shared" si="125"/>
        <v>1</v>
      </c>
      <c r="AT632">
        <f t="shared" si="126"/>
        <v>1</v>
      </c>
      <c r="AU632" s="3" t="s">
        <v>129</v>
      </c>
      <c r="AV632">
        <f t="shared" si="127"/>
        <v>1</v>
      </c>
      <c r="AW632">
        <f t="shared" si="128"/>
        <v>0</v>
      </c>
      <c r="AX632">
        <f t="shared" si="129"/>
        <v>0</v>
      </c>
      <c r="AY632">
        <v>7</v>
      </c>
      <c r="AZ632" t="s">
        <v>60</v>
      </c>
      <c r="BA632" t="s">
        <v>61</v>
      </c>
      <c r="BB632" t="s">
        <v>8</v>
      </c>
    </row>
    <row r="633" ht="51" spans="1:54">
      <c r="A633" t="s">
        <v>2233</v>
      </c>
      <c r="B633" t="s">
        <v>2118</v>
      </c>
      <c r="C633" t="s">
        <v>116</v>
      </c>
      <c r="D633">
        <v>13</v>
      </c>
      <c r="E633">
        <v>0</v>
      </c>
      <c r="F633">
        <v>32.8</v>
      </c>
      <c r="G633" t="s">
        <v>106</v>
      </c>
      <c r="H633" s="3" t="s">
        <v>2234</v>
      </c>
      <c r="I633" s="3" t="s">
        <v>2235</v>
      </c>
      <c r="J633">
        <f t="shared" si="117"/>
        <v>1</v>
      </c>
      <c r="K633">
        <f t="shared" si="118"/>
        <v>1</v>
      </c>
      <c r="L633">
        <f t="shared" si="119"/>
        <v>0</v>
      </c>
      <c r="M633">
        <f t="shared" si="120"/>
        <v>0</v>
      </c>
      <c r="N633">
        <f t="shared" si="121"/>
        <v>0</v>
      </c>
      <c r="O633">
        <f t="shared" si="122"/>
        <v>0</v>
      </c>
      <c r="P633">
        <f t="shared" si="123"/>
        <v>0</v>
      </c>
      <c r="Q633">
        <f t="shared" si="124"/>
        <v>0</v>
      </c>
      <c r="R633">
        <v>1</v>
      </c>
      <c r="S633">
        <v>0</v>
      </c>
      <c r="T633">
        <v>1</v>
      </c>
      <c r="U633">
        <v>0</v>
      </c>
      <c r="V633">
        <v>1</v>
      </c>
      <c r="W633">
        <v>1</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f t="shared" si="125"/>
        <v>2</v>
      </c>
      <c r="AT633">
        <f t="shared" si="126"/>
        <v>4</v>
      </c>
      <c r="AU633" s="3" t="s">
        <v>2236</v>
      </c>
      <c r="AV633">
        <f t="shared" si="127"/>
        <v>1</v>
      </c>
      <c r="AW633">
        <f t="shared" si="128"/>
        <v>0</v>
      </c>
      <c r="AX633">
        <f t="shared" si="129"/>
        <v>0</v>
      </c>
      <c r="AY633">
        <v>2</v>
      </c>
      <c r="AZ633" t="s">
        <v>60</v>
      </c>
      <c r="BA633" t="s">
        <v>61</v>
      </c>
      <c r="BB633" t="s">
        <v>8</v>
      </c>
    </row>
    <row r="634" ht="34" spans="1:54">
      <c r="A634" t="s">
        <v>2237</v>
      </c>
      <c r="B634" t="s">
        <v>2118</v>
      </c>
      <c r="C634" t="s">
        <v>116</v>
      </c>
      <c r="D634">
        <v>4</v>
      </c>
      <c r="E634">
        <v>0</v>
      </c>
      <c r="F634">
        <v>10.1</v>
      </c>
      <c r="G634" t="s">
        <v>106</v>
      </c>
      <c r="H634" s="3" t="s">
        <v>2238</v>
      </c>
      <c r="I634" s="3" t="s">
        <v>2239</v>
      </c>
      <c r="J634">
        <f t="shared" si="117"/>
        <v>1</v>
      </c>
      <c r="K634">
        <f t="shared" si="118"/>
        <v>0</v>
      </c>
      <c r="L634">
        <f t="shared" si="119"/>
        <v>0</v>
      </c>
      <c r="M634">
        <f t="shared" si="120"/>
        <v>0</v>
      </c>
      <c r="N634">
        <f t="shared" si="121"/>
        <v>1</v>
      </c>
      <c r="O634">
        <f t="shared" si="122"/>
        <v>0</v>
      </c>
      <c r="P634">
        <f t="shared" si="123"/>
        <v>0</v>
      </c>
      <c r="Q634">
        <f t="shared" si="124"/>
        <v>0</v>
      </c>
      <c r="R634">
        <v>1</v>
      </c>
      <c r="S634">
        <v>0</v>
      </c>
      <c r="T634">
        <v>0</v>
      </c>
      <c r="U634">
        <v>0</v>
      </c>
      <c r="V634">
        <v>0</v>
      </c>
      <c r="W634">
        <v>0</v>
      </c>
      <c r="X634">
        <v>0</v>
      </c>
      <c r="Y634">
        <v>0</v>
      </c>
      <c r="Z634">
        <v>0</v>
      </c>
      <c r="AA634">
        <v>0</v>
      </c>
      <c r="AB634">
        <v>0</v>
      </c>
      <c r="AC634">
        <v>0</v>
      </c>
      <c r="AD634">
        <v>0</v>
      </c>
      <c r="AE634">
        <v>0</v>
      </c>
      <c r="AF634">
        <v>0</v>
      </c>
      <c r="AG634">
        <v>0</v>
      </c>
      <c r="AH634">
        <v>1</v>
      </c>
      <c r="AI634">
        <v>0</v>
      </c>
      <c r="AJ634">
        <v>0</v>
      </c>
      <c r="AK634">
        <v>0</v>
      </c>
      <c r="AL634">
        <v>0</v>
      </c>
      <c r="AM634">
        <v>0</v>
      </c>
      <c r="AN634">
        <v>0</v>
      </c>
      <c r="AO634">
        <v>0</v>
      </c>
      <c r="AP634">
        <v>0</v>
      </c>
      <c r="AQ634">
        <v>0</v>
      </c>
      <c r="AR634">
        <v>0</v>
      </c>
      <c r="AS634">
        <f t="shared" si="125"/>
        <v>2</v>
      </c>
      <c r="AT634">
        <f t="shared" si="126"/>
        <v>2</v>
      </c>
      <c r="AU634" s="3" t="s">
        <v>1596</v>
      </c>
      <c r="AV634">
        <f t="shared" si="127"/>
        <v>1</v>
      </c>
      <c r="AW634">
        <f t="shared" si="128"/>
        <v>0</v>
      </c>
      <c r="AX634">
        <f t="shared" si="129"/>
        <v>0</v>
      </c>
      <c r="AY634">
        <v>-0.5</v>
      </c>
      <c r="AZ634" t="s">
        <v>133</v>
      </c>
      <c r="BA634" t="s">
        <v>134</v>
      </c>
      <c r="BB634" t="s">
        <v>8</v>
      </c>
    </row>
    <row r="635" ht="34" spans="1:54">
      <c r="A635" t="s">
        <v>2240</v>
      </c>
      <c r="B635" t="s">
        <v>2118</v>
      </c>
      <c r="C635" t="s">
        <v>56</v>
      </c>
      <c r="D635">
        <v>0</v>
      </c>
      <c r="E635">
        <v>0</v>
      </c>
      <c r="F635">
        <v>47.2</v>
      </c>
      <c r="G635" t="s">
        <v>106</v>
      </c>
      <c r="H635" s="3" t="s">
        <v>2241</v>
      </c>
      <c r="I635" s="3" t="s">
        <v>2242</v>
      </c>
      <c r="J635">
        <f t="shared" si="117"/>
        <v>0</v>
      </c>
      <c r="K635">
        <f t="shared" si="118"/>
        <v>0</v>
      </c>
      <c r="L635">
        <f t="shared" si="119"/>
        <v>0</v>
      </c>
      <c r="M635">
        <f t="shared" si="120"/>
        <v>0</v>
      </c>
      <c r="N635">
        <f t="shared" si="121"/>
        <v>1</v>
      </c>
      <c r="O635">
        <f t="shared" si="122"/>
        <v>0</v>
      </c>
      <c r="P635">
        <f t="shared" si="123"/>
        <v>0</v>
      </c>
      <c r="Q635">
        <f t="shared" si="124"/>
        <v>0</v>
      </c>
      <c r="R635">
        <v>0</v>
      </c>
      <c r="S635">
        <v>0</v>
      </c>
      <c r="T635">
        <v>0</v>
      </c>
      <c r="U635">
        <v>0</v>
      </c>
      <c r="V635">
        <v>0</v>
      </c>
      <c r="W635">
        <v>0</v>
      </c>
      <c r="X635">
        <v>0</v>
      </c>
      <c r="Y635">
        <v>0</v>
      </c>
      <c r="Z635">
        <v>0</v>
      </c>
      <c r="AA635">
        <v>0</v>
      </c>
      <c r="AB635">
        <v>0</v>
      </c>
      <c r="AC635">
        <v>0</v>
      </c>
      <c r="AD635">
        <v>0</v>
      </c>
      <c r="AE635">
        <v>0</v>
      </c>
      <c r="AF635">
        <v>0</v>
      </c>
      <c r="AG635">
        <v>0</v>
      </c>
      <c r="AH635">
        <v>1</v>
      </c>
      <c r="AI635">
        <v>0</v>
      </c>
      <c r="AJ635">
        <v>0</v>
      </c>
      <c r="AK635">
        <v>0</v>
      </c>
      <c r="AL635">
        <v>0</v>
      </c>
      <c r="AM635">
        <v>0</v>
      </c>
      <c r="AN635">
        <v>0</v>
      </c>
      <c r="AO635">
        <v>0</v>
      </c>
      <c r="AP635">
        <v>0</v>
      </c>
      <c r="AQ635">
        <v>0</v>
      </c>
      <c r="AR635">
        <v>0</v>
      </c>
      <c r="AS635">
        <f t="shared" si="125"/>
        <v>1</v>
      </c>
      <c r="AT635">
        <f t="shared" si="126"/>
        <v>1</v>
      </c>
      <c r="AU635" s="3" t="s">
        <v>129</v>
      </c>
      <c r="AV635">
        <f t="shared" si="127"/>
        <v>1</v>
      </c>
      <c r="AW635">
        <f t="shared" si="128"/>
        <v>0</v>
      </c>
      <c r="AX635">
        <f t="shared" si="129"/>
        <v>0</v>
      </c>
      <c r="AY635">
        <v>1</v>
      </c>
      <c r="AZ635" t="s">
        <v>60</v>
      </c>
      <c r="BA635" t="s">
        <v>61</v>
      </c>
      <c r="BB635" t="s">
        <v>8</v>
      </c>
    </row>
    <row r="636" ht="68" spans="1:54">
      <c r="A636" t="s">
        <v>2243</v>
      </c>
      <c r="B636" t="s">
        <v>2118</v>
      </c>
      <c r="C636" t="s">
        <v>56</v>
      </c>
      <c r="D636">
        <v>2</v>
      </c>
      <c r="E636">
        <v>0</v>
      </c>
      <c r="F636">
        <v>72.3</v>
      </c>
      <c r="G636" t="s">
        <v>106</v>
      </c>
      <c r="H636" s="3" t="s">
        <v>2244</v>
      </c>
      <c r="I636" s="3" t="s">
        <v>2245</v>
      </c>
      <c r="J636">
        <f t="shared" si="117"/>
        <v>0</v>
      </c>
      <c r="K636">
        <f t="shared" si="118"/>
        <v>1</v>
      </c>
      <c r="L636">
        <f t="shared" si="119"/>
        <v>1</v>
      </c>
      <c r="M636">
        <f t="shared" si="120"/>
        <v>0</v>
      </c>
      <c r="N636">
        <f t="shared" si="121"/>
        <v>1</v>
      </c>
      <c r="O636">
        <f t="shared" si="122"/>
        <v>0</v>
      </c>
      <c r="P636">
        <f t="shared" si="123"/>
        <v>0</v>
      </c>
      <c r="Q636">
        <f t="shared" si="124"/>
        <v>0</v>
      </c>
      <c r="R636">
        <v>0</v>
      </c>
      <c r="S636">
        <v>0</v>
      </c>
      <c r="T636">
        <v>0</v>
      </c>
      <c r="U636">
        <v>1</v>
      </c>
      <c r="V636">
        <v>0</v>
      </c>
      <c r="W636">
        <v>1</v>
      </c>
      <c r="X636">
        <v>0</v>
      </c>
      <c r="Y636">
        <v>0</v>
      </c>
      <c r="Z636">
        <v>0</v>
      </c>
      <c r="AA636">
        <v>0</v>
      </c>
      <c r="AB636">
        <v>0</v>
      </c>
      <c r="AC636">
        <v>1</v>
      </c>
      <c r="AD636">
        <v>0</v>
      </c>
      <c r="AE636">
        <v>0</v>
      </c>
      <c r="AF636">
        <v>0</v>
      </c>
      <c r="AG636">
        <v>0</v>
      </c>
      <c r="AH636">
        <v>1</v>
      </c>
      <c r="AI636">
        <v>0</v>
      </c>
      <c r="AJ636">
        <v>0</v>
      </c>
      <c r="AK636">
        <v>0</v>
      </c>
      <c r="AL636">
        <v>0</v>
      </c>
      <c r="AM636">
        <v>0</v>
      </c>
      <c r="AN636">
        <v>0</v>
      </c>
      <c r="AO636">
        <v>0</v>
      </c>
      <c r="AP636">
        <v>0</v>
      </c>
      <c r="AQ636">
        <v>0</v>
      </c>
      <c r="AR636">
        <v>0</v>
      </c>
      <c r="AS636">
        <f t="shared" si="125"/>
        <v>3</v>
      </c>
      <c r="AT636">
        <f t="shared" si="126"/>
        <v>4</v>
      </c>
      <c r="AU636" s="3" t="s">
        <v>2246</v>
      </c>
      <c r="AV636">
        <f t="shared" si="127"/>
        <v>1</v>
      </c>
      <c r="AW636">
        <f t="shared" si="128"/>
        <v>0</v>
      </c>
      <c r="AX636">
        <f t="shared" si="129"/>
        <v>0</v>
      </c>
      <c r="AY636">
        <v>3.5</v>
      </c>
      <c r="AZ636" t="s">
        <v>60</v>
      </c>
      <c r="BA636" t="s">
        <v>61</v>
      </c>
      <c r="BB636" t="s">
        <v>8</v>
      </c>
    </row>
    <row r="637" ht="118" spans="1:54">
      <c r="A637" t="s">
        <v>2247</v>
      </c>
      <c r="B637" t="s">
        <v>2118</v>
      </c>
      <c r="C637" t="s">
        <v>56</v>
      </c>
      <c r="D637">
        <v>2</v>
      </c>
      <c r="E637">
        <v>0</v>
      </c>
      <c r="F637">
        <v>49.3</v>
      </c>
      <c r="G637" t="s">
        <v>106</v>
      </c>
      <c r="H637" s="3" t="s">
        <v>2248</v>
      </c>
      <c r="I637" s="3" t="s">
        <v>2249</v>
      </c>
      <c r="J637">
        <f t="shared" si="117"/>
        <v>0</v>
      </c>
      <c r="K637">
        <f t="shared" si="118"/>
        <v>1</v>
      </c>
      <c r="L637">
        <f t="shared" si="119"/>
        <v>0</v>
      </c>
      <c r="M637">
        <f t="shared" si="120"/>
        <v>0</v>
      </c>
      <c r="N637">
        <f t="shared" si="121"/>
        <v>0</v>
      </c>
      <c r="O637">
        <f t="shared" si="122"/>
        <v>0</v>
      </c>
      <c r="P637">
        <f t="shared" si="123"/>
        <v>0</v>
      </c>
      <c r="Q637">
        <f t="shared" si="124"/>
        <v>0</v>
      </c>
      <c r="R637">
        <v>0</v>
      </c>
      <c r="S637">
        <v>0</v>
      </c>
      <c r="T637">
        <v>0</v>
      </c>
      <c r="U637">
        <v>1</v>
      </c>
      <c r="V637">
        <v>1</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f t="shared" si="125"/>
        <v>1</v>
      </c>
      <c r="AT637">
        <f t="shared" si="126"/>
        <v>2</v>
      </c>
      <c r="AU637" s="3" t="s">
        <v>1195</v>
      </c>
      <c r="AV637">
        <f t="shared" si="127"/>
        <v>1</v>
      </c>
      <c r="AW637">
        <f t="shared" si="128"/>
        <v>0</v>
      </c>
      <c r="AX637">
        <f t="shared" si="129"/>
        <v>0</v>
      </c>
      <c r="AY637">
        <v>-4.5</v>
      </c>
      <c r="AZ637" t="s">
        <v>133</v>
      </c>
      <c r="BA637" t="s">
        <v>134</v>
      </c>
      <c r="BB637" t="s">
        <v>8</v>
      </c>
    </row>
    <row r="638" ht="68" spans="1:54">
      <c r="A638" t="s">
        <v>2250</v>
      </c>
      <c r="B638" t="s">
        <v>2118</v>
      </c>
      <c r="C638" t="s">
        <v>56</v>
      </c>
      <c r="D638">
        <v>0</v>
      </c>
      <c r="E638">
        <v>0</v>
      </c>
      <c r="F638">
        <v>93.9</v>
      </c>
      <c r="G638" t="s">
        <v>106</v>
      </c>
      <c r="H638" s="3" t="s">
        <v>2251</v>
      </c>
      <c r="I638" s="3" t="s">
        <v>2252</v>
      </c>
      <c r="J638">
        <f t="shared" si="117"/>
        <v>1</v>
      </c>
      <c r="K638">
        <f t="shared" si="118"/>
        <v>1</v>
      </c>
      <c r="L638">
        <f t="shared" si="119"/>
        <v>0</v>
      </c>
      <c r="M638">
        <f t="shared" si="120"/>
        <v>1</v>
      </c>
      <c r="N638">
        <f t="shared" si="121"/>
        <v>1</v>
      </c>
      <c r="O638">
        <f t="shared" si="122"/>
        <v>0</v>
      </c>
      <c r="P638">
        <f t="shared" si="123"/>
        <v>0</v>
      </c>
      <c r="Q638">
        <f t="shared" si="124"/>
        <v>0</v>
      </c>
      <c r="R638">
        <v>0</v>
      </c>
      <c r="S638">
        <v>0</v>
      </c>
      <c r="T638">
        <v>1</v>
      </c>
      <c r="U638">
        <v>0</v>
      </c>
      <c r="V638">
        <v>1</v>
      </c>
      <c r="W638">
        <v>1</v>
      </c>
      <c r="X638">
        <v>0</v>
      </c>
      <c r="Y638">
        <v>0</v>
      </c>
      <c r="Z638">
        <v>0</v>
      </c>
      <c r="AA638">
        <v>0</v>
      </c>
      <c r="AB638">
        <v>0</v>
      </c>
      <c r="AC638">
        <v>0</v>
      </c>
      <c r="AD638">
        <v>0</v>
      </c>
      <c r="AE638">
        <v>0</v>
      </c>
      <c r="AF638">
        <v>1</v>
      </c>
      <c r="AG638">
        <v>0</v>
      </c>
      <c r="AH638">
        <v>1</v>
      </c>
      <c r="AI638">
        <v>0</v>
      </c>
      <c r="AJ638">
        <v>0</v>
      </c>
      <c r="AK638">
        <v>0</v>
      </c>
      <c r="AL638">
        <v>0</v>
      </c>
      <c r="AM638">
        <v>0</v>
      </c>
      <c r="AN638">
        <v>0</v>
      </c>
      <c r="AO638">
        <v>0</v>
      </c>
      <c r="AP638">
        <v>0</v>
      </c>
      <c r="AQ638">
        <v>0</v>
      </c>
      <c r="AR638">
        <v>0</v>
      </c>
      <c r="AS638">
        <f t="shared" si="125"/>
        <v>4</v>
      </c>
      <c r="AT638">
        <f t="shared" si="126"/>
        <v>5</v>
      </c>
      <c r="AU638" s="3" t="s">
        <v>2253</v>
      </c>
      <c r="AV638">
        <f t="shared" si="127"/>
        <v>1</v>
      </c>
      <c r="AW638">
        <f t="shared" si="128"/>
        <v>0</v>
      </c>
      <c r="AX638">
        <f t="shared" si="129"/>
        <v>0</v>
      </c>
      <c r="AY638">
        <v>4</v>
      </c>
      <c r="AZ638" t="s">
        <v>60</v>
      </c>
      <c r="BA638" t="s">
        <v>61</v>
      </c>
      <c r="BB638" t="s">
        <v>8</v>
      </c>
    </row>
    <row r="639" ht="286" spans="1:54">
      <c r="A639" t="s">
        <v>2254</v>
      </c>
      <c r="B639" t="s">
        <v>2118</v>
      </c>
      <c r="C639" t="s">
        <v>56</v>
      </c>
      <c r="D639">
        <v>0</v>
      </c>
      <c r="E639">
        <v>0</v>
      </c>
      <c r="F639">
        <v>56</v>
      </c>
      <c r="G639" t="s">
        <v>106</v>
      </c>
      <c r="H639" s="3" t="s">
        <v>2255</v>
      </c>
      <c r="I639" s="3" t="s">
        <v>2256</v>
      </c>
      <c r="J639">
        <f t="shared" si="117"/>
        <v>0</v>
      </c>
      <c r="K639">
        <f t="shared" si="118"/>
        <v>0</v>
      </c>
      <c r="L639">
        <f t="shared" si="119"/>
        <v>0</v>
      </c>
      <c r="M639">
        <f t="shared" si="120"/>
        <v>0</v>
      </c>
      <c r="N639">
        <f t="shared" si="121"/>
        <v>1</v>
      </c>
      <c r="O639">
        <f t="shared" si="122"/>
        <v>0</v>
      </c>
      <c r="P639">
        <f t="shared" si="123"/>
        <v>0</v>
      </c>
      <c r="Q639">
        <f t="shared" si="124"/>
        <v>0</v>
      </c>
      <c r="R639">
        <v>0</v>
      </c>
      <c r="S639">
        <v>0</v>
      </c>
      <c r="T639">
        <v>0</v>
      </c>
      <c r="U639">
        <v>0</v>
      </c>
      <c r="V639">
        <v>0</v>
      </c>
      <c r="W639">
        <v>0</v>
      </c>
      <c r="X639">
        <v>0</v>
      </c>
      <c r="Y639">
        <v>0</v>
      </c>
      <c r="Z639">
        <v>0</v>
      </c>
      <c r="AA639">
        <v>0</v>
      </c>
      <c r="AB639">
        <v>0</v>
      </c>
      <c r="AC639">
        <v>0</v>
      </c>
      <c r="AD639">
        <v>0</v>
      </c>
      <c r="AE639">
        <v>0</v>
      </c>
      <c r="AF639">
        <v>0</v>
      </c>
      <c r="AG639">
        <v>0</v>
      </c>
      <c r="AH639">
        <v>1</v>
      </c>
      <c r="AI639">
        <v>0</v>
      </c>
      <c r="AJ639">
        <v>0</v>
      </c>
      <c r="AK639">
        <v>0</v>
      </c>
      <c r="AL639">
        <v>0</v>
      </c>
      <c r="AM639">
        <v>0</v>
      </c>
      <c r="AN639">
        <v>0</v>
      </c>
      <c r="AO639">
        <v>0</v>
      </c>
      <c r="AP639">
        <v>0</v>
      </c>
      <c r="AQ639">
        <v>0</v>
      </c>
      <c r="AR639">
        <v>0</v>
      </c>
      <c r="AS639">
        <f t="shared" si="125"/>
        <v>1</v>
      </c>
      <c r="AT639">
        <f t="shared" si="126"/>
        <v>1</v>
      </c>
      <c r="AU639" s="3" t="s">
        <v>129</v>
      </c>
      <c r="AV639">
        <f t="shared" si="127"/>
        <v>1</v>
      </c>
      <c r="AW639">
        <f t="shared" si="128"/>
        <v>0</v>
      </c>
      <c r="AX639">
        <f t="shared" si="129"/>
        <v>0</v>
      </c>
      <c r="AY639">
        <v>1.5</v>
      </c>
      <c r="AZ639" t="s">
        <v>60</v>
      </c>
      <c r="BA639" t="s">
        <v>61</v>
      </c>
      <c r="BB639" t="s">
        <v>8</v>
      </c>
    </row>
    <row r="640" ht="101" spans="1:54">
      <c r="A640" t="s">
        <v>2257</v>
      </c>
      <c r="B640" t="s">
        <v>2118</v>
      </c>
      <c r="C640" t="s">
        <v>56</v>
      </c>
      <c r="D640">
        <v>0</v>
      </c>
      <c r="E640">
        <v>0</v>
      </c>
      <c r="F640">
        <v>13.6</v>
      </c>
      <c r="G640" t="s">
        <v>106</v>
      </c>
      <c r="H640" s="3" t="s">
        <v>2258</v>
      </c>
      <c r="I640" s="3" t="s">
        <v>2259</v>
      </c>
      <c r="J640">
        <f t="shared" si="117"/>
        <v>0</v>
      </c>
      <c r="K640">
        <f t="shared" si="118"/>
        <v>1</v>
      </c>
      <c r="L640">
        <f t="shared" si="119"/>
        <v>0</v>
      </c>
      <c r="M640">
        <f t="shared" si="120"/>
        <v>0</v>
      </c>
      <c r="N640">
        <f t="shared" si="121"/>
        <v>0</v>
      </c>
      <c r="O640">
        <f t="shared" si="122"/>
        <v>0</v>
      </c>
      <c r="P640">
        <f t="shared" si="123"/>
        <v>0</v>
      </c>
      <c r="Q640">
        <f t="shared" si="124"/>
        <v>0</v>
      </c>
      <c r="R640">
        <v>0</v>
      </c>
      <c r="S640">
        <v>0</v>
      </c>
      <c r="T640">
        <v>0</v>
      </c>
      <c r="U640">
        <v>1</v>
      </c>
      <c r="V640">
        <v>1</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f t="shared" si="125"/>
        <v>1</v>
      </c>
      <c r="AT640">
        <f t="shared" si="126"/>
        <v>2</v>
      </c>
      <c r="AU640" s="3" t="s">
        <v>1195</v>
      </c>
      <c r="AV640">
        <f t="shared" si="127"/>
        <v>1</v>
      </c>
      <c r="AW640">
        <f t="shared" si="128"/>
        <v>0</v>
      </c>
      <c r="AX640">
        <f t="shared" si="129"/>
        <v>0</v>
      </c>
      <c r="AY640">
        <v>4.5</v>
      </c>
      <c r="AZ640" t="s">
        <v>60</v>
      </c>
      <c r="BA640" t="s">
        <v>61</v>
      </c>
      <c r="BB640" t="s">
        <v>8</v>
      </c>
    </row>
    <row r="641" ht="101" spans="1:54">
      <c r="A641" t="s">
        <v>2260</v>
      </c>
      <c r="B641" t="s">
        <v>2118</v>
      </c>
      <c r="C641" t="s">
        <v>56</v>
      </c>
      <c r="D641">
        <v>2</v>
      </c>
      <c r="E641">
        <v>0</v>
      </c>
      <c r="F641">
        <v>77.8</v>
      </c>
      <c r="G641" t="s">
        <v>106</v>
      </c>
      <c r="H641" s="3" t="s">
        <v>2261</v>
      </c>
      <c r="I641" s="3" t="s">
        <v>2262</v>
      </c>
      <c r="J641">
        <f t="shared" si="117"/>
        <v>1</v>
      </c>
      <c r="K641">
        <f t="shared" si="118"/>
        <v>1</v>
      </c>
      <c r="L641">
        <f t="shared" si="119"/>
        <v>0</v>
      </c>
      <c r="M641">
        <f t="shared" si="120"/>
        <v>1</v>
      </c>
      <c r="N641">
        <f t="shared" si="121"/>
        <v>1</v>
      </c>
      <c r="O641">
        <f t="shared" si="122"/>
        <v>0</v>
      </c>
      <c r="P641">
        <f t="shared" si="123"/>
        <v>0</v>
      </c>
      <c r="Q641">
        <f t="shared" si="124"/>
        <v>0</v>
      </c>
      <c r="R641">
        <v>1</v>
      </c>
      <c r="S641">
        <v>0</v>
      </c>
      <c r="T641">
        <v>1</v>
      </c>
      <c r="U641">
        <v>1</v>
      </c>
      <c r="V641">
        <v>1</v>
      </c>
      <c r="W641">
        <v>0</v>
      </c>
      <c r="X641">
        <v>1</v>
      </c>
      <c r="Y641">
        <v>0</v>
      </c>
      <c r="Z641">
        <v>0</v>
      </c>
      <c r="AA641">
        <v>0</v>
      </c>
      <c r="AB641">
        <v>0</v>
      </c>
      <c r="AC641">
        <v>0</v>
      </c>
      <c r="AD641">
        <v>1</v>
      </c>
      <c r="AE641">
        <v>0</v>
      </c>
      <c r="AF641">
        <v>0</v>
      </c>
      <c r="AG641">
        <v>1</v>
      </c>
      <c r="AH641">
        <v>0</v>
      </c>
      <c r="AI641">
        <v>0</v>
      </c>
      <c r="AJ641">
        <v>0</v>
      </c>
      <c r="AK641">
        <v>0</v>
      </c>
      <c r="AL641">
        <v>0</v>
      </c>
      <c r="AM641">
        <v>0</v>
      </c>
      <c r="AN641">
        <v>0</v>
      </c>
      <c r="AO641">
        <v>0</v>
      </c>
      <c r="AP641">
        <v>0</v>
      </c>
      <c r="AQ641">
        <v>0</v>
      </c>
      <c r="AR641">
        <v>0</v>
      </c>
      <c r="AS641">
        <f t="shared" si="125"/>
        <v>4</v>
      </c>
      <c r="AT641">
        <f t="shared" si="126"/>
        <v>7</v>
      </c>
      <c r="AU641" s="3" t="s">
        <v>2263</v>
      </c>
      <c r="AV641">
        <f t="shared" si="127"/>
        <v>1</v>
      </c>
      <c r="AW641">
        <f t="shared" si="128"/>
        <v>0</v>
      </c>
      <c r="AX641">
        <f t="shared" si="129"/>
        <v>0</v>
      </c>
      <c r="AY641">
        <v>-3</v>
      </c>
      <c r="AZ641" t="s">
        <v>133</v>
      </c>
      <c r="BA641" t="s">
        <v>134</v>
      </c>
      <c r="BB641" t="s">
        <v>8</v>
      </c>
    </row>
    <row r="642" ht="34" spans="1:54">
      <c r="A642" t="s">
        <v>2264</v>
      </c>
      <c r="B642" t="s">
        <v>2118</v>
      </c>
      <c r="C642" t="s">
        <v>56</v>
      </c>
      <c r="D642">
        <v>0</v>
      </c>
      <c r="E642">
        <v>0</v>
      </c>
      <c r="F642">
        <v>10</v>
      </c>
      <c r="G642" t="s">
        <v>106</v>
      </c>
      <c r="H642" s="3" t="s">
        <v>2265</v>
      </c>
      <c r="I642" s="3" t="s">
        <v>2266</v>
      </c>
      <c r="J642">
        <f t="shared" ref="J642:J705" si="130">IF(SUM(R642:T642)&gt;0,1,0)</f>
        <v>0</v>
      </c>
      <c r="K642">
        <f t="shared" ref="K642:K705" si="131">IF(SUM(U642:Y642)&gt;0,1,0)</f>
        <v>1</v>
      </c>
      <c r="L642">
        <f t="shared" ref="L642:L705" si="132">IF(SUM(Z642:AC642)&gt;0,1,0)</f>
        <v>0</v>
      </c>
      <c r="M642">
        <f t="shared" ref="M642:M705" si="133">IF(SUM(AD642:AF642)&gt;0,1,0)</f>
        <v>0</v>
      </c>
      <c r="N642">
        <f t="shared" ref="N642:N705" si="134">IF(SUM(AG642:AH642)&gt;0,1,0)</f>
        <v>1</v>
      </c>
      <c r="O642">
        <f t="shared" ref="O642:O705" si="135">IF(SUM(AI642:AL642)&gt;0,1,0)</f>
        <v>0</v>
      </c>
      <c r="P642">
        <f t="shared" ref="P642:P705" si="136">IF(SUM(AM642:AQ642)&gt;0,1,0)</f>
        <v>0</v>
      </c>
      <c r="Q642">
        <f t="shared" ref="Q642:Q705" si="137">IF(AR642&gt;0,1,0)</f>
        <v>0</v>
      </c>
      <c r="R642">
        <v>0</v>
      </c>
      <c r="S642">
        <v>0</v>
      </c>
      <c r="T642">
        <v>0</v>
      </c>
      <c r="U642">
        <v>0</v>
      </c>
      <c r="V642">
        <v>0</v>
      </c>
      <c r="W642">
        <v>1</v>
      </c>
      <c r="X642">
        <v>0</v>
      </c>
      <c r="Y642">
        <v>0</v>
      </c>
      <c r="Z642">
        <v>0</v>
      </c>
      <c r="AA642">
        <v>0</v>
      </c>
      <c r="AB642">
        <v>0</v>
      </c>
      <c r="AC642">
        <v>0</v>
      </c>
      <c r="AD642">
        <v>0</v>
      </c>
      <c r="AE642">
        <v>0</v>
      </c>
      <c r="AF642">
        <v>0</v>
      </c>
      <c r="AG642">
        <v>0</v>
      </c>
      <c r="AH642">
        <v>1</v>
      </c>
      <c r="AI642">
        <v>0</v>
      </c>
      <c r="AJ642">
        <v>0</v>
      </c>
      <c r="AK642">
        <v>0</v>
      </c>
      <c r="AL642">
        <v>0</v>
      </c>
      <c r="AM642">
        <v>0</v>
      </c>
      <c r="AN642">
        <v>0</v>
      </c>
      <c r="AO642">
        <v>0</v>
      </c>
      <c r="AP642">
        <v>0</v>
      </c>
      <c r="AQ642">
        <v>0</v>
      </c>
      <c r="AR642">
        <v>0</v>
      </c>
      <c r="AS642">
        <f t="shared" ref="AS642:AS705" si="138">SUM(J642:Q642)</f>
        <v>2</v>
      </c>
      <c r="AT642">
        <f t="shared" ref="AT642:AT705" si="139">SUM(R642:AR642)</f>
        <v>2</v>
      </c>
      <c r="AU642" s="3" t="s">
        <v>1780</v>
      </c>
      <c r="AV642">
        <f t="shared" ref="AV642:AV705" si="140">IF(AT642&gt;0,1,0)</f>
        <v>1</v>
      </c>
      <c r="AW642">
        <f t="shared" ref="AW642:AW705" si="141">IF(AT642=0,1,0)</f>
        <v>0</v>
      </c>
      <c r="AX642">
        <f t="shared" ref="AX642:AX705" si="142">IF(AT642&gt;=8,1,0)</f>
        <v>0</v>
      </c>
      <c r="AY642">
        <v>0</v>
      </c>
      <c r="AZ642" t="s">
        <v>147</v>
      </c>
      <c r="BA642" t="s">
        <v>148</v>
      </c>
      <c r="BB642" t="s">
        <v>8</v>
      </c>
    </row>
    <row r="643" ht="135" spans="1:54">
      <c r="A643" t="s">
        <v>2267</v>
      </c>
      <c r="B643" t="s">
        <v>2118</v>
      </c>
      <c r="C643" t="s">
        <v>56</v>
      </c>
      <c r="D643">
        <v>0</v>
      </c>
      <c r="E643">
        <v>0</v>
      </c>
      <c r="F643">
        <v>82.9</v>
      </c>
      <c r="G643" t="s">
        <v>106</v>
      </c>
      <c r="H643" s="3" t="s">
        <v>2268</v>
      </c>
      <c r="I643" s="3" t="s">
        <v>2269</v>
      </c>
      <c r="J643">
        <f t="shared" si="130"/>
        <v>1</v>
      </c>
      <c r="K643">
        <f t="shared" si="131"/>
        <v>1</v>
      </c>
      <c r="L643">
        <f t="shared" si="132"/>
        <v>0</v>
      </c>
      <c r="M643">
        <f t="shared" si="133"/>
        <v>0</v>
      </c>
      <c r="N643">
        <f t="shared" si="134"/>
        <v>0</v>
      </c>
      <c r="O643">
        <f t="shared" si="135"/>
        <v>0</v>
      </c>
      <c r="P643">
        <f t="shared" si="136"/>
        <v>0</v>
      </c>
      <c r="Q643">
        <f t="shared" si="137"/>
        <v>0</v>
      </c>
      <c r="R643">
        <v>1</v>
      </c>
      <c r="S643">
        <v>0</v>
      </c>
      <c r="T643">
        <v>0</v>
      </c>
      <c r="U643">
        <v>1</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f t="shared" si="138"/>
        <v>2</v>
      </c>
      <c r="AT643">
        <f t="shared" si="139"/>
        <v>2</v>
      </c>
      <c r="AU643" s="3" t="s">
        <v>1584</v>
      </c>
      <c r="AV643">
        <f t="shared" si="140"/>
        <v>1</v>
      </c>
      <c r="AW643">
        <f t="shared" si="141"/>
        <v>0</v>
      </c>
      <c r="AX643">
        <f t="shared" si="142"/>
        <v>0</v>
      </c>
      <c r="AY643">
        <v>1</v>
      </c>
      <c r="AZ643" t="s">
        <v>60</v>
      </c>
      <c r="BA643" t="s">
        <v>61</v>
      </c>
      <c r="BB643" t="s">
        <v>8</v>
      </c>
    </row>
    <row r="644" ht="34" spans="1:54">
      <c r="A644" t="s">
        <v>2270</v>
      </c>
      <c r="B644" t="s">
        <v>2118</v>
      </c>
      <c r="C644" t="s">
        <v>56</v>
      </c>
      <c r="D644">
        <v>0</v>
      </c>
      <c r="E644">
        <v>0</v>
      </c>
      <c r="F644">
        <v>61.2</v>
      </c>
      <c r="G644" t="s">
        <v>106</v>
      </c>
      <c r="H644" s="3" t="s">
        <v>2271</v>
      </c>
      <c r="I644" s="3" t="s">
        <v>2272</v>
      </c>
      <c r="J644">
        <f t="shared" si="130"/>
        <v>0</v>
      </c>
      <c r="K644">
        <f t="shared" si="131"/>
        <v>1</v>
      </c>
      <c r="L644">
        <f t="shared" si="132"/>
        <v>0</v>
      </c>
      <c r="M644">
        <f t="shared" si="133"/>
        <v>0</v>
      </c>
      <c r="N644">
        <f t="shared" si="134"/>
        <v>0</v>
      </c>
      <c r="O644">
        <f t="shared" si="135"/>
        <v>0</v>
      </c>
      <c r="P644">
        <f t="shared" si="136"/>
        <v>0</v>
      </c>
      <c r="Q644">
        <f t="shared" si="137"/>
        <v>0</v>
      </c>
      <c r="R644">
        <v>0</v>
      </c>
      <c r="S644">
        <v>0</v>
      </c>
      <c r="T644">
        <v>0</v>
      </c>
      <c r="U644">
        <v>0</v>
      </c>
      <c r="V644">
        <v>0</v>
      </c>
      <c r="W644">
        <v>1</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f t="shared" si="138"/>
        <v>1</v>
      </c>
      <c r="AT644">
        <f t="shared" si="139"/>
        <v>1</v>
      </c>
      <c r="AU644" s="3" t="s">
        <v>271</v>
      </c>
      <c r="AV644">
        <f t="shared" si="140"/>
        <v>1</v>
      </c>
      <c r="AW644">
        <f t="shared" si="141"/>
        <v>0</v>
      </c>
      <c r="AX644">
        <f t="shared" si="142"/>
        <v>0</v>
      </c>
      <c r="AY644">
        <v>-1</v>
      </c>
      <c r="AZ644" t="s">
        <v>133</v>
      </c>
      <c r="BA644" t="s">
        <v>134</v>
      </c>
      <c r="BB644" t="s">
        <v>8</v>
      </c>
    </row>
    <row r="645" ht="84" spans="1:54">
      <c r="A645" t="s">
        <v>2273</v>
      </c>
      <c r="B645" t="s">
        <v>2118</v>
      </c>
      <c r="C645" t="s">
        <v>56</v>
      </c>
      <c r="D645">
        <v>6</v>
      </c>
      <c r="E645">
        <v>0</v>
      </c>
      <c r="F645">
        <v>104.1</v>
      </c>
      <c r="G645" t="s">
        <v>106</v>
      </c>
      <c r="H645" s="3" t="s">
        <v>2274</v>
      </c>
      <c r="I645" s="3" t="s">
        <v>2275</v>
      </c>
      <c r="J645">
        <f t="shared" si="130"/>
        <v>1</v>
      </c>
      <c r="K645">
        <f t="shared" si="131"/>
        <v>0</v>
      </c>
      <c r="L645">
        <f t="shared" si="132"/>
        <v>0</v>
      </c>
      <c r="M645">
        <f t="shared" si="133"/>
        <v>0</v>
      </c>
      <c r="N645">
        <f t="shared" si="134"/>
        <v>1</v>
      </c>
      <c r="O645">
        <f t="shared" si="135"/>
        <v>0</v>
      </c>
      <c r="P645">
        <f t="shared" si="136"/>
        <v>0</v>
      </c>
      <c r="Q645">
        <f t="shared" si="137"/>
        <v>1</v>
      </c>
      <c r="R645">
        <v>1</v>
      </c>
      <c r="S645">
        <v>0</v>
      </c>
      <c r="T645">
        <v>0</v>
      </c>
      <c r="U645">
        <v>0</v>
      </c>
      <c r="V645">
        <v>0</v>
      </c>
      <c r="W645">
        <v>0</v>
      </c>
      <c r="X645">
        <v>0</v>
      </c>
      <c r="Y645">
        <v>0</v>
      </c>
      <c r="Z645">
        <v>0</v>
      </c>
      <c r="AA645">
        <v>0</v>
      </c>
      <c r="AB645">
        <v>0</v>
      </c>
      <c r="AC645">
        <v>0</v>
      </c>
      <c r="AD645">
        <v>0</v>
      </c>
      <c r="AE645">
        <v>0</v>
      </c>
      <c r="AF645">
        <v>0</v>
      </c>
      <c r="AG645">
        <v>0</v>
      </c>
      <c r="AH645">
        <v>1</v>
      </c>
      <c r="AI645">
        <v>0</v>
      </c>
      <c r="AJ645">
        <v>0</v>
      </c>
      <c r="AK645">
        <v>0</v>
      </c>
      <c r="AL645">
        <v>0</v>
      </c>
      <c r="AM645">
        <v>0</v>
      </c>
      <c r="AN645">
        <v>0</v>
      </c>
      <c r="AO645">
        <v>0</v>
      </c>
      <c r="AP645">
        <v>0</v>
      </c>
      <c r="AQ645">
        <v>0</v>
      </c>
      <c r="AR645">
        <v>1</v>
      </c>
      <c r="AS645">
        <f t="shared" si="138"/>
        <v>3</v>
      </c>
      <c r="AT645">
        <f t="shared" si="139"/>
        <v>3</v>
      </c>
      <c r="AU645" s="3" t="s">
        <v>204</v>
      </c>
      <c r="AV645">
        <f t="shared" si="140"/>
        <v>1</v>
      </c>
      <c r="AW645">
        <f t="shared" si="141"/>
        <v>0</v>
      </c>
      <c r="AX645">
        <f t="shared" si="142"/>
        <v>0</v>
      </c>
      <c r="AY645">
        <v>5</v>
      </c>
      <c r="AZ645" t="s">
        <v>60</v>
      </c>
      <c r="BA645" t="s">
        <v>61</v>
      </c>
      <c r="BB645" t="s">
        <v>8</v>
      </c>
    </row>
    <row r="646" ht="101" spans="1:54">
      <c r="A646" t="s">
        <v>2276</v>
      </c>
      <c r="B646" t="s">
        <v>2118</v>
      </c>
      <c r="C646" t="s">
        <v>56</v>
      </c>
      <c r="D646">
        <v>6</v>
      </c>
      <c r="E646">
        <v>0</v>
      </c>
      <c r="F646">
        <v>55.2</v>
      </c>
      <c r="G646" t="s">
        <v>106</v>
      </c>
      <c r="H646" s="3" t="s">
        <v>2277</v>
      </c>
      <c r="I646" s="3" t="s">
        <v>2278</v>
      </c>
      <c r="J646">
        <f t="shared" si="130"/>
        <v>0</v>
      </c>
      <c r="K646">
        <f t="shared" si="131"/>
        <v>1</v>
      </c>
      <c r="L646">
        <f t="shared" si="132"/>
        <v>0</v>
      </c>
      <c r="M646">
        <f t="shared" si="133"/>
        <v>0</v>
      </c>
      <c r="N646">
        <f t="shared" si="134"/>
        <v>0</v>
      </c>
      <c r="O646">
        <f t="shared" si="135"/>
        <v>1</v>
      </c>
      <c r="P646">
        <f t="shared" si="136"/>
        <v>0</v>
      </c>
      <c r="Q646">
        <f t="shared" si="137"/>
        <v>0</v>
      </c>
      <c r="R646">
        <v>0</v>
      </c>
      <c r="S646">
        <v>0</v>
      </c>
      <c r="T646">
        <v>0</v>
      </c>
      <c r="U646">
        <v>1</v>
      </c>
      <c r="V646">
        <v>1</v>
      </c>
      <c r="W646">
        <v>1</v>
      </c>
      <c r="X646">
        <v>0</v>
      </c>
      <c r="Y646">
        <v>0</v>
      </c>
      <c r="Z646">
        <v>0</v>
      </c>
      <c r="AA646">
        <v>0</v>
      </c>
      <c r="AB646">
        <v>0</v>
      </c>
      <c r="AC646">
        <v>0</v>
      </c>
      <c r="AD646">
        <v>0</v>
      </c>
      <c r="AE646">
        <v>0</v>
      </c>
      <c r="AF646">
        <v>0</v>
      </c>
      <c r="AG646">
        <v>0</v>
      </c>
      <c r="AH646">
        <v>0</v>
      </c>
      <c r="AI646">
        <v>1</v>
      </c>
      <c r="AJ646">
        <v>0</v>
      </c>
      <c r="AK646">
        <v>0</v>
      </c>
      <c r="AL646">
        <v>0</v>
      </c>
      <c r="AM646">
        <v>0</v>
      </c>
      <c r="AN646">
        <v>0</v>
      </c>
      <c r="AO646">
        <v>0</v>
      </c>
      <c r="AP646">
        <v>0</v>
      </c>
      <c r="AQ646">
        <v>0</v>
      </c>
      <c r="AR646">
        <v>0</v>
      </c>
      <c r="AS646">
        <f t="shared" si="138"/>
        <v>2</v>
      </c>
      <c r="AT646">
        <f t="shared" si="139"/>
        <v>4</v>
      </c>
      <c r="AU646" s="3" t="s">
        <v>2279</v>
      </c>
      <c r="AV646">
        <f t="shared" si="140"/>
        <v>1</v>
      </c>
      <c r="AW646">
        <f t="shared" si="141"/>
        <v>0</v>
      </c>
      <c r="AX646">
        <f t="shared" si="142"/>
        <v>0</v>
      </c>
      <c r="AY646">
        <v>0</v>
      </c>
      <c r="AZ646" t="s">
        <v>147</v>
      </c>
      <c r="BA646" t="s">
        <v>148</v>
      </c>
      <c r="BB646" t="s">
        <v>8</v>
      </c>
    </row>
    <row r="647" ht="101" spans="1:54">
      <c r="A647" t="s">
        <v>2280</v>
      </c>
      <c r="B647" t="s">
        <v>2118</v>
      </c>
      <c r="C647" t="s">
        <v>56</v>
      </c>
      <c r="D647">
        <v>8</v>
      </c>
      <c r="E647">
        <v>0</v>
      </c>
      <c r="F647">
        <v>86.9</v>
      </c>
      <c r="G647" t="s">
        <v>106</v>
      </c>
      <c r="H647" s="3" t="s">
        <v>2281</v>
      </c>
      <c r="I647" s="3" t="s">
        <v>2282</v>
      </c>
      <c r="J647">
        <f t="shared" si="130"/>
        <v>0</v>
      </c>
      <c r="K647">
        <f t="shared" si="131"/>
        <v>1</v>
      </c>
      <c r="L647">
        <f t="shared" si="132"/>
        <v>0</v>
      </c>
      <c r="M647">
        <f t="shared" si="133"/>
        <v>0</v>
      </c>
      <c r="N647">
        <f t="shared" si="134"/>
        <v>0</v>
      </c>
      <c r="O647">
        <f t="shared" si="135"/>
        <v>0</v>
      </c>
      <c r="P647">
        <f t="shared" si="136"/>
        <v>0</v>
      </c>
      <c r="Q647">
        <f t="shared" si="137"/>
        <v>0</v>
      </c>
      <c r="R647">
        <v>0</v>
      </c>
      <c r="S647">
        <v>0</v>
      </c>
      <c r="T647">
        <v>0</v>
      </c>
      <c r="U647">
        <v>1</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f t="shared" si="138"/>
        <v>1</v>
      </c>
      <c r="AT647">
        <f t="shared" si="139"/>
        <v>1</v>
      </c>
      <c r="AU647" s="3" t="s">
        <v>123</v>
      </c>
      <c r="AV647">
        <f t="shared" si="140"/>
        <v>1</v>
      </c>
      <c r="AW647">
        <f t="shared" si="141"/>
        <v>0</v>
      </c>
      <c r="AX647">
        <f t="shared" si="142"/>
        <v>0</v>
      </c>
      <c r="AY647">
        <v>-1</v>
      </c>
      <c r="AZ647" t="s">
        <v>133</v>
      </c>
      <c r="BA647" t="s">
        <v>134</v>
      </c>
      <c r="BB647" t="s">
        <v>8</v>
      </c>
    </row>
    <row r="648" ht="34" spans="1:54">
      <c r="A648" t="s">
        <v>2283</v>
      </c>
      <c r="B648" t="s">
        <v>2118</v>
      </c>
      <c r="C648" t="s">
        <v>56</v>
      </c>
      <c r="D648">
        <v>0</v>
      </c>
      <c r="E648">
        <v>0</v>
      </c>
      <c r="F648">
        <v>11.3</v>
      </c>
      <c r="G648" t="s">
        <v>106</v>
      </c>
      <c r="H648" s="3" t="s">
        <v>2284</v>
      </c>
      <c r="I648" s="3" t="s">
        <v>2285</v>
      </c>
      <c r="J648">
        <f t="shared" si="130"/>
        <v>0</v>
      </c>
      <c r="K648">
        <f t="shared" si="131"/>
        <v>0</v>
      </c>
      <c r="L648">
        <f t="shared" si="132"/>
        <v>0</v>
      </c>
      <c r="M648">
        <f t="shared" si="133"/>
        <v>0</v>
      </c>
      <c r="N648">
        <f t="shared" si="134"/>
        <v>1</v>
      </c>
      <c r="O648">
        <f t="shared" si="135"/>
        <v>0</v>
      </c>
      <c r="P648">
        <f t="shared" si="136"/>
        <v>0</v>
      </c>
      <c r="Q648">
        <f t="shared" si="137"/>
        <v>0</v>
      </c>
      <c r="R648">
        <v>0</v>
      </c>
      <c r="S648">
        <v>0</v>
      </c>
      <c r="T648">
        <v>0</v>
      </c>
      <c r="U648">
        <v>0</v>
      </c>
      <c r="V648">
        <v>0</v>
      </c>
      <c r="W648">
        <v>0</v>
      </c>
      <c r="X648">
        <v>0</v>
      </c>
      <c r="Y648">
        <v>0</v>
      </c>
      <c r="Z648">
        <v>0</v>
      </c>
      <c r="AA648">
        <v>0</v>
      </c>
      <c r="AB648">
        <v>0</v>
      </c>
      <c r="AC648">
        <v>0</v>
      </c>
      <c r="AD648">
        <v>0</v>
      </c>
      <c r="AE648">
        <v>0</v>
      </c>
      <c r="AF648">
        <v>0</v>
      </c>
      <c r="AG648">
        <v>0</v>
      </c>
      <c r="AH648">
        <v>1</v>
      </c>
      <c r="AI648">
        <v>0</v>
      </c>
      <c r="AJ648">
        <v>0</v>
      </c>
      <c r="AK648">
        <v>0</v>
      </c>
      <c r="AL648">
        <v>0</v>
      </c>
      <c r="AM648">
        <v>0</v>
      </c>
      <c r="AN648">
        <v>0</v>
      </c>
      <c r="AO648">
        <v>0</v>
      </c>
      <c r="AP648">
        <v>0</v>
      </c>
      <c r="AQ648">
        <v>0</v>
      </c>
      <c r="AR648">
        <v>0</v>
      </c>
      <c r="AS648">
        <f t="shared" si="138"/>
        <v>1</v>
      </c>
      <c r="AT648">
        <f t="shared" si="139"/>
        <v>1</v>
      </c>
      <c r="AU648" s="3" t="s">
        <v>129</v>
      </c>
      <c r="AV648">
        <f t="shared" si="140"/>
        <v>1</v>
      </c>
      <c r="AW648">
        <f t="shared" si="141"/>
        <v>0</v>
      </c>
      <c r="AX648">
        <f t="shared" si="142"/>
        <v>0</v>
      </c>
      <c r="AY648">
        <v>4.5</v>
      </c>
      <c r="AZ648" t="s">
        <v>60</v>
      </c>
      <c r="BA648" t="s">
        <v>61</v>
      </c>
      <c r="BB648" t="s">
        <v>8</v>
      </c>
    </row>
    <row r="649" ht="118" spans="1:54">
      <c r="A649" t="s">
        <v>2286</v>
      </c>
      <c r="B649" t="s">
        <v>2118</v>
      </c>
      <c r="C649" t="s">
        <v>56</v>
      </c>
      <c r="D649">
        <v>0</v>
      </c>
      <c r="E649">
        <v>0</v>
      </c>
      <c r="F649">
        <v>7.7</v>
      </c>
      <c r="G649" t="s">
        <v>106</v>
      </c>
      <c r="H649" s="3" t="s">
        <v>2287</v>
      </c>
      <c r="I649" s="3" t="s">
        <v>2288</v>
      </c>
      <c r="J649">
        <f t="shared" si="130"/>
        <v>1</v>
      </c>
      <c r="K649">
        <f t="shared" si="131"/>
        <v>1</v>
      </c>
      <c r="L649">
        <f t="shared" si="132"/>
        <v>0</v>
      </c>
      <c r="M649">
        <f t="shared" si="133"/>
        <v>1</v>
      </c>
      <c r="N649">
        <f t="shared" si="134"/>
        <v>1</v>
      </c>
      <c r="O649">
        <f t="shared" si="135"/>
        <v>0</v>
      </c>
      <c r="P649">
        <f t="shared" si="136"/>
        <v>0</v>
      </c>
      <c r="Q649">
        <f t="shared" si="137"/>
        <v>0</v>
      </c>
      <c r="R649">
        <v>1</v>
      </c>
      <c r="S649">
        <v>0</v>
      </c>
      <c r="T649">
        <v>0</v>
      </c>
      <c r="U649">
        <v>0</v>
      </c>
      <c r="V649">
        <v>1</v>
      </c>
      <c r="W649">
        <v>0</v>
      </c>
      <c r="X649">
        <v>0</v>
      </c>
      <c r="Y649">
        <v>0</v>
      </c>
      <c r="Z649">
        <v>0</v>
      </c>
      <c r="AA649">
        <v>0</v>
      </c>
      <c r="AB649">
        <v>0</v>
      </c>
      <c r="AC649">
        <v>0</v>
      </c>
      <c r="AD649">
        <v>1</v>
      </c>
      <c r="AE649">
        <v>0</v>
      </c>
      <c r="AF649">
        <v>0</v>
      </c>
      <c r="AG649">
        <v>0</v>
      </c>
      <c r="AH649">
        <v>1</v>
      </c>
      <c r="AI649">
        <v>0</v>
      </c>
      <c r="AJ649">
        <v>0</v>
      </c>
      <c r="AK649">
        <v>0</v>
      </c>
      <c r="AL649">
        <v>0</v>
      </c>
      <c r="AM649">
        <v>0</v>
      </c>
      <c r="AN649">
        <v>0</v>
      </c>
      <c r="AO649">
        <v>0</v>
      </c>
      <c r="AP649">
        <v>0</v>
      </c>
      <c r="AQ649">
        <v>0</v>
      </c>
      <c r="AR649">
        <v>0</v>
      </c>
      <c r="AS649">
        <f t="shared" si="138"/>
        <v>4</v>
      </c>
      <c r="AT649">
        <f t="shared" si="139"/>
        <v>4</v>
      </c>
      <c r="AU649" s="3" t="s">
        <v>2289</v>
      </c>
      <c r="AV649">
        <f t="shared" si="140"/>
        <v>1</v>
      </c>
      <c r="AW649">
        <f t="shared" si="141"/>
        <v>0</v>
      </c>
      <c r="AX649">
        <f t="shared" si="142"/>
        <v>0</v>
      </c>
      <c r="AY649">
        <v>4.5</v>
      </c>
      <c r="AZ649" t="s">
        <v>60</v>
      </c>
      <c r="BA649" t="s">
        <v>61</v>
      </c>
      <c r="BB649" t="s">
        <v>8</v>
      </c>
    </row>
    <row r="650" ht="84" spans="1:54">
      <c r="A650" t="s">
        <v>2290</v>
      </c>
      <c r="B650" t="s">
        <v>2118</v>
      </c>
      <c r="C650" t="s">
        <v>56</v>
      </c>
      <c r="D650">
        <v>0</v>
      </c>
      <c r="E650">
        <v>0</v>
      </c>
      <c r="F650">
        <v>177.4</v>
      </c>
      <c r="G650" t="s">
        <v>106</v>
      </c>
      <c r="H650" s="3" t="s">
        <v>2291</v>
      </c>
      <c r="I650" s="3" t="s">
        <v>2292</v>
      </c>
      <c r="J650">
        <f t="shared" si="130"/>
        <v>0</v>
      </c>
      <c r="K650">
        <f t="shared" si="131"/>
        <v>0</v>
      </c>
      <c r="L650">
        <f t="shared" si="132"/>
        <v>0</v>
      </c>
      <c r="M650">
        <f t="shared" si="133"/>
        <v>0</v>
      </c>
      <c r="N650">
        <f t="shared" si="134"/>
        <v>1</v>
      </c>
      <c r="O650">
        <f t="shared" si="135"/>
        <v>1</v>
      </c>
      <c r="P650">
        <f t="shared" si="136"/>
        <v>0</v>
      </c>
      <c r="Q650">
        <f t="shared" si="137"/>
        <v>0</v>
      </c>
      <c r="R650">
        <v>0</v>
      </c>
      <c r="S650">
        <v>0</v>
      </c>
      <c r="T650">
        <v>0</v>
      </c>
      <c r="U650">
        <v>0</v>
      </c>
      <c r="V650">
        <v>0</v>
      </c>
      <c r="W650">
        <v>0</v>
      </c>
      <c r="X650">
        <v>0</v>
      </c>
      <c r="Y650">
        <v>0</v>
      </c>
      <c r="Z650">
        <v>0</v>
      </c>
      <c r="AA650">
        <v>0</v>
      </c>
      <c r="AB650">
        <v>0</v>
      </c>
      <c r="AC650">
        <v>0</v>
      </c>
      <c r="AD650">
        <v>0</v>
      </c>
      <c r="AE650">
        <v>0</v>
      </c>
      <c r="AF650">
        <v>0</v>
      </c>
      <c r="AG650">
        <v>0</v>
      </c>
      <c r="AH650">
        <v>1</v>
      </c>
      <c r="AI650">
        <v>1</v>
      </c>
      <c r="AJ650">
        <v>0</v>
      </c>
      <c r="AK650">
        <v>0</v>
      </c>
      <c r="AL650">
        <v>0</v>
      </c>
      <c r="AM650">
        <v>0</v>
      </c>
      <c r="AN650">
        <v>0</v>
      </c>
      <c r="AO650">
        <v>0</v>
      </c>
      <c r="AP650">
        <v>0</v>
      </c>
      <c r="AQ650">
        <v>0</v>
      </c>
      <c r="AR650">
        <v>0</v>
      </c>
      <c r="AS650">
        <f t="shared" si="138"/>
        <v>2</v>
      </c>
      <c r="AT650">
        <f t="shared" si="139"/>
        <v>2</v>
      </c>
      <c r="AU650" s="3" t="s">
        <v>103</v>
      </c>
      <c r="AV650">
        <f t="shared" si="140"/>
        <v>1</v>
      </c>
      <c r="AW650">
        <f t="shared" si="141"/>
        <v>0</v>
      </c>
      <c r="AX650">
        <f t="shared" si="142"/>
        <v>0</v>
      </c>
      <c r="AY650">
        <v>5</v>
      </c>
      <c r="AZ650" t="s">
        <v>60</v>
      </c>
      <c r="BA650" t="s">
        <v>61</v>
      </c>
      <c r="BB650" t="s">
        <v>8</v>
      </c>
    </row>
    <row r="651" ht="409.5" spans="1:54">
      <c r="A651" t="s">
        <v>2293</v>
      </c>
      <c r="B651" t="s">
        <v>2118</v>
      </c>
      <c r="C651" t="s">
        <v>116</v>
      </c>
      <c r="D651">
        <v>12</v>
      </c>
      <c r="E651">
        <v>0</v>
      </c>
      <c r="F651">
        <v>106.7</v>
      </c>
      <c r="G651" t="s">
        <v>324</v>
      </c>
      <c r="H651" s="3" t="s">
        <v>2294</v>
      </c>
      <c r="I651" s="3" t="s">
        <v>2295</v>
      </c>
      <c r="J651">
        <f t="shared" si="130"/>
        <v>1</v>
      </c>
      <c r="K651">
        <f t="shared" si="131"/>
        <v>1</v>
      </c>
      <c r="L651">
        <f t="shared" si="132"/>
        <v>1</v>
      </c>
      <c r="M651">
        <f t="shared" si="133"/>
        <v>0</v>
      </c>
      <c r="N651">
        <f t="shared" si="134"/>
        <v>1</v>
      </c>
      <c r="O651">
        <f t="shared" si="135"/>
        <v>0</v>
      </c>
      <c r="P651">
        <f t="shared" si="136"/>
        <v>0</v>
      </c>
      <c r="Q651">
        <f t="shared" si="137"/>
        <v>0</v>
      </c>
      <c r="R651">
        <v>1</v>
      </c>
      <c r="S651">
        <v>0</v>
      </c>
      <c r="T651">
        <v>0</v>
      </c>
      <c r="U651">
        <v>1</v>
      </c>
      <c r="V651">
        <v>0</v>
      </c>
      <c r="W651">
        <v>0</v>
      </c>
      <c r="X651">
        <v>0</v>
      </c>
      <c r="Y651">
        <v>0</v>
      </c>
      <c r="Z651">
        <v>0</v>
      </c>
      <c r="AA651">
        <v>1</v>
      </c>
      <c r="AB651">
        <v>0</v>
      </c>
      <c r="AC651">
        <v>0</v>
      </c>
      <c r="AD651">
        <v>0</v>
      </c>
      <c r="AE651">
        <v>0</v>
      </c>
      <c r="AF651">
        <v>0</v>
      </c>
      <c r="AG651">
        <v>1</v>
      </c>
      <c r="AH651">
        <v>0</v>
      </c>
      <c r="AI651">
        <v>0</v>
      </c>
      <c r="AJ651">
        <v>0</v>
      </c>
      <c r="AK651">
        <v>0</v>
      </c>
      <c r="AL651">
        <v>0</v>
      </c>
      <c r="AM651">
        <v>0</v>
      </c>
      <c r="AN651">
        <v>0</v>
      </c>
      <c r="AO651">
        <v>0</v>
      </c>
      <c r="AP651">
        <v>0</v>
      </c>
      <c r="AQ651">
        <v>0</v>
      </c>
      <c r="AR651">
        <v>0</v>
      </c>
      <c r="AS651">
        <f t="shared" si="138"/>
        <v>4</v>
      </c>
      <c r="AT651">
        <f t="shared" si="139"/>
        <v>4</v>
      </c>
      <c r="AU651" s="3" t="s">
        <v>2296</v>
      </c>
      <c r="AV651">
        <f t="shared" si="140"/>
        <v>1</v>
      </c>
      <c r="AW651">
        <f t="shared" si="141"/>
        <v>0</v>
      </c>
      <c r="AX651">
        <f t="shared" si="142"/>
        <v>0</v>
      </c>
      <c r="AY651">
        <v>-6</v>
      </c>
      <c r="AZ651" t="s">
        <v>133</v>
      </c>
      <c r="BA651" t="s">
        <v>134</v>
      </c>
      <c r="BB651" t="s">
        <v>8</v>
      </c>
    </row>
    <row r="652" ht="269" spans="1:54">
      <c r="A652" t="s">
        <v>2297</v>
      </c>
      <c r="B652" t="s">
        <v>2118</v>
      </c>
      <c r="C652" t="s">
        <v>116</v>
      </c>
      <c r="D652">
        <v>0</v>
      </c>
      <c r="E652">
        <v>0</v>
      </c>
      <c r="F652">
        <v>46.6</v>
      </c>
      <c r="G652" t="s">
        <v>324</v>
      </c>
      <c r="H652" s="3" t="s">
        <v>2298</v>
      </c>
      <c r="I652" s="3" t="s">
        <v>2299</v>
      </c>
      <c r="J652">
        <f t="shared" si="130"/>
        <v>1</v>
      </c>
      <c r="K652">
        <f t="shared" si="131"/>
        <v>1</v>
      </c>
      <c r="L652">
        <f t="shared" si="132"/>
        <v>0</v>
      </c>
      <c r="M652">
        <f t="shared" si="133"/>
        <v>1</v>
      </c>
      <c r="N652">
        <f t="shared" si="134"/>
        <v>0</v>
      </c>
      <c r="O652">
        <f t="shared" si="135"/>
        <v>0</v>
      </c>
      <c r="P652">
        <f t="shared" si="136"/>
        <v>0</v>
      </c>
      <c r="Q652">
        <f t="shared" si="137"/>
        <v>0</v>
      </c>
      <c r="R652">
        <v>1</v>
      </c>
      <c r="S652">
        <v>0</v>
      </c>
      <c r="T652">
        <v>1</v>
      </c>
      <c r="U652">
        <v>1</v>
      </c>
      <c r="V652">
        <v>1</v>
      </c>
      <c r="W652">
        <v>0</v>
      </c>
      <c r="X652">
        <v>0</v>
      </c>
      <c r="Y652">
        <v>0</v>
      </c>
      <c r="Z652">
        <v>0</v>
      </c>
      <c r="AA652">
        <v>0</v>
      </c>
      <c r="AB652">
        <v>0</v>
      </c>
      <c r="AC652">
        <v>0</v>
      </c>
      <c r="AD652">
        <v>1</v>
      </c>
      <c r="AE652">
        <v>0</v>
      </c>
      <c r="AF652">
        <v>0</v>
      </c>
      <c r="AG652">
        <v>0</v>
      </c>
      <c r="AH652">
        <v>0</v>
      </c>
      <c r="AI652">
        <v>0</v>
      </c>
      <c r="AJ652">
        <v>0</v>
      </c>
      <c r="AK652">
        <v>0</v>
      </c>
      <c r="AL652">
        <v>0</v>
      </c>
      <c r="AM652">
        <v>0</v>
      </c>
      <c r="AN652">
        <v>0</v>
      </c>
      <c r="AO652">
        <v>0</v>
      </c>
      <c r="AP652">
        <v>0</v>
      </c>
      <c r="AQ652">
        <v>0</v>
      </c>
      <c r="AR652">
        <v>0</v>
      </c>
      <c r="AS652">
        <f t="shared" si="138"/>
        <v>3</v>
      </c>
      <c r="AT652">
        <f t="shared" si="139"/>
        <v>5</v>
      </c>
      <c r="AU652" s="3" t="s">
        <v>2300</v>
      </c>
      <c r="AV652">
        <f t="shared" si="140"/>
        <v>1</v>
      </c>
      <c r="AW652">
        <f t="shared" si="141"/>
        <v>0</v>
      </c>
      <c r="AX652">
        <f t="shared" si="142"/>
        <v>0</v>
      </c>
      <c r="AY652">
        <v>-4</v>
      </c>
      <c r="AZ652" t="s">
        <v>133</v>
      </c>
      <c r="BA652" t="s">
        <v>134</v>
      </c>
      <c r="BB652" t="s">
        <v>8</v>
      </c>
    </row>
    <row r="653" ht="118" spans="1:54">
      <c r="A653" t="s">
        <v>2301</v>
      </c>
      <c r="B653" t="s">
        <v>2118</v>
      </c>
      <c r="C653" t="s">
        <v>116</v>
      </c>
      <c r="D653">
        <v>22</v>
      </c>
      <c r="E653">
        <v>0</v>
      </c>
      <c r="F653">
        <v>49.7</v>
      </c>
      <c r="G653" t="s">
        <v>324</v>
      </c>
      <c r="H653" s="3" t="s">
        <v>2302</v>
      </c>
      <c r="I653" s="3" t="s">
        <v>2303</v>
      </c>
      <c r="J653">
        <f t="shared" si="130"/>
        <v>0</v>
      </c>
      <c r="K653">
        <f t="shared" si="131"/>
        <v>1</v>
      </c>
      <c r="L653">
        <f t="shared" si="132"/>
        <v>0</v>
      </c>
      <c r="M653">
        <f t="shared" si="133"/>
        <v>0</v>
      </c>
      <c r="N653">
        <f t="shared" si="134"/>
        <v>0</v>
      </c>
      <c r="O653">
        <f t="shared" si="135"/>
        <v>0</v>
      </c>
      <c r="P653">
        <f t="shared" si="136"/>
        <v>0</v>
      </c>
      <c r="Q653">
        <f t="shared" si="137"/>
        <v>0</v>
      </c>
      <c r="R653">
        <v>0</v>
      </c>
      <c r="S653">
        <v>0</v>
      </c>
      <c r="T653">
        <v>0</v>
      </c>
      <c r="U653">
        <v>0</v>
      </c>
      <c r="V653">
        <v>0</v>
      </c>
      <c r="W653">
        <v>1</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Q653">
        <v>0</v>
      </c>
      <c r="AR653">
        <v>0</v>
      </c>
      <c r="AS653">
        <f t="shared" si="138"/>
        <v>1</v>
      </c>
      <c r="AT653">
        <f t="shared" si="139"/>
        <v>1</v>
      </c>
      <c r="AU653" s="3" t="s">
        <v>271</v>
      </c>
      <c r="AV653">
        <f t="shared" si="140"/>
        <v>1</v>
      </c>
      <c r="AW653">
        <f t="shared" si="141"/>
        <v>0</v>
      </c>
      <c r="AX653">
        <f t="shared" si="142"/>
        <v>0</v>
      </c>
      <c r="AY653">
        <v>2.5</v>
      </c>
      <c r="AZ653" t="s">
        <v>60</v>
      </c>
      <c r="BA653" t="s">
        <v>61</v>
      </c>
      <c r="BB653" t="s">
        <v>8</v>
      </c>
    </row>
    <row r="654" ht="68" spans="1:54">
      <c r="A654" t="s">
        <v>2304</v>
      </c>
      <c r="B654" t="s">
        <v>2118</v>
      </c>
      <c r="C654" t="s">
        <v>56</v>
      </c>
      <c r="D654">
        <v>2</v>
      </c>
      <c r="E654">
        <v>0</v>
      </c>
      <c r="F654">
        <v>98.9</v>
      </c>
      <c r="G654" t="s">
        <v>324</v>
      </c>
      <c r="H654" s="3" t="s">
        <v>2305</v>
      </c>
      <c r="I654" s="3" t="s">
        <v>2306</v>
      </c>
      <c r="J654">
        <f t="shared" si="130"/>
        <v>1</v>
      </c>
      <c r="K654">
        <f t="shared" si="131"/>
        <v>1</v>
      </c>
      <c r="L654">
        <f t="shared" si="132"/>
        <v>1</v>
      </c>
      <c r="M654">
        <f t="shared" si="133"/>
        <v>0</v>
      </c>
      <c r="N654">
        <f t="shared" si="134"/>
        <v>1</v>
      </c>
      <c r="O654">
        <f t="shared" si="135"/>
        <v>0</v>
      </c>
      <c r="P654">
        <f t="shared" si="136"/>
        <v>0</v>
      </c>
      <c r="Q654">
        <f t="shared" si="137"/>
        <v>0</v>
      </c>
      <c r="R654">
        <v>1</v>
      </c>
      <c r="S654">
        <v>0</v>
      </c>
      <c r="T654">
        <v>1</v>
      </c>
      <c r="U654">
        <v>1</v>
      </c>
      <c r="V654">
        <v>0</v>
      </c>
      <c r="W654">
        <v>0</v>
      </c>
      <c r="X654">
        <v>0</v>
      </c>
      <c r="Y654">
        <v>0</v>
      </c>
      <c r="Z654">
        <v>0</v>
      </c>
      <c r="AA654">
        <v>1</v>
      </c>
      <c r="AB654">
        <v>0</v>
      </c>
      <c r="AC654">
        <v>0</v>
      </c>
      <c r="AD654">
        <v>0</v>
      </c>
      <c r="AE654">
        <v>0</v>
      </c>
      <c r="AF654">
        <v>0</v>
      </c>
      <c r="AG654">
        <v>1</v>
      </c>
      <c r="AH654">
        <v>0</v>
      </c>
      <c r="AI654">
        <v>0</v>
      </c>
      <c r="AJ654">
        <v>0</v>
      </c>
      <c r="AK654">
        <v>0</v>
      </c>
      <c r="AL654">
        <v>0</v>
      </c>
      <c r="AM654">
        <v>0</v>
      </c>
      <c r="AN654">
        <v>0</v>
      </c>
      <c r="AO654">
        <v>0</v>
      </c>
      <c r="AP654">
        <v>0</v>
      </c>
      <c r="AQ654">
        <v>0</v>
      </c>
      <c r="AR654">
        <v>0</v>
      </c>
      <c r="AS654">
        <f t="shared" si="138"/>
        <v>4</v>
      </c>
      <c r="AT654">
        <f t="shared" si="139"/>
        <v>5</v>
      </c>
      <c r="AU654" s="3" t="s">
        <v>2307</v>
      </c>
      <c r="AV654">
        <f t="shared" si="140"/>
        <v>1</v>
      </c>
      <c r="AW654">
        <f t="shared" si="141"/>
        <v>0</v>
      </c>
      <c r="AX654">
        <f t="shared" si="142"/>
        <v>0</v>
      </c>
      <c r="AY654">
        <v>-1</v>
      </c>
      <c r="AZ654" t="s">
        <v>133</v>
      </c>
      <c r="BA654" t="s">
        <v>134</v>
      </c>
      <c r="BB654" t="s">
        <v>8</v>
      </c>
    </row>
    <row r="655" ht="185" spans="1:54">
      <c r="A655" t="s">
        <v>2308</v>
      </c>
      <c r="B655" t="s">
        <v>2118</v>
      </c>
      <c r="C655" t="s">
        <v>116</v>
      </c>
      <c r="D655">
        <v>4</v>
      </c>
      <c r="E655">
        <v>0</v>
      </c>
      <c r="F655">
        <v>48.3</v>
      </c>
      <c r="G655" t="s">
        <v>324</v>
      </c>
      <c r="H655" s="3" t="s">
        <v>2309</v>
      </c>
      <c r="I655" s="3" t="s">
        <v>2310</v>
      </c>
      <c r="J655">
        <f t="shared" si="130"/>
        <v>0</v>
      </c>
      <c r="K655">
        <f t="shared" si="131"/>
        <v>1</v>
      </c>
      <c r="L655">
        <f t="shared" si="132"/>
        <v>0</v>
      </c>
      <c r="M655">
        <f t="shared" si="133"/>
        <v>0</v>
      </c>
      <c r="N655">
        <f t="shared" si="134"/>
        <v>0</v>
      </c>
      <c r="O655">
        <f t="shared" si="135"/>
        <v>0</v>
      </c>
      <c r="P655">
        <f t="shared" si="136"/>
        <v>0</v>
      </c>
      <c r="Q655">
        <f t="shared" si="137"/>
        <v>0</v>
      </c>
      <c r="R655">
        <v>0</v>
      </c>
      <c r="S655">
        <v>0</v>
      </c>
      <c r="T655">
        <v>0</v>
      </c>
      <c r="U655">
        <v>1</v>
      </c>
      <c r="V655">
        <v>1</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f t="shared" si="138"/>
        <v>1</v>
      </c>
      <c r="AT655">
        <f t="shared" si="139"/>
        <v>2</v>
      </c>
      <c r="AU655" s="3" t="s">
        <v>1195</v>
      </c>
      <c r="AV655">
        <f t="shared" si="140"/>
        <v>1</v>
      </c>
      <c r="AW655">
        <f t="shared" si="141"/>
        <v>0</v>
      </c>
      <c r="AX655">
        <f t="shared" si="142"/>
        <v>0</v>
      </c>
      <c r="AY655">
        <v>0</v>
      </c>
      <c r="AZ655" t="s">
        <v>147</v>
      </c>
      <c r="BA655" t="s">
        <v>148</v>
      </c>
      <c r="BB655" t="s">
        <v>8</v>
      </c>
    </row>
    <row r="656" ht="51" spans="1:54">
      <c r="A656" t="s">
        <v>2311</v>
      </c>
      <c r="B656" t="s">
        <v>2118</v>
      </c>
      <c r="C656" t="s">
        <v>56</v>
      </c>
      <c r="D656">
        <v>2</v>
      </c>
      <c r="E656">
        <v>0</v>
      </c>
      <c r="F656">
        <v>12.8</v>
      </c>
      <c r="G656" t="s">
        <v>324</v>
      </c>
      <c r="H656" s="3" t="s">
        <v>2312</v>
      </c>
      <c r="I656" s="3" t="s">
        <v>2313</v>
      </c>
      <c r="J656">
        <f t="shared" si="130"/>
        <v>0</v>
      </c>
      <c r="K656">
        <f t="shared" si="131"/>
        <v>1</v>
      </c>
      <c r="L656">
        <f t="shared" si="132"/>
        <v>0</v>
      </c>
      <c r="M656">
        <f t="shared" si="133"/>
        <v>0</v>
      </c>
      <c r="N656">
        <f t="shared" si="134"/>
        <v>1</v>
      </c>
      <c r="O656">
        <f t="shared" si="135"/>
        <v>0</v>
      </c>
      <c r="P656">
        <f t="shared" si="136"/>
        <v>0</v>
      </c>
      <c r="Q656">
        <f t="shared" si="137"/>
        <v>0</v>
      </c>
      <c r="R656">
        <v>0</v>
      </c>
      <c r="S656">
        <v>0</v>
      </c>
      <c r="T656">
        <v>0</v>
      </c>
      <c r="U656">
        <v>0</v>
      </c>
      <c r="V656">
        <v>0</v>
      </c>
      <c r="W656">
        <v>1</v>
      </c>
      <c r="X656">
        <v>0</v>
      </c>
      <c r="Y656">
        <v>1</v>
      </c>
      <c r="Z656">
        <v>0</v>
      </c>
      <c r="AA656">
        <v>0</v>
      </c>
      <c r="AB656">
        <v>0</v>
      </c>
      <c r="AC656">
        <v>0</v>
      </c>
      <c r="AD656">
        <v>0</v>
      </c>
      <c r="AE656">
        <v>0</v>
      </c>
      <c r="AF656">
        <v>0</v>
      </c>
      <c r="AG656">
        <v>0</v>
      </c>
      <c r="AH656">
        <v>1</v>
      </c>
      <c r="AI656">
        <v>0</v>
      </c>
      <c r="AJ656">
        <v>0</v>
      </c>
      <c r="AK656">
        <v>0</v>
      </c>
      <c r="AL656">
        <v>0</v>
      </c>
      <c r="AM656">
        <v>0</v>
      </c>
      <c r="AN656">
        <v>0</v>
      </c>
      <c r="AO656">
        <v>0</v>
      </c>
      <c r="AP656">
        <v>0</v>
      </c>
      <c r="AQ656">
        <v>0</v>
      </c>
      <c r="AR656">
        <v>0</v>
      </c>
      <c r="AS656">
        <f t="shared" si="138"/>
        <v>2</v>
      </c>
      <c r="AT656">
        <f t="shared" si="139"/>
        <v>3</v>
      </c>
      <c r="AU656" s="3" t="s">
        <v>2314</v>
      </c>
      <c r="AV656">
        <f t="shared" si="140"/>
        <v>1</v>
      </c>
      <c r="AW656">
        <f t="shared" si="141"/>
        <v>0</v>
      </c>
      <c r="AX656">
        <f t="shared" si="142"/>
        <v>0</v>
      </c>
      <c r="AY656">
        <v>-1</v>
      </c>
      <c r="AZ656" t="s">
        <v>133</v>
      </c>
      <c r="BA656" t="s">
        <v>134</v>
      </c>
      <c r="BB656" t="s">
        <v>8</v>
      </c>
    </row>
    <row r="657" ht="409.5" spans="1:54">
      <c r="A657" t="s">
        <v>2315</v>
      </c>
      <c r="B657" t="s">
        <v>2118</v>
      </c>
      <c r="C657" t="s">
        <v>116</v>
      </c>
      <c r="D657">
        <v>9</v>
      </c>
      <c r="E657">
        <v>0</v>
      </c>
      <c r="F657">
        <v>8.2</v>
      </c>
      <c r="G657" t="s">
        <v>324</v>
      </c>
      <c r="H657" s="3" t="s">
        <v>2316</v>
      </c>
      <c r="I657" s="3" t="s">
        <v>2317</v>
      </c>
      <c r="J657">
        <f t="shared" si="130"/>
        <v>0</v>
      </c>
      <c r="K657">
        <f t="shared" si="131"/>
        <v>0</v>
      </c>
      <c r="L657">
        <f t="shared" si="132"/>
        <v>1</v>
      </c>
      <c r="M657">
        <f t="shared" si="133"/>
        <v>0</v>
      </c>
      <c r="N657">
        <f t="shared" si="134"/>
        <v>0</v>
      </c>
      <c r="O657">
        <f t="shared" si="135"/>
        <v>0</v>
      </c>
      <c r="P657">
        <f t="shared" si="136"/>
        <v>0</v>
      </c>
      <c r="Q657">
        <f t="shared" si="137"/>
        <v>0</v>
      </c>
      <c r="R657">
        <v>0</v>
      </c>
      <c r="S657">
        <v>0</v>
      </c>
      <c r="T657">
        <v>0</v>
      </c>
      <c r="U657">
        <v>0</v>
      </c>
      <c r="V657">
        <v>0</v>
      </c>
      <c r="W657">
        <v>0</v>
      </c>
      <c r="X657">
        <v>0</v>
      </c>
      <c r="Y657">
        <v>0</v>
      </c>
      <c r="Z657">
        <v>0</v>
      </c>
      <c r="AA657">
        <v>1</v>
      </c>
      <c r="AB657">
        <v>0</v>
      </c>
      <c r="AC657">
        <v>0</v>
      </c>
      <c r="AD657">
        <v>0</v>
      </c>
      <c r="AE657">
        <v>0</v>
      </c>
      <c r="AF657">
        <v>0</v>
      </c>
      <c r="AG657">
        <v>0</v>
      </c>
      <c r="AH657">
        <v>0</v>
      </c>
      <c r="AI657">
        <v>0</v>
      </c>
      <c r="AJ657">
        <v>0</v>
      </c>
      <c r="AK657">
        <v>0</v>
      </c>
      <c r="AL657">
        <v>0</v>
      </c>
      <c r="AM657">
        <v>0</v>
      </c>
      <c r="AN657">
        <v>0</v>
      </c>
      <c r="AO657">
        <v>0</v>
      </c>
      <c r="AP657">
        <v>0</v>
      </c>
      <c r="AQ657">
        <v>0</v>
      </c>
      <c r="AR657">
        <v>0</v>
      </c>
      <c r="AS657">
        <f t="shared" si="138"/>
        <v>1</v>
      </c>
      <c r="AT657">
        <f t="shared" si="139"/>
        <v>1</v>
      </c>
      <c r="AU657" s="3" t="s">
        <v>2318</v>
      </c>
      <c r="AV657">
        <f t="shared" si="140"/>
        <v>1</v>
      </c>
      <c r="AW657">
        <f t="shared" si="141"/>
        <v>0</v>
      </c>
      <c r="AX657">
        <f t="shared" si="142"/>
        <v>0</v>
      </c>
      <c r="AY657">
        <v>-3.5</v>
      </c>
      <c r="AZ657" t="s">
        <v>133</v>
      </c>
      <c r="BA657" t="s">
        <v>134</v>
      </c>
      <c r="BB657" t="s">
        <v>8</v>
      </c>
    </row>
    <row r="658" ht="219" spans="1:54">
      <c r="A658" t="s">
        <v>2319</v>
      </c>
      <c r="B658" t="s">
        <v>2118</v>
      </c>
      <c r="C658" t="s">
        <v>56</v>
      </c>
      <c r="D658">
        <v>4</v>
      </c>
      <c r="E658">
        <v>0</v>
      </c>
      <c r="F658">
        <v>43</v>
      </c>
      <c r="G658" t="s">
        <v>324</v>
      </c>
      <c r="H658" s="3" t="s">
        <v>2320</v>
      </c>
      <c r="I658" s="3" t="s">
        <v>2321</v>
      </c>
      <c r="J658">
        <f t="shared" si="130"/>
        <v>1</v>
      </c>
      <c r="K658">
        <f t="shared" si="131"/>
        <v>1</v>
      </c>
      <c r="L658">
        <f t="shared" si="132"/>
        <v>1</v>
      </c>
      <c r="M658">
        <f t="shared" si="133"/>
        <v>0</v>
      </c>
      <c r="N658">
        <f t="shared" si="134"/>
        <v>1</v>
      </c>
      <c r="O658">
        <f t="shared" si="135"/>
        <v>0</v>
      </c>
      <c r="P658">
        <f t="shared" si="136"/>
        <v>0</v>
      </c>
      <c r="Q658">
        <f t="shared" si="137"/>
        <v>0</v>
      </c>
      <c r="R658">
        <v>1</v>
      </c>
      <c r="S658">
        <v>1</v>
      </c>
      <c r="T658">
        <v>1</v>
      </c>
      <c r="U658">
        <v>1</v>
      </c>
      <c r="V658">
        <v>1</v>
      </c>
      <c r="W658">
        <v>1</v>
      </c>
      <c r="X658">
        <v>0</v>
      </c>
      <c r="Y658">
        <v>0</v>
      </c>
      <c r="Z658">
        <v>0</v>
      </c>
      <c r="AA658">
        <v>1</v>
      </c>
      <c r="AB658">
        <v>0</v>
      </c>
      <c r="AC658">
        <v>1</v>
      </c>
      <c r="AD658">
        <v>0</v>
      </c>
      <c r="AE658">
        <v>0</v>
      </c>
      <c r="AF658">
        <v>0</v>
      </c>
      <c r="AG658">
        <v>0</v>
      </c>
      <c r="AH658">
        <v>1</v>
      </c>
      <c r="AI658">
        <v>0</v>
      </c>
      <c r="AJ658">
        <v>0</v>
      </c>
      <c r="AK658">
        <v>0</v>
      </c>
      <c r="AL658">
        <v>0</v>
      </c>
      <c r="AM658">
        <v>0</v>
      </c>
      <c r="AN658">
        <v>0</v>
      </c>
      <c r="AO658">
        <v>0</v>
      </c>
      <c r="AP658">
        <v>0</v>
      </c>
      <c r="AQ658">
        <v>0</v>
      </c>
      <c r="AR658">
        <v>0</v>
      </c>
      <c r="AS658">
        <f t="shared" si="138"/>
        <v>4</v>
      </c>
      <c r="AT658">
        <f t="shared" si="139"/>
        <v>9</v>
      </c>
      <c r="AU658" s="3" t="s">
        <v>2322</v>
      </c>
      <c r="AV658">
        <f t="shared" si="140"/>
        <v>1</v>
      </c>
      <c r="AW658">
        <f t="shared" si="141"/>
        <v>0</v>
      </c>
      <c r="AX658">
        <f t="shared" si="142"/>
        <v>1</v>
      </c>
      <c r="AY658">
        <v>9</v>
      </c>
      <c r="AZ658" t="s">
        <v>60</v>
      </c>
      <c r="BA658" t="s">
        <v>61</v>
      </c>
      <c r="BB658" t="s">
        <v>8</v>
      </c>
    </row>
    <row r="659" ht="34" spans="1:54">
      <c r="A659" t="s">
        <v>2323</v>
      </c>
      <c r="B659" t="s">
        <v>2118</v>
      </c>
      <c r="C659" t="s">
        <v>116</v>
      </c>
      <c r="D659">
        <v>4</v>
      </c>
      <c r="E659">
        <v>0</v>
      </c>
      <c r="F659">
        <v>16.5</v>
      </c>
      <c r="G659" t="s">
        <v>324</v>
      </c>
      <c r="H659" s="3" t="s">
        <v>2324</v>
      </c>
      <c r="I659" s="3" t="s">
        <v>2325</v>
      </c>
      <c r="J659">
        <f t="shared" si="130"/>
        <v>1</v>
      </c>
      <c r="K659">
        <f t="shared" si="131"/>
        <v>0</v>
      </c>
      <c r="L659">
        <f t="shared" si="132"/>
        <v>0</v>
      </c>
      <c r="M659">
        <f t="shared" si="133"/>
        <v>0</v>
      </c>
      <c r="N659">
        <f t="shared" si="134"/>
        <v>1</v>
      </c>
      <c r="O659">
        <f t="shared" si="135"/>
        <v>0</v>
      </c>
      <c r="P659">
        <f t="shared" si="136"/>
        <v>0</v>
      </c>
      <c r="Q659">
        <f t="shared" si="137"/>
        <v>1</v>
      </c>
      <c r="R659">
        <v>1</v>
      </c>
      <c r="S659">
        <v>0</v>
      </c>
      <c r="T659">
        <v>0</v>
      </c>
      <c r="U659">
        <v>0</v>
      </c>
      <c r="V659">
        <v>0</v>
      </c>
      <c r="W659">
        <v>0</v>
      </c>
      <c r="X659">
        <v>0</v>
      </c>
      <c r="Y659">
        <v>0</v>
      </c>
      <c r="Z659">
        <v>0</v>
      </c>
      <c r="AA659">
        <v>0</v>
      </c>
      <c r="AB659">
        <v>0</v>
      </c>
      <c r="AC659">
        <v>0</v>
      </c>
      <c r="AD659">
        <v>0</v>
      </c>
      <c r="AE659">
        <v>0</v>
      </c>
      <c r="AF659">
        <v>0</v>
      </c>
      <c r="AG659">
        <v>0</v>
      </c>
      <c r="AH659">
        <v>1</v>
      </c>
      <c r="AI659">
        <v>0</v>
      </c>
      <c r="AJ659">
        <v>0</v>
      </c>
      <c r="AK659">
        <v>0</v>
      </c>
      <c r="AL659">
        <v>0</v>
      </c>
      <c r="AM659">
        <v>0</v>
      </c>
      <c r="AN659">
        <v>0</v>
      </c>
      <c r="AO659">
        <v>0</v>
      </c>
      <c r="AP659">
        <v>0</v>
      </c>
      <c r="AQ659">
        <v>0</v>
      </c>
      <c r="AR659">
        <v>1</v>
      </c>
      <c r="AS659">
        <f t="shared" si="138"/>
        <v>3</v>
      </c>
      <c r="AT659">
        <f t="shared" si="139"/>
        <v>3</v>
      </c>
      <c r="AU659" s="3" t="s">
        <v>204</v>
      </c>
      <c r="AV659">
        <f t="shared" si="140"/>
        <v>1</v>
      </c>
      <c r="AW659">
        <f t="shared" si="141"/>
        <v>0</v>
      </c>
      <c r="AX659">
        <f t="shared" si="142"/>
        <v>0</v>
      </c>
      <c r="AY659">
        <v>3</v>
      </c>
      <c r="AZ659" t="s">
        <v>60</v>
      </c>
      <c r="BA659" t="s">
        <v>61</v>
      </c>
      <c r="BB659" t="s">
        <v>8</v>
      </c>
    </row>
    <row r="660" ht="135" spans="1:54">
      <c r="A660" t="s">
        <v>2326</v>
      </c>
      <c r="B660" t="s">
        <v>2118</v>
      </c>
      <c r="C660" t="s">
        <v>116</v>
      </c>
      <c r="D660">
        <v>4</v>
      </c>
      <c r="E660">
        <v>0</v>
      </c>
      <c r="F660">
        <v>2.2</v>
      </c>
      <c r="G660" t="s">
        <v>324</v>
      </c>
      <c r="H660" s="3" t="s">
        <v>2327</v>
      </c>
      <c r="I660" s="3" t="s">
        <v>2328</v>
      </c>
      <c r="J660">
        <f t="shared" si="130"/>
        <v>0</v>
      </c>
      <c r="K660">
        <f t="shared" si="131"/>
        <v>1</v>
      </c>
      <c r="L660">
        <f t="shared" si="132"/>
        <v>0</v>
      </c>
      <c r="M660">
        <f t="shared" si="133"/>
        <v>0</v>
      </c>
      <c r="N660">
        <f t="shared" si="134"/>
        <v>1</v>
      </c>
      <c r="O660">
        <f t="shared" si="135"/>
        <v>0</v>
      </c>
      <c r="P660">
        <f t="shared" si="136"/>
        <v>0</v>
      </c>
      <c r="Q660">
        <f t="shared" si="137"/>
        <v>0</v>
      </c>
      <c r="R660">
        <v>0</v>
      </c>
      <c r="S660">
        <v>0</v>
      </c>
      <c r="T660">
        <v>0</v>
      </c>
      <c r="U660">
        <v>1</v>
      </c>
      <c r="V660">
        <v>1</v>
      </c>
      <c r="W660">
        <v>0</v>
      </c>
      <c r="X660">
        <v>0</v>
      </c>
      <c r="Y660">
        <v>0</v>
      </c>
      <c r="Z660">
        <v>0</v>
      </c>
      <c r="AA660">
        <v>0</v>
      </c>
      <c r="AB660">
        <v>0</v>
      </c>
      <c r="AC660">
        <v>0</v>
      </c>
      <c r="AD660">
        <v>0</v>
      </c>
      <c r="AE660">
        <v>0</v>
      </c>
      <c r="AF660">
        <v>0</v>
      </c>
      <c r="AG660">
        <v>0</v>
      </c>
      <c r="AH660">
        <v>1</v>
      </c>
      <c r="AI660">
        <v>0</v>
      </c>
      <c r="AJ660">
        <v>0</v>
      </c>
      <c r="AK660">
        <v>0</v>
      </c>
      <c r="AL660">
        <v>0</v>
      </c>
      <c r="AM660">
        <v>0</v>
      </c>
      <c r="AN660">
        <v>0</v>
      </c>
      <c r="AO660">
        <v>0</v>
      </c>
      <c r="AP660">
        <v>0</v>
      </c>
      <c r="AQ660">
        <v>0</v>
      </c>
      <c r="AR660">
        <v>0</v>
      </c>
      <c r="AS660">
        <f t="shared" si="138"/>
        <v>2</v>
      </c>
      <c r="AT660">
        <f t="shared" si="139"/>
        <v>3</v>
      </c>
      <c r="AU660" s="3" t="s">
        <v>489</v>
      </c>
      <c r="AV660">
        <f t="shared" si="140"/>
        <v>1</v>
      </c>
      <c r="AW660">
        <f t="shared" si="141"/>
        <v>0</v>
      </c>
      <c r="AX660">
        <f t="shared" si="142"/>
        <v>0</v>
      </c>
      <c r="AY660">
        <v>-3</v>
      </c>
      <c r="AZ660" t="s">
        <v>133</v>
      </c>
      <c r="BA660" t="s">
        <v>134</v>
      </c>
      <c r="BB660" t="s">
        <v>8</v>
      </c>
    </row>
    <row r="661" ht="34" spans="1:54">
      <c r="A661" t="s">
        <v>2329</v>
      </c>
      <c r="B661" t="s">
        <v>2118</v>
      </c>
      <c r="C661" t="s">
        <v>56</v>
      </c>
      <c r="D661">
        <v>0</v>
      </c>
      <c r="E661">
        <v>0</v>
      </c>
      <c r="F661">
        <v>43.8</v>
      </c>
      <c r="G661" t="s">
        <v>324</v>
      </c>
      <c r="H661" s="3" t="s">
        <v>2330</v>
      </c>
      <c r="I661" s="3" t="s">
        <v>2331</v>
      </c>
      <c r="J661">
        <f t="shared" si="130"/>
        <v>0</v>
      </c>
      <c r="K661">
        <f t="shared" si="131"/>
        <v>1</v>
      </c>
      <c r="L661">
        <f t="shared" si="132"/>
        <v>0</v>
      </c>
      <c r="M661">
        <f t="shared" si="133"/>
        <v>0</v>
      </c>
      <c r="N661">
        <f t="shared" si="134"/>
        <v>0</v>
      </c>
      <c r="O661">
        <f t="shared" si="135"/>
        <v>0</v>
      </c>
      <c r="P661">
        <f t="shared" si="136"/>
        <v>0</v>
      </c>
      <c r="Q661">
        <f t="shared" si="137"/>
        <v>0</v>
      </c>
      <c r="R661">
        <v>0</v>
      </c>
      <c r="S661">
        <v>0</v>
      </c>
      <c r="T661">
        <v>0</v>
      </c>
      <c r="U661">
        <v>1</v>
      </c>
      <c r="V661">
        <v>1</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f t="shared" si="138"/>
        <v>1</v>
      </c>
      <c r="AT661">
        <f t="shared" si="139"/>
        <v>2</v>
      </c>
      <c r="AU661" s="3" t="s">
        <v>1195</v>
      </c>
      <c r="AV661">
        <f t="shared" si="140"/>
        <v>1</v>
      </c>
      <c r="AW661">
        <f t="shared" si="141"/>
        <v>0</v>
      </c>
      <c r="AX661">
        <f t="shared" si="142"/>
        <v>0</v>
      </c>
      <c r="AY661">
        <v>4.5</v>
      </c>
      <c r="AZ661" t="s">
        <v>60</v>
      </c>
      <c r="BA661" t="s">
        <v>61</v>
      </c>
      <c r="BB661" t="s">
        <v>8</v>
      </c>
    </row>
    <row r="662" ht="404" spans="1:54">
      <c r="A662" t="s">
        <v>2332</v>
      </c>
      <c r="B662" t="s">
        <v>2118</v>
      </c>
      <c r="C662" t="s">
        <v>56</v>
      </c>
      <c r="D662">
        <v>0</v>
      </c>
      <c r="E662">
        <v>1</v>
      </c>
      <c r="F662">
        <v>70.2</v>
      </c>
      <c r="G662" t="s">
        <v>324</v>
      </c>
      <c r="H662" s="3" t="s">
        <v>2333</v>
      </c>
      <c r="I662" s="3" t="s">
        <v>2334</v>
      </c>
      <c r="J662">
        <f t="shared" si="130"/>
        <v>0</v>
      </c>
      <c r="K662">
        <f t="shared" si="131"/>
        <v>1</v>
      </c>
      <c r="L662">
        <f t="shared" si="132"/>
        <v>1</v>
      </c>
      <c r="M662">
        <f t="shared" si="133"/>
        <v>0</v>
      </c>
      <c r="N662">
        <f t="shared" si="134"/>
        <v>0</v>
      </c>
      <c r="O662">
        <f t="shared" si="135"/>
        <v>0</v>
      </c>
      <c r="P662">
        <f t="shared" si="136"/>
        <v>0</v>
      </c>
      <c r="Q662">
        <f t="shared" si="137"/>
        <v>0</v>
      </c>
      <c r="R662">
        <v>0</v>
      </c>
      <c r="S662">
        <v>0</v>
      </c>
      <c r="T662">
        <v>0</v>
      </c>
      <c r="U662">
        <v>0</v>
      </c>
      <c r="V662">
        <v>1</v>
      </c>
      <c r="W662">
        <v>1</v>
      </c>
      <c r="X662">
        <v>0</v>
      </c>
      <c r="Y662">
        <v>0</v>
      </c>
      <c r="Z662">
        <v>0</v>
      </c>
      <c r="AA662">
        <v>0</v>
      </c>
      <c r="AB662">
        <v>0</v>
      </c>
      <c r="AC662">
        <v>1</v>
      </c>
      <c r="AD662">
        <v>0</v>
      </c>
      <c r="AE662">
        <v>0</v>
      </c>
      <c r="AF662">
        <v>0</v>
      </c>
      <c r="AG662">
        <v>0</v>
      </c>
      <c r="AH662">
        <v>0</v>
      </c>
      <c r="AI662">
        <v>0</v>
      </c>
      <c r="AJ662">
        <v>0</v>
      </c>
      <c r="AK662">
        <v>0</v>
      </c>
      <c r="AL662">
        <v>0</v>
      </c>
      <c r="AM662">
        <v>0</v>
      </c>
      <c r="AN662">
        <v>0</v>
      </c>
      <c r="AO662">
        <v>0</v>
      </c>
      <c r="AP662">
        <v>0</v>
      </c>
      <c r="AQ662">
        <v>0</v>
      </c>
      <c r="AR662">
        <v>0</v>
      </c>
      <c r="AS662">
        <f t="shared" si="138"/>
        <v>2</v>
      </c>
      <c r="AT662">
        <f t="shared" si="139"/>
        <v>3</v>
      </c>
      <c r="AU662" s="3" t="s">
        <v>2161</v>
      </c>
      <c r="AV662">
        <f t="shared" si="140"/>
        <v>1</v>
      </c>
      <c r="AW662">
        <f t="shared" si="141"/>
        <v>0</v>
      </c>
      <c r="AX662">
        <f t="shared" si="142"/>
        <v>0</v>
      </c>
      <c r="AY662">
        <v>-2.5</v>
      </c>
      <c r="AZ662" t="s">
        <v>133</v>
      </c>
      <c r="BA662" t="s">
        <v>134</v>
      </c>
      <c r="BB662" t="s">
        <v>8</v>
      </c>
    </row>
    <row r="663" ht="135" spans="1:54">
      <c r="A663" t="s">
        <v>2335</v>
      </c>
      <c r="B663" t="s">
        <v>2118</v>
      </c>
      <c r="C663" t="s">
        <v>56</v>
      </c>
      <c r="D663">
        <v>3</v>
      </c>
      <c r="E663">
        <v>1</v>
      </c>
      <c r="F663">
        <v>14.7</v>
      </c>
      <c r="G663" t="s">
        <v>324</v>
      </c>
      <c r="H663" s="3" t="s">
        <v>2336</v>
      </c>
      <c r="I663" s="3" t="s">
        <v>2337</v>
      </c>
      <c r="J663">
        <f t="shared" si="130"/>
        <v>1</v>
      </c>
      <c r="K663">
        <f t="shared" si="131"/>
        <v>0</v>
      </c>
      <c r="L663">
        <f t="shared" si="132"/>
        <v>1</v>
      </c>
      <c r="M663">
        <f t="shared" si="133"/>
        <v>1</v>
      </c>
      <c r="N663">
        <f t="shared" si="134"/>
        <v>0</v>
      </c>
      <c r="O663">
        <f t="shared" si="135"/>
        <v>0</v>
      </c>
      <c r="P663">
        <f t="shared" si="136"/>
        <v>0</v>
      </c>
      <c r="Q663">
        <f t="shared" si="137"/>
        <v>0</v>
      </c>
      <c r="R663">
        <v>0</v>
      </c>
      <c r="S663">
        <v>0</v>
      </c>
      <c r="T663">
        <v>1</v>
      </c>
      <c r="U663">
        <v>0</v>
      </c>
      <c r="V663">
        <v>0</v>
      </c>
      <c r="W663">
        <v>0</v>
      </c>
      <c r="X663">
        <v>0</v>
      </c>
      <c r="Y663">
        <v>0</v>
      </c>
      <c r="Z663">
        <v>1</v>
      </c>
      <c r="AA663">
        <v>0</v>
      </c>
      <c r="AB663">
        <v>0</v>
      </c>
      <c r="AC663">
        <v>1</v>
      </c>
      <c r="AD663">
        <v>1</v>
      </c>
      <c r="AE663">
        <v>0</v>
      </c>
      <c r="AF663">
        <v>0</v>
      </c>
      <c r="AG663">
        <v>0</v>
      </c>
      <c r="AH663">
        <v>0</v>
      </c>
      <c r="AI663">
        <v>0</v>
      </c>
      <c r="AJ663">
        <v>0</v>
      </c>
      <c r="AK663">
        <v>0</v>
      </c>
      <c r="AL663">
        <v>0</v>
      </c>
      <c r="AM663">
        <v>0</v>
      </c>
      <c r="AN663">
        <v>0</v>
      </c>
      <c r="AO663">
        <v>0</v>
      </c>
      <c r="AP663">
        <v>0</v>
      </c>
      <c r="AQ663">
        <v>0</v>
      </c>
      <c r="AR663">
        <v>0</v>
      </c>
      <c r="AS663">
        <f t="shared" si="138"/>
        <v>3</v>
      </c>
      <c r="AT663">
        <f t="shared" si="139"/>
        <v>4</v>
      </c>
      <c r="AU663" s="3" t="s">
        <v>2338</v>
      </c>
      <c r="AV663">
        <f t="shared" si="140"/>
        <v>1</v>
      </c>
      <c r="AW663">
        <f t="shared" si="141"/>
        <v>0</v>
      </c>
      <c r="AX663">
        <f t="shared" si="142"/>
        <v>0</v>
      </c>
      <c r="AY663">
        <v>-1</v>
      </c>
      <c r="AZ663" t="s">
        <v>133</v>
      </c>
      <c r="BA663" t="s">
        <v>134</v>
      </c>
      <c r="BB663" t="s">
        <v>8</v>
      </c>
    </row>
    <row r="664" ht="185" spans="1:54">
      <c r="A664" t="s">
        <v>2339</v>
      </c>
      <c r="B664" t="s">
        <v>2118</v>
      </c>
      <c r="C664" t="s">
        <v>56</v>
      </c>
      <c r="D664">
        <v>0</v>
      </c>
      <c r="E664">
        <v>0</v>
      </c>
      <c r="F664">
        <v>54.1</v>
      </c>
      <c r="G664" t="s">
        <v>324</v>
      </c>
      <c r="H664" s="3" t="s">
        <v>2340</v>
      </c>
      <c r="I664" s="3" t="s">
        <v>2341</v>
      </c>
      <c r="J664">
        <f t="shared" si="130"/>
        <v>0</v>
      </c>
      <c r="K664">
        <f t="shared" si="131"/>
        <v>1</v>
      </c>
      <c r="L664">
        <f t="shared" si="132"/>
        <v>0</v>
      </c>
      <c r="M664">
        <f t="shared" si="133"/>
        <v>0</v>
      </c>
      <c r="N664">
        <f t="shared" si="134"/>
        <v>0</v>
      </c>
      <c r="O664">
        <f t="shared" si="135"/>
        <v>0</v>
      </c>
      <c r="P664">
        <f t="shared" si="136"/>
        <v>0</v>
      </c>
      <c r="Q664">
        <f t="shared" si="137"/>
        <v>0</v>
      </c>
      <c r="R664">
        <v>0</v>
      </c>
      <c r="S664">
        <v>0</v>
      </c>
      <c r="T664">
        <v>0</v>
      </c>
      <c r="U664">
        <v>1</v>
      </c>
      <c r="V664">
        <v>1</v>
      </c>
      <c r="W664">
        <v>1</v>
      </c>
      <c r="X664">
        <v>0</v>
      </c>
      <c r="Y664">
        <v>1</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f t="shared" si="138"/>
        <v>1</v>
      </c>
      <c r="AT664">
        <f t="shared" si="139"/>
        <v>4</v>
      </c>
      <c r="AU664" s="3" t="s">
        <v>2342</v>
      </c>
      <c r="AV664">
        <f t="shared" si="140"/>
        <v>1</v>
      </c>
      <c r="AW664">
        <f t="shared" si="141"/>
        <v>0</v>
      </c>
      <c r="AX664">
        <f t="shared" si="142"/>
        <v>0</v>
      </c>
      <c r="AY664">
        <v>2</v>
      </c>
      <c r="AZ664" t="s">
        <v>60</v>
      </c>
      <c r="BA664" t="s">
        <v>61</v>
      </c>
      <c r="BB664" t="s">
        <v>8</v>
      </c>
    </row>
    <row r="665" ht="135" spans="1:54">
      <c r="A665" t="s">
        <v>2343</v>
      </c>
      <c r="B665" t="s">
        <v>2118</v>
      </c>
      <c r="C665" t="s">
        <v>116</v>
      </c>
      <c r="D665">
        <v>4</v>
      </c>
      <c r="E665">
        <v>1</v>
      </c>
      <c r="F665">
        <v>25.6</v>
      </c>
      <c r="G665" t="s">
        <v>346</v>
      </c>
      <c r="H665" s="3" t="s">
        <v>2344</v>
      </c>
      <c r="I665" s="3" t="s">
        <v>2345</v>
      </c>
      <c r="J665">
        <f t="shared" si="130"/>
        <v>0</v>
      </c>
      <c r="K665">
        <f t="shared" si="131"/>
        <v>1</v>
      </c>
      <c r="L665">
        <f t="shared" si="132"/>
        <v>1</v>
      </c>
      <c r="M665">
        <f t="shared" si="133"/>
        <v>0</v>
      </c>
      <c r="N665">
        <f t="shared" si="134"/>
        <v>1</v>
      </c>
      <c r="O665">
        <f t="shared" si="135"/>
        <v>0</v>
      </c>
      <c r="P665">
        <f t="shared" si="136"/>
        <v>0</v>
      </c>
      <c r="Q665">
        <f t="shared" si="137"/>
        <v>0</v>
      </c>
      <c r="R665">
        <v>0</v>
      </c>
      <c r="S665">
        <v>0</v>
      </c>
      <c r="T665">
        <v>0</v>
      </c>
      <c r="U665">
        <v>1</v>
      </c>
      <c r="V665">
        <v>1</v>
      </c>
      <c r="W665">
        <v>1</v>
      </c>
      <c r="X665">
        <v>0</v>
      </c>
      <c r="Y665">
        <v>0</v>
      </c>
      <c r="Z665">
        <v>1</v>
      </c>
      <c r="AA665">
        <v>0</v>
      </c>
      <c r="AB665">
        <v>0</v>
      </c>
      <c r="AC665">
        <v>0</v>
      </c>
      <c r="AD665">
        <v>0</v>
      </c>
      <c r="AE665">
        <v>0</v>
      </c>
      <c r="AF665">
        <v>0</v>
      </c>
      <c r="AG665">
        <v>1</v>
      </c>
      <c r="AH665">
        <v>0</v>
      </c>
      <c r="AI665">
        <v>0</v>
      </c>
      <c r="AJ665">
        <v>0</v>
      </c>
      <c r="AK665">
        <v>0</v>
      </c>
      <c r="AL665">
        <v>0</v>
      </c>
      <c r="AM665">
        <v>0</v>
      </c>
      <c r="AN665">
        <v>0</v>
      </c>
      <c r="AO665">
        <v>0</v>
      </c>
      <c r="AP665">
        <v>0</v>
      </c>
      <c r="AQ665">
        <v>0</v>
      </c>
      <c r="AR665">
        <v>0</v>
      </c>
      <c r="AS665">
        <f t="shared" si="138"/>
        <v>3</v>
      </c>
      <c r="AT665">
        <f t="shared" si="139"/>
        <v>5</v>
      </c>
      <c r="AU665" s="3" t="s">
        <v>2346</v>
      </c>
      <c r="AV665">
        <f t="shared" si="140"/>
        <v>1</v>
      </c>
      <c r="AW665">
        <f t="shared" si="141"/>
        <v>0</v>
      </c>
      <c r="AX665">
        <f t="shared" si="142"/>
        <v>0</v>
      </c>
      <c r="AY665">
        <v>1</v>
      </c>
      <c r="AZ665" t="s">
        <v>60</v>
      </c>
      <c r="BA665" t="s">
        <v>61</v>
      </c>
      <c r="BB665" t="s">
        <v>8</v>
      </c>
    </row>
    <row r="666" ht="51" spans="1:54">
      <c r="A666" t="s">
        <v>2347</v>
      </c>
      <c r="B666" t="s">
        <v>2118</v>
      </c>
      <c r="C666" t="s">
        <v>116</v>
      </c>
      <c r="D666">
        <v>0</v>
      </c>
      <c r="E666">
        <v>0</v>
      </c>
      <c r="F666">
        <v>73.1</v>
      </c>
      <c r="G666" t="s">
        <v>346</v>
      </c>
      <c r="H666" s="3" t="s">
        <v>2348</v>
      </c>
      <c r="I666" s="3" t="s">
        <v>2349</v>
      </c>
      <c r="J666">
        <f t="shared" si="130"/>
        <v>0</v>
      </c>
      <c r="K666">
        <f t="shared" si="131"/>
        <v>0</v>
      </c>
      <c r="L666">
        <f t="shared" si="132"/>
        <v>0</v>
      </c>
      <c r="M666">
        <f t="shared" si="133"/>
        <v>1</v>
      </c>
      <c r="N666">
        <f t="shared" si="134"/>
        <v>0</v>
      </c>
      <c r="O666">
        <f t="shared" si="135"/>
        <v>0</v>
      </c>
      <c r="P666">
        <f t="shared" si="136"/>
        <v>0</v>
      </c>
      <c r="Q666">
        <f t="shared" si="137"/>
        <v>1</v>
      </c>
      <c r="R666">
        <v>0</v>
      </c>
      <c r="S666">
        <v>0</v>
      </c>
      <c r="T666">
        <v>0</v>
      </c>
      <c r="U666">
        <v>0</v>
      </c>
      <c r="V666">
        <v>0</v>
      </c>
      <c r="W666">
        <v>0</v>
      </c>
      <c r="X666">
        <v>0</v>
      </c>
      <c r="Y666">
        <v>0</v>
      </c>
      <c r="Z666">
        <v>0</v>
      </c>
      <c r="AA666">
        <v>0</v>
      </c>
      <c r="AB666">
        <v>0</v>
      </c>
      <c r="AC666">
        <v>0</v>
      </c>
      <c r="AD666">
        <v>0</v>
      </c>
      <c r="AE666">
        <v>1</v>
      </c>
      <c r="AF666">
        <v>0</v>
      </c>
      <c r="AG666">
        <v>0</v>
      </c>
      <c r="AH666">
        <v>0</v>
      </c>
      <c r="AI666">
        <v>0</v>
      </c>
      <c r="AJ666">
        <v>0</v>
      </c>
      <c r="AK666">
        <v>0</v>
      </c>
      <c r="AL666">
        <v>0</v>
      </c>
      <c r="AM666">
        <v>0</v>
      </c>
      <c r="AN666">
        <v>0</v>
      </c>
      <c r="AO666">
        <v>0</v>
      </c>
      <c r="AP666">
        <v>0</v>
      </c>
      <c r="AQ666">
        <v>0</v>
      </c>
      <c r="AR666">
        <v>1</v>
      </c>
      <c r="AS666">
        <f t="shared" si="138"/>
        <v>2</v>
      </c>
      <c r="AT666">
        <f t="shared" si="139"/>
        <v>2</v>
      </c>
      <c r="AU666" s="3" t="s">
        <v>2350</v>
      </c>
      <c r="AV666">
        <f t="shared" si="140"/>
        <v>1</v>
      </c>
      <c r="AW666">
        <f t="shared" si="141"/>
        <v>0</v>
      </c>
      <c r="AX666">
        <f t="shared" si="142"/>
        <v>0</v>
      </c>
      <c r="AY666">
        <v>-6.5</v>
      </c>
      <c r="AZ666" t="s">
        <v>133</v>
      </c>
      <c r="BA666" t="s">
        <v>134</v>
      </c>
      <c r="BB666" t="s">
        <v>8</v>
      </c>
    </row>
    <row r="667" ht="34" spans="1:54">
      <c r="A667" t="s">
        <v>2351</v>
      </c>
      <c r="B667" t="s">
        <v>2118</v>
      </c>
      <c r="C667" t="s">
        <v>56</v>
      </c>
      <c r="D667">
        <v>0</v>
      </c>
      <c r="E667">
        <v>0</v>
      </c>
      <c r="F667">
        <v>57.3</v>
      </c>
      <c r="G667" t="s">
        <v>346</v>
      </c>
      <c r="H667" s="3" t="s">
        <v>2352</v>
      </c>
      <c r="I667" s="3" t="s">
        <v>2353</v>
      </c>
      <c r="J667">
        <f t="shared" si="130"/>
        <v>0</v>
      </c>
      <c r="K667">
        <f t="shared" si="131"/>
        <v>0</v>
      </c>
      <c r="L667">
        <f t="shared" si="132"/>
        <v>0</v>
      </c>
      <c r="M667">
        <f t="shared" si="133"/>
        <v>0</v>
      </c>
      <c r="N667">
        <f t="shared" si="134"/>
        <v>1</v>
      </c>
      <c r="O667">
        <f t="shared" si="135"/>
        <v>0</v>
      </c>
      <c r="P667">
        <f t="shared" si="136"/>
        <v>0</v>
      </c>
      <c r="Q667">
        <f t="shared" si="137"/>
        <v>0</v>
      </c>
      <c r="R667">
        <v>0</v>
      </c>
      <c r="S667">
        <v>0</v>
      </c>
      <c r="T667">
        <v>0</v>
      </c>
      <c r="U667">
        <v>0</v>
      </c>
      <c r="V667">
        <v>0</v>
      </c>
      <c r="W667">
        <v>0</v>
      </c>
      <c r="X667">
        <v>0</v>
      </c>
      <c r="Y667">
        <v>0</v>
      </c>
      <c r="Z667">
        <v>0</v>
      </c>
      <c r="AA667">
        <v>0</v>
      </c>
      <c r="AB667">
        <v>0</v>
      </c>
      <c r="AC667">
        <v>0</v>
      </c>
      <c r="AD667">
        <v>0</v>
      </c>
      <c r="AE667">
        <v>0</v>
      </c>
      <c r="AF667">
        <v>0</v>
      </c>
      <c r="AG667">
        <v>0</v>
      </c>
      <c r="AH667">
        <v>1</v>
      </c>
      <c r="AI667">
        <v>0</v>
      </c>
      <c r="AJ667">
        <v>0</v>
      </c>
      <c r="AK667">
        <v>0</v>
      </c>
      <c r="AL667">
        <v>0</v>
      </c>
      <c r="AM667">
        <v>0</v>
      </c>
      <c r="AN667">
        <v>0</v>
      </c>
      <c r="AO667">
        <v>0</v>
      </c>
      <c r="AP667">
        <v>0</v>
      </c>
      <c r="AQ667">
        <v>0</v>
      </c>
      <c r="AR667">
        <v>0</v>
      </c>
      <c r="AS667">
        <f t="shared" si="138"/>
        <v>1</v>
      </c>
      <c r="AT667">
        <f t="shared" si="139"/>
        <v>1</v>
      </c>
      <c r="AU667" s="3" t="s">
        <v>129</v>
      </c>
      <c r="AV667">
        <f t="shared" si="140"/>
        <v>1</v>
      </c>
      <c r="AW667">
        <f t="shared" si="141"/>
        <v>0</v>
      </c>
      <c r="AX667">
        <f t="shared" si="142"/>
        <v>0</v>
      </c>
      <c r="AY667">
        <v>2</v>
      </c>
      <c r="AZ667" t="s">
        <v>60</v>
      </c>
      <c r="BA667" t="s">
        <v>61</v>
      </c>
      <c r="BB667" t="s">
        <v>8</v>
      </c>
    </row>
    <row r="668" ht="34" spans="1:54">
      <c r="A668" t="s">
        <v>2354</v>
      </c>
      <c r="B668" t="s">
        <v>2118</v>
      </c>
      <c r="C668" t="s">
        <v>56</v>
      </c>
      <c r="D668">
        <v>0</v>
      </c>
      <c r="E668">
        <v>0</v>
      </c>
      <c r="F668">
        <v>73.4</v>
      </c>
      <c r="G668" t="s">
        <v>346</v>
      </c>
      <c r="H668" s="3" t="s">
        <v>2355</v>
      </c>
      <c r="I668" s="3" t="s">
        <v>2356</v>
      </c>
      <c r="J668">
        <f t="shared" si="130"/>
        <v>0</v>
      </c>
      <c r="K668">
        <f t="shared" si="131"/>
        <v>0</v>
      </c>
      <c r="L668">
        <f t="shared" si="132"/>
        <v>0</v>
      </c>
      <c r="M668">
        <f t="shared" si="133"/>
        <v>0</v>
      </c>
      <c r="N668">
        <f t="shared" si="134"/>
        <v>1</v>
      </c>
      <c r="O668">
        <f t="shared" si="135"/>
        <v>0</v>
      </c>
      <c r="P668">
        <f t="shared" si="136"/>
        <v>0</v>
      </c>
      <c r="Q668">
        <f t="shared" si="137"/>
        <v>0</v>
      </c>
      <c r="R668">
        <v>0</v>
      </c>
      <c r="S668">
        <v>0</v>
      </c>
      <c r="T668">
        <v>0</v>
      </c>
      <c r="U668">
        <v>0</v>
      </c>
      <c r="V668">
        <v>0</v>
      </c>
      <c r="W668">
        <v>0</v>
      </c>
      <c r="X668">
        <v>0</v>
      </c>
      <c r="Y668">
        <v>0</v>
      </c>
      <c r="Z668">
        <v>0</v>
      </c>
      <c r="AA668">
        <v>0</v>
      </c>
      <c r="AB668">
        <v>0</v>
      </c>
      <c r="AC668">
        <v>0</v>
      </c>
      <c r="AD668">
        <v>0</v>
      </c>
      <c r="AE668">
        <v>0</v>
      </c>
      <c r="AF668">
        <v>0</v>
      </c>
      <c r="AG668">
        <v>0</v>
      </c>
      <c r="AH668">
        <v>1</v>
      </c>
      <c r="AI668">
        <v>0</v>
      </c>
      <c r="AJ668">
        <v>0</v>
      </c>
      <c r="AK668">
        <v>0</v>
      </c>
      <c r="AL668">
        <v>0</v>
      </c>
      <c r="AM668">
        <v>0</v>
      </c>
      <c r="AN668">
        <v>0</v>
      </c>
      <c r="AO668">
        <v>0</v>
      </c>
      <c r="AP668">
        <v>0</v>
      </c>
      <c r="AQ668">
        <v>0</v>
      </c>
      <c r="AR668">
        <v>0</v>
      </c>
      <c r="AS668">
        <f t="shared" si="138"/>
        <v>1</v>
      </c>
      <c r="AT668">
        <f t="shared" si="139"/>
        <v>1</v>
      </c>
      <c r="AU668" s="3" t="s">
        <v>129</v>
      </c>
      <c r="AV668">
        <f t="shared" si="140"/>
        <v>1</v>
      </c>
      <c r="AW668">
        <f t="shared" si="141"/>
        <v>0</v>
      </c>
      <c r="AX668">
        <f t="shared" si="142"/>
        <v>0</v>
      </c>
      <c r="AY668">
        <v>2.5</v>
      </c>
      <c r="AZ668" t="s">
        <v>60</v>
      </c>
      <c r="BA668" t="s">
        <v>61</v>
      </c>
      <c r="BB668" t="s">
        <v>8</v>
      </c>
    </row>
    <row r="669" ht="34" spans="1:54">
      <c r="A669" t="s">
        <v>2357</v>
      </c>
      <c r="B669" t="s">
        <v>2118</v>
      </c>
      <c r="C669" t="s">
        <v>56</v>
      </c>
      <c r="D669">
        <v>2</v>
      </c>
      <c r="E669">
        <v>0</v>
      </c>
      <c r="F669">
        <v>17.6</v>
      </c>
      <c r="G669" t="s">
        <v>346</v>
      </c>
      <c r="H669" s="3" t="s">
        <v>2358</v>
      </c>
      <c r="I669" s="3" t="s">
        <v>2359</v>
      </c>
      <c r="J669">
        <f t="shared" si="130"/>
        <v>0</v>
      </c>
      <c r="K669">
        <f t="shared" si="131"/>
        <v>0</v>
      </c>
      <c r="L669">
        <f t="shared" si="132"/>
        <v>0</v>
      </c>
      <c r="M669">
        <f t="shared" si="133"/>
        <v>1</v>
      </c>
      <c r="N669">
        <f t="shared" si="134"/>
        <v>1</v>
      </c>
      <c r="O669">
        <f t="shared" si="135"/>
        <v>0</v>
      </c>
      <c r="P669">
        <f t="shared" si="136"/>
        <v>0</v>
      </c>
      <c r="Q669">
        <f t="shared" si="137"/>
        <v>0</v>
      </c>
      <c r="R669">
        <v>0</v>
      </c>
      <c r="S669">
        <v>0</v>
      </c>
      <c r="T669">
        <v>0</v>
      </c>
      <c r="U669">
        <v>0</v>
      </c>
      <c r="V669">
        <v>0</v>
      </c>
      <c r="W669">
        <v>0</v>
      </c>
      <c r="X669">
        <v>0</v>
      </c>
      <c r="Y669">
        <v>0</v>
      </c>
      <c r="Z669">
        <v>0</v>
      </c>
      <c r="AA669">
        <v>0</v>
      </c>
      <c r="AB669">
        <v>0</v>
      </c>
      <c r="AC669">
        <v>0</v>
      </c>
      <c r="AD669">
        <v>0</v>
      </c>
      <c r="AE669">
        <v>1</v>
      </c>
      <c r="AF669">
        <v>0</v>
      </c>
      <c r="AG669">
        <v>0</v>
      </c>
      <c r="AH669">
        <v>1</v>
      </c>
      <c r="AI669">
        <v>0</v>
      </c>
      <c r="AJ669">
        <v>0</v>
      </c>
      <c r="AK669">
        <v>0</v>
      </c>
      <c r="AL669">
        <v>0</v>
      </c>
      <c r="AM669">
        <v>0</v>
      </c>
      <c r="AN669">
        <v>0</v>
      </c>
      <c r="AO669">
        <v>0</v>
      </c>
      <c r="AP669">
        <v>0</v>
      </c>
      <c r="AQ669">
        <v>0</v>
      </c>
      <c r="AR669">
        <v>0</v>
      </c>
      <c r="AS669">
        <f t="shared" si="138"/>
        <v>2</v>
      </c>
      <c r="AT669">
        <f t="shared" si="139"/>
        <v>2</v>
      </c>
      <c r="AU669" s="3" t="s">
        <v>2360</v>
      </c>
      <c r="AV669">
        <f t="shared" si="140"/>
        <v>1</v>
      </c>
      <c r="AW669">
        <f t="shared" si="141"/>
        <v>0</v>
      </c>
      <c r="AX669">
        <f t="shared" si="142"/>
        <v>0</v>
      </c>
      <c r="AY669">
        <v>0</v>
      </c>
      <c r="AZ669" t="s">
        <v>147</v>
      </c>
      <c r="BA669" t="s">
        <v>148</v>
      </c>
      <c r="BB669" t="s">
        <v>8</v>
      </c>
    </row>
    <row r="670" ht="34" spans="1:54">
      <c r="A670" t="s">
        <v>2361</v>
      </c>
      <c r="B670" t="s">
        <v>2118</v>
      </c>
      <c r="C670" t="s">
        <v>56</v>
      </c>
      <c r="D670">
        <v>0</v>
      </c>
      <c r="E670">
        <v>0</v>
      </c>
      <c r="F670">
        <v>21.3</v>
      </c>
      <c r="G670" t="s">
        <v>346</v>
      </c>
      <c r="H670" s="3" t="s">
        <v>2362</v>
      </c>
      <c r="I670" s="3" t="s">
        <v>2363</v>
      </c>
      <c r="J670">
        <f t="shared" si="130"/>
        <v>1</v>
      </c>
      <c r="K670">
        <f t="shared" si="131"/>
        <v>0</v>
      </c>
      <c r="L670">
        <f t="shared" si="132"/>
        <v>0</v>
      </c>
      <c r="M670">
        <f t="shared" si="133"/>
        <v>0</v>
      </c>
      <c r="N670">
        <f t="shared" si="134"/>
        <v>0</v>
      </c>
      <c r="O670">
        <f t="shared" si="135"/>
        <v>0</v>
      </c>
      <c r="P670">
        <f t="shared" si="136"/>
        <v>0</v>
      </c>
      <c r="Q670">
        <f t="shared" si="137"/>
        <v>0</v>
      </c>
      <c r="R670">
        <v>1</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f t="shared" si="138"/>
        <v>1</v>
      </c>
      <c r="AT670">
        <f t="shared" si="139"/>
        <v>1</v>
      </c>
      <c r="AU670" s="3" t="s">
        <v>1128</v>
      </c>
      <c r="AV670">
        <f t="shared" si="140"/>
        <v>1</v>
      </c>
      <c r="AW670">
        <f t="shared" si="141"/>
        <v>0</v>
      </c>
      <c r="AX670">
        <f t="shared" si="142"/>
        <v>0</v>
      </c>
      <c r="AY670">
        <v>0</v>
      </c>
      <c r="AZ670" t="s">
        <v>147</v>
      </c>
      <c r="BA670" t="s">
        <v>148</v>
      </c>
      <c r="BB670" t="s">
        <v>8</v>
      </c>
    </row>
    <row r="671" ht="152" spans="1:54">
      <c r="A671" t="s">
        <v>2364</v>
      </c>
      <c r="B671" t="s">
        <v>2118</v>
      </c>
      <c r="C671" t="s">
        <v>116</v>
      </c>
      <c r="D671">
        <v>3</v>
      </c>
      <c r="E671">
        <v>1</v>
      </c>
      <c r="F671">
        <v>46.6</v>
      </c>
      <c r="G671" t="s">
        <v>346</v>
      </c>
      <c r="H671" s="3" t="s">
        <v>2365</v>
      </c>
      <c r="I671" s="3" t="s">
        <v>2366</v>
      </c>
      <c r="J671">
        <f t="shared" si="130"/>
        <v>0</v>
      </c>
      <c r="K671">
        <f t="shared" si="131"/>
        <v>0</v>
      </c>
      <c r="L671">
        <f t="shared" si="132"/>
        <v>0</v>
      </c>
      <c r="M671">
        <f t="shared" si="133"/>
        <v>0</v>
      </c>
      <c r="N671">
        <f t="shared" si="134"/>
        <v>1</v>
      </c>
      <c r="O671">
        <f t="shared" si="135"/>
        <v>0</v>
      </c>
      <c r="P671">
        <f t="shared" si="136"/>
        <v>0</v>
      </c>
      <c r="Q671">
        <f t="shared" si="137"/>
        <v>0</v>
      </c>
      <c r="R671">
        <v>0</v>
      </c>
      <c r="S671">
        <v>0</v>
      </c>
      <c r="T671">
        <v>0</v>
      </c>
      <c r="U671">
        <v>0</v>
      </c>
      <c r="V671">
        <v>0</v>
      </c>
      <c r="W671">
        <v>0</v>
      </c>
      <c r="X671">
        <v>0</v>
      </c>
      <c r="Y671">
        <v>0</v>
      </c>
      <c r="Z671">
        <v>0</v>
      </c>
      <c r="AA671">
        <v>0</v>
      </c>
      <c r="AB671">
        <v>0</v>
      </c>
      <c r="AC671">
        <v>0</v>
      </c>
      <c r="AD671">
        <v>0</v>
      </c>
      <c r="AE671">
        <v>0</v>
      </c>
      <c r="AF671">
        <v>0</v>
      </c>
      <c r="AG671">
        <v>1</v>
      </c>
      <c r="AH671">
        <v>1</v>
      </c>
      <c r="AI671">
        <v>0</v>
      </c>
      <c r="AJ671">
        <v>0</v>
      </c>
      <c r="AK671">
        <v>0</v>
      </c>
      <c r="AL671">
        <v>0</v>
      </c>
      <c r="AM671">
        <v>0</v>
      </c>
      <c r="AN671">
        <v>0</v>
      </c>
      <c r="AO671">
        <v>0</v>
      </c>
      <c r="AP671">
        <v>0</v>
      </c>
      <c r="AQ671">
        <v>0</v>
      </c>
      <c r="AR671">
        <v>0</v>
      </c>
      <c r="AS671">
        <f t="shared" si="138"/>
        <v>1</v>
      </c>
      <c r="AT671">
        <f t="shared" si="139"/>
        <v>2</v>
      </c>
      <c r="AU671" s="3" t="s">
        <v>1540</v>
      </c>
      <c r="AV671">
        <f t="shared" si="140"/>
        <v>1</v>
      </c>
      <c r="AW671">
        <f t="shared" si="141"/>
        <v>0</v>
      </c>
      <c r="AX671">
        <f t="shared" si="142"/>
        <v>0</v>
      </c>
      <c r="AY671">
        <v>2.5</v>
      </c>
      <c r="AZ671" t="s">
        <v>60</v>
      </c>
      <c r="BA671" t="s">
        <v>61</v>
      </c>
      <c r="BB671" t="s">
        <v>8</v>
      </c>
    </row>
    <row r="672" ht="51" spans="1:54">
      <c r="A672" t="s">
        <v>2367</v>
      </c>
      <c r="B672" t="s">
        <v>2118</v>
      </c>
      <c r="C672" t="s">
        <v>116</v>
      </c>
      <c r="D672">
        <v>10</v>
      </c>
      <c r="E672">
        <v>0</v>
      </c>
      <c r="F672">
        <v>25.7</v>
      </c>
      <c r="G672" t="s">
        <v>346</v>
      </c>
      <c r="H672" s="3" t="s">
        <v>2368</v>
      </c>
      <c r="I672" s="3" t="s">
        <v>2369</v>
      </c>
      <c r="J672">
        <f t="shared" si="130"/>
        <v>0</v>
      </c>
      <c r="K672">
        <f t="shared" si="131"/>
        <v>0</v>
      </c>
      <c r="L672">
        <f t="shared" si="132"/>
        <v>0</v>
      </c>
      <c r="M672">
        <f t="shared" si="133"/>
        <v>0</v>
      </c>
      <c r="N672">
        <f t="shared" si="134"/>
        <v>0</v>
      </c>
      <c r="O672">
        <f t="shared" si="135"/>
        <v>0</v>
      </c>
      <c r="P672">
        <f t="shared" si="136"/>
        <v>0</v>
      </c>
      <c r="Q672">
        <f t="shared" si="137"/>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f t="shared" si="138"/>
        <v>0</v>
      </c>
      <c r="AT672">
        <f t="shared" si="139"/>
        <v>0</v>
      </c>
      <c r="AU672" s="3" t="s">
        <v>118</v>
      </c>
      <c r="AV672">
        <f t="shared" si="140"/>
        <v>0</v>
      </c>
      <c r="AW672">
        <f t="shared" si="141"/>
        <v>1</v>
      </c>
      <c r="AX672">
        <f t="shared" si="142"/>
        <v>0</v>
      </c>
      <c r="AY672">
        <v>1</v>
      </c>
      <c r="AZ672" t="s">
        <v>60</v>
      </c>
      <c r="BA672" t="s">
        <v>61</v>
      </c>
      <c r="BB672" t="s">
        <v>8</v>
      </c>
    </row>
    <row r="673" ht="135" spans="1:54">
      <c r="A673" t="s">
        <v>2370</v>
      </c>
      <c r="B673" t="s">
        <v>2118</v>
      </c>
      <c r="C673" t="s">
        <v>56</v>
      </c>
      <c r="D673">
        <v>0</v>
      </c>
      <c r="E673">
        <v>0</v>
      </c>
      <c r="F673">
        <v>38.8</v>
      </c>
      <c r="G673" t="s">
        <v>346</v>
      </c>
      <c r="H673" s="3" t="s">
        <v>2371</v>
      </c>
      <c r="I673" s="3" t="s">
        <v>2372</v>
      </c>
      <c r="J673">
        <f t="shared" si="130"/>
        <v>0</v>
      </c>
      <c r="K673">
        <f t="shared" si="131"/>
        <v>1</v>
      </c>
      <c r="L673">
        <f t="shared" si="132"/>
        <v>0</v>
      </c>
      <c r="M673">
        <f t="shared" si="133"/>
        <v>0</v>
      </c>
      <c r="N673">
        <f t="shared" si="134"/>
        <v>1</v>
      </c>
      <c r="O673">
        <f t="shared" si="135"/>
        <v>0</v>
      </c>
      <c r="P673">
        <f t="shared" si="136"/>
        <v>0</v>
      </c>
      <c r="Q673">
        <f t="shared" si="137"/>
        <v>0</v>
      </c>
      <c r="R673">
        <v>0</v>
      </c>
      <c r="S673">
        <v>0</v>
      </c>
      <c r="T673">
        <v>0</v>
      </c>
      <c r="U673">
        <v>0</v>
      </c>
      <c r="V673">
        <v>0</v>
      </c>
      <c r="W673">
        <v>1</v>
      </c>
      <c r="X673">
        <v>0</v>
      </c>
      <c r="Y673">
        <v>0</v>
      </c>
      <c r="Z673">
        <v>0</v>
      </c>
      <c r="AA673">
        <v>0</v>
      </c>
      <c r="AB673">
        <v>0</v>
      </c>
      <c r="AC673">
        <v>0</v>
      </c>
      <c r="AD673">
        <v>0</v>
      </c>
      <c r="AE673">
        <v>0</v>
      </c>
      <c r="AF673">
        <v>0</v>
      </c>
      <c r="AG673">
        <v>1</v>
      </c>
      <c r="AH673">
        <v>0</v>
      </c>
      <c r="AI673">
        <v>0</v>
      </c>
      <c r="AJ673">
        <v>0</v>
      </c>
      <c r="AK673">
        <v>0</v>
      </c>
      <c r="AL673">
        <v>0</v>
      </c>
      <c r="AM673">
        <v>0</v>
      </c>
      <c r="AN673">
        <v>0</v>
      </c>
      <c r="AO673">
        <v>0</v>
      </c>
      <c r="AP673">
        <v>0</v>
      </c>
      <c r="AQ673">
        <v>0</v>
      </c>
      <c r="AR673">
        <v>0</v>
      </c>
      <c r="AS673">
        <f t="shared" si="138"/>
        <v>2</v>
      </c>
      <c r="AT673">
        <f t="shared" si="139"/>
        <v>2</v>
      </c>
      <c r="AU673" s="3" t="s">
        <v>2373</v>
      </c>
      <c r="AV673">
        <f t="shared" si="140"/>
        <v>1</v>
      </c>
      <c r="AW673">
        <f t="shared" si="141"/>
        <v>0</v>
      </c>
      <c r="AX673">
        <f t="shared" si="142"/>
        <v>0</v>
      </c>
      <c r="AY673">
        <v>4</v>
      </c>
      <c r="AZ673" t="s">
        <v>60</v>
      </c>
      <c r="BA673" t="s">
        <v>61</v>
      </c>
      <c r="BB673" t="s">
        <v>8</v>
      </c>
    </row>
    <row r="674" ht="409.5" spans="1:54">
      <c r="A674" t="s">
        <v>2374</v>
      </c>
      <c r="B674" t="s">
        <v>2118</v>
      </c>
      <c r="C674" t="s">
        <v>116</v>
      </c>
      <c r="D674">
        <v>2</v>
      </c>
      <c r="E674">
        <v>0</v>
      </c>
      <c r="F674">
        <v>49</v>
      </c>
      <c r="G674" t="s">
        <v>346</v>
      </c>
      <c r="H674" s="3" t="s">
        <v>2375</v>
      </c>
      <c r="I674" s="3" t="s">
        <v>2376</v>
      </c>
      <c r="J674">
        <f t="shared" si="130"/>
        <v>1</v>
      </c>
      <c r="K674">
        <f t="shared" si="131"/>
        <v>1</v>
      </c>
      <c r="L674">
        <f t="shared" si="132"/>
        <v>1</v>
      </c>
      <c r="M674">
        <f t="shared" si="133"/>
        <v>0</v>
      </c>
      <c r="N674">
        <f t="shared" si="134"/>
        <v>0</v>
      </c>
      <c r="O674">
        <f t="shared" si="135"/>
        <v>1</v>
      </c>
      <c r="P674">
        <f t="shared" si="136"/>
        <v>1</v>
      </c>
      <c r="Q674">
        <f t="shared" si="137"/>
        <v>0</v>
      </c>
      <c r="R674">
        <v>0</v>
      </c>
      <c r="S674">
        <v>0</v>
      </c>
      <c r="T674">
        <v>1</v>
      </c>
      <c r="U674">
        <v>1</v>
      </c>
      <c r="V674">
        <v>0</v>
      </c>
      <c r="W674">
        <v>1</v>
      </c>
      <c r="X674">
        <v>0</v>
      </c>
      <c r="Y674">
        <v>0</v>
      </c>
      <c r="Z674">
        <v>1</v>
      </c>
      <c r="AA674">
        <v>0</v>
      </c>
      <c r="AB674">
        <v>0</v>
      </c>
      <c r="AC674">
        <v>1</v>
      </c>
      <c r="AD674">
        <v>0</v>
      </c>
      <c r="AE674">
        <v>0</v>
      </c>
      <c r="AF674">
        <v>0</v>
      </c>
      <c r="AG674">
        <v>0</v>
      </c>
      <c r="AH674">
        <v>0</v>
      </c>
      <c r="AI674">
        <v>1</v>
      </c>
      <c r="AJ674">
        <v>0</v>
      </c>
      <c r="AK674">
        <v>0</v>
      </c>
      <c r="AL674">
        <v>0</v>
      </c>
      <c r="AM674">
        <v>0</v>
      </c>
      <c r="AN674">
        <v>1</v>
      </c>
      <c r="AO674">
        <v>0</v>
      </c>
      <c r="AP674">
        <v>0</v>
      </c>
      <c r="AQ674">
        <v>0</v>
      </c>
      <c r="AR674">
        <v>0</v>
      </c>
      <c r="AS674">
        <f t="shared" si="138"/>
        <v>5</v>
      </c>
      <c r="AT674">
        <f t="shared" si="139"/>
        <v>7</v>
      </c>
      <c r="AU674" s="3" t="s">
        <v>2377</v>
      </c>
      <c r="AV674">
        <f t="shared" si="140"/>
        <v>1</v>
      </c>
      <c r="AW674">
        <f t="shared" si="141"/>
        <v>0</v>
      </c>
      <c r="AX674">
        <f t="shared" si="142"/>
        <v>0</v>
      </c>
      <c r="AY674">
        <v>2.5</v>
      </c>
      <c r="AZ674" t="s">
        <v>60</v>
      </c>
      <c r="BA674" t="s">
        <v>61</v>
      </c>
      <c r="BB674" t="s">
        <v>8</v>
      </c>
    </row>
    <row r="675" ht="84" spans="1:54">
      <c r="A675" t="s">
        <v>2378</v>
      </c>
      <c r="B675" t="s">
        <v>2118</v>
      </c>
      <c r="C675" t="s">
        <v>56</v>
      </c>
      <c r="D675">
        <v>5</v>
      </c>
      <c r="E675">
        <v>0</v>
      </c>
      <c r="F675">
        <v>48.9</v>
      </c>
      <c r="G675" t="s">
        <v>346</v>
      </c>
      <c r="H675" s="3" t="s">
        <v>2379</v>
      </c>
      <c r="I675" s="3" t="s">
        <v>2380</v>
      </c>
      <c r="J675">
        <f t="shared" si="130"/>
        <v>0</v>
      </c>
      <c r="K675">
        <f t="shared" si="131"/>
        <v>1</v>
      </c>
      <c r="L675">
        <f t="shared" si="132"/>
        <v>0</v>
      </c>
      <c r="M675">
        <f t="shared" si="133"/>
        <v>0</v>
      </c>
      <c r="N675">
        <f t="shared" si="134"/>
        <v>1</v>
      </c>
      <c r="O675">
        <f t="shared" si="135"/>
        <v>0</v>
      </c>
      <c r="P675">
        <f t="shared" si="136"/>
        <v>0</v>
      </c>
      <c r="Q675">
        <f t="shared" si="137"/>
        <v>0</v>
      </c>
      <c r="R675">
        <v>0</v>
      </c>
      <c r="S675">
        <v>0</v>
      </c>
      <c r="T675">
        <v>0</v>
      </c>
      <c r="U675">
        <v>1</v>
      </c>
      <c r="V675">
        <v>0</v>
      </c>
      <c r="W675">
        <v>1</v>
      </c>
      <c r="X675">
        <v>0</v>
      </c>
      <c r="Y675">
        <v>0</v>
      </c>
      <c r="Z675">
        <v>0</v>
      </c>
      <c r="AA675">
        <v>0</v>
      </c>
      <c r="AB675">
        <v>0</v>
      </c>
      <c r="AC675">
        <v>0</v>
      </c>
      <c r="AD675">
        <v>0</v>
      </c>
      <c r="AE675">
        <v>0</v>
      </c>
      <c r="AF675">
        <v>0</v>
      </c>
      <c r="AG675">
        <v>0</v>
      </c>
      <c r="AH675">
        <v>1</v>
      </c>
      <c r="AI675">
        <v>0</v>
      </c>
      <c r="AJ675">
        <v>0</v>
      </c>
      <c r="AK675">
        <v>0</v>
      </c>
      <c r="AL675">
        <v>0</v>
      </c>
      <c r="AM675">
        <v>0</v>
      </c>
      <c r="AN675">
        <v>0</v>
      </c>
      <c r="AO675">
        <v>0</v>
      </c>
      <c r="AP675">
        <v>0</v>
      </c>
      <c r="AQ675">
        <v>0</v>
      </c>
      <c r="AR675">
        <v>0</v>
      </c>
      <c r="AS675">
        <f t="shared" si="138"/>
        <v>2</v>
      </c>
      <c r="AT675">
        <f t="shared" si="139"/>
        <v>3</v>
      </c>
      <c r="AU675" s="3" t="s">
        <v>1237</v>
      </c>
      <c r="AV675">
        <f t="shared" si="140"/>
        <v>1</v>
      </c>
      <c r="AW675">
        <f t="shared" si="141"/>
        <v>0</v>
      </c>
      <c r="AX675">
        <f t="shared" si="142"/>
        <v>0</v>
      </c>
      <c r="AY675">
        <v>7.5</v>
      </c>
      <c r="AZ675" t="s">
        <v>60</v>
      </c>
      <c r="BA675" t="s">
        <v>61</v>
      </c>
      <c r="BB675" t="s">
        <v>8</v>
      </c>
    </row>
    <row r="676" ht="34" spans="1:54">
      <c r="A676" t="s">
        <v>2381</v>
      </c>
      <c r="B676" t="s">
        <v>2118</v>
      </c>
      <c r="C676" t="s">
        <v>56</v>
      </c>
      <c r="D676">
        <v>6</v>
      </c>
      <c r="E676">
        <v>3</v>
      </c>
      <c r="F676">
        <v>57.9</v>
      </c>
      <c r="G676" t="s">
        <v>346</v>
      </c>
      <c r="H676" s="3" t="s">
        <v>2382</v>
      </c>
      <c r="I676" s="3" t="s">
        <v>2383</v>
      </c>
      <c r="J676">
        <f t="shared" si="130"/>
        <v>1</v>
      </c>
      <c r="K676">
        <f t="shared" si="131"/>
        <v>0</v>
      </c>
      <c r="L676">
        <f t="shared" si="132"/>
        <v>0</v>
      </c>
      <c r="M676">
        <f t="shared" si="133"/>
        <v>0</v>
      </c>
      <c r="N676">
        <f t="shared" si="134"/>
        <v>0</v>
      </c>
      <c r="O676">
        <f t="shared" si="135"/>
        <v>1</v>
      </c>
      <c r="P676">
        <f t="shared" si="136"/>
        <v>0</v>
      </c>
      <c r="Q676">
        <f t="shared" si="137"/>
        <v>0</v>
      </c>
      <c r="R676">
        <v>0</v>
      </c>
      <c r="S676">
        <v>0</v>
      </c>
      <c r="T676">
        <v>1</v>
      </c>
      <c r="U676">
        <v>0</v>
      </c>
      <c r="V676">
        <v>0</v>
      </c>
      <c r="W676">
        <v>0</v>
      </c>
      <c r="X676">
        <v>0</v>
      </c>
      <c r="Y676">
        <v>0</v>
      </c>
      <c r="Z676">
        <v>0</v>
      </c>
      <c r="AA676">
        <v>0</v>
      </c>
      <c r="AB676">
        <v>0</v>
      </c>
      <c r="AC676">
        <v>0</v>
      </c>
      <c r="AD676">
        <v>0</v>
      </c>
      <c r="AE676">
        <v>0</v>
      </c>
      <c r="AF676">
        <v>0</v>
      </c>
      <c r="AG676">
        <v>0</v>
      </c>
      <c r="AH676">
        <v>0</v>
      </c>
      <c r="AI676">
        <v>0</v>
      </c>
      <c r="AJ676">
        <v>0</v>
      </c>
      <c r="AK676">
        <v>1</v>
      </c>
      <c r="AL676">
        <v>0</v>
      </c>
      <c r="AM676">
        <v>0</v>
      </c>
      <c r="AN676">
        <v>0</v>
      </c>
      <c r="AO676">
        <v>0</v>
      </c>
      <c r="AP676">
        <v>0</v>
      </c>
      <c r="AQ676">
        <v>0</v>
      </c>
      <c r="AR676">
        <v>0</v>
      </c>
      <c r="AS676">
        <f t="shared" si="138"/>
        <v>2</v>
      </c>
      <c r="AT676">
        <f t="shared" si="139"/>
        <v>2</v>
      </c>
      <c r="AU676" s="3" t="s">
        <v>2384</v>
      </c>
      <c r="AV676">
        <f t="shared" si="140"/>
        <v>1</v>
      </c>
      <c r="AW676">
        <f t="shared" si="141"/>
        <v>0</v>
      </c>
      <c r="AX676">
        <f t="shared" si="142"/>
        <v>0</v>
      </c>
      <c r="AY676">
        <v>1</v>
      </c>
      <c r="AZ676" t="s">
        <v>60</v>
      </c>
      <c r="BA676" t="s">
        <v>61</v>
      </c>
      <c r="BB676" t="s">
        <v>8</v>
      </c>
    </row>
    <row r="677" ht="336" spans="1:54">
      <c r="A677" t="s">
        <v>2385</v>
      </c>
      <c r="B677" t="s">
        <v>2118</v>
      </c>
      <c r="C677" t="s">
        <v>116</v>
      </c>
      <c r="D677">
        <v>0</v>
      </c>
      <c r="E677">
        <v>0</v>
      </c>
      <c r="F677">
        <v>32.4</v>
      </c>
      <c r="G677" t="s">
        <v>346</v>
      </c>
      <c r="H677" s="3" t="s">
        <v>2386</v>
      </c>
      <c r="I677" s="3" t="s">
        <v>2387</v>
      </c>
      <c r="J677">
        <f t="shared" si="130"/>
        <v>0</v>
      </c>
      <c r="K677">
        <f t="shared" si="131"/>
        <v>1</v>
      </c>
      <c r="L677">
        <f t="shared" si="132"/>
        <v>0</v>
      </c>
      <c r="M677">
        <f t="shared" si="133"/>
        <v>1</v>
      </c>
      <c r="N677">
        <f t="shared" si="134"/>
        <v>1</v>
      </c>
      <c r="O677">
        <f t="shared" si="135"/>
        <v>0</v>
      </c>
      <c r="P677">
        <f t="shared" si="136"/>
        <v>0</v>
      </c>
      <c r="Q677">
        <f t="shared" si="137"/>
        <v>0</v>
      </c>
      <c r="R677">
        <v>0</v>
      </c>
      <c r="S677">
        <v>0</v>
      </c>
      <c r="T677">
        <v>0</v>
      </c>
      <c r="U677">
        <v>0</v>
      </c>
      <c r="V677">
        <v>0</v>
      </c>
      <c r="W677">
        <v>1</v>
      </c>
      <c r="X677">
        <v>0</v>
      </c>
      <c r="Y677">
        <v>0</v>
      </c>
      <c r="Z677">
        <v>0</v>
      </c>
      <c r="AA677">
        <v>0</v>
      </c>
      <c r="AB677">
        <v>0</v>
      </c>
      <c r="AC677">
        <v>0</v>
      </c>
      <c r="AD677">
        <v>1</v>
      </c>
      <c r="AE677">
        <v>0</v>
      </c>
      <c r="AF677">
        <v>0</v>
      </c>
      <c r="AG677">
        <v>0</v>
      </c>
      <c r="AH677">
        <v>1</v>
      </c>
      <c r="AI677">
        <v>0</v>
      </c>
      <c r="AJ677">
        <v>0</v>
      </c>
      <c r="AK677">
        <v>0</v>
      </c>
      <c r="AL677">
        <v>0</v>
      </c>
      <c r="AM677">
        <v>0</v>
      </c>
      <c r="AN677">
        <v>0</v>
      </c>
      <c r="AO677">
        <v>0</v>
      </c>
      <c r="AP677">
        <v>0</v>
      </c>
      <c r="AQ677">
        <v>0</v>
      </c>
      <c r="AR677">
        <v>0</v>
      </c>
      <c r="AS677">
        <f t="shared" si="138"/>
        <v>3</v>
      </c>
      <c r="AT677">
        <f t="shared" si="139"/>
        <v>3</v>
      </c>
      <c r="AU677" s="3" t="s">
        <v>2388</v>
      </c>
      <c r="AV677">
        <f t="shared" si="140"/>
        <v>1</v>
      </c>
      <c r="AW677">
        <f t="shared" si="141"/>
        <v>0</v>
      </c>
      <c r="AX677">
        <f t="shared" si="142"/>
        <v>0</v>
      </c>
      <c r="AY677">
        <v>-2.5</v>
      </c>
      <c r="AZ677" t="s">
        <v>133</v>
      </c>
      <c r="BA677" t="s">
        <v>134</v>
      </c>
      <c r="BB677" t="s">
        <v>8</v>
      </c>
    </row>
    <row r="678" ht="34" spans="1:54">
      <c r="A678" t="s">
        <v>2389</v>
      </c>
      <c r="B678" t="s">
        <v>2118</v>
      </c>
      <c r="C678" t="s">
        <v>56</v>
      </c>
      <c r="D678">
        <v>0</v>
      </c>
      <c r="E678">
        <v>0</v>
      </c>
      <c r="F678">
        <v>64.7</v>
      </c>
      <c r="G678" t="s">
        <v>346</v>
      </c>
      <c r="H678" s="3" t="s">
        <v>2390</v>
      </c>
      <c r="I678" s="3" t="s">
        <v>2391</v>
      </c>
      <c r="J678">
        <f t="shared" si="130"/>
        <v>0</v>
      </c>
      <c r="K678">
        <f t="shared" si="131"/>
        <v>0</v>
      </c>
      <c r="L678">
        <f t="shared" si="132"/>
        <v>0</v>
      </c>
      <c r="M678">
        <f t="shared" si="133"/>
        <v>0</v>
      </c>
      <c r="N678">
        <f t="shared" si="134"/>
        <v>0</v>
      </c>
      <c r="O678">
        <f t="shared" si="135"/>
        <v>0</v>
      </c>
      <c r="P678">
        <f t="shared" si="136"/>
        <v>0</v>
      </c>
      <c r="Q678">
        <f t="shared" si="137"/>
        <v>1</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1</v>
      </c>
      <c r="AS678">
        <f t="shared" si="138"/>
        <v>1</v>
      </c>
      <c r="AT678">
        <f t="shared" si="139"/>
        <v>1</v>
      </c>
      <c r="AU678" s="3" t="s">
        <v>157</v>
      </c>
      <c r="AV678">
        <f t="shared" si="140"/>
        <v>1</v>
      </c>
      <c r="AW678">
        <f t="shared" si="141"/>
        <v>0</v>
      </c>
      <c r="AX678">
        <f t="shared" si="142"/>
        <v>0</v>
      </c>
      <c r="AY678">
        <v>1</v>
      </c>
      <c r="AZ678" t="s">
        <v>60</v>
      </c>
      <c r="BA678" t="s">
        <v>61</v>
      </c>
      <c r="BB678" t="s">
        <v>8</v>
      </c>
    </row>
    <row r="679" ht="118" spans="1:54">
      <c r="A679" t="s">
        <v>2392</v>
      </c>
      <c r="B679" t="s">
        <v>2118</v>
      </c>
      <c r="C679" t="s">
        <v>56</v>
      </c>
      <c r="D679">
        <v>0</v>
      </c>
      <c r="E679">
        <v>0</v>
      </c>
      <c r="F679">
        <v>46.5</v>
      </c>
      <c r="G679" t="s">
        <v>346</v>
      </c>
      <c r="H679" s="3" t="s">
        <v>2393</v>
      </c>
      <c r="I679" s="3" t="s">
        <v>2394</v>
      </c>
      <c r="J679">
        <f t="shared" si="130"/>
        <v>0</v>
      </c>
      <c r="K679">
        <f t="shared" si="131"/>
        <v>0</v>
      </c>
      <c r="L679">
        <f t="shared" si="132"/>
        <v>0</v>
      </c>
      <c r="M679">
        <f t="shared" si="133"/>
        <v>0</v>
      </c>
      <c r="N679">
        <f t="shared" si="134"/>
        <v>0</v>
      </c>
      <c r="O679">
        <f t="shared" si="135"/>
        <v>0</v>
      </c>
      <c r="P679">
        <f t="shared" si="136"/>
        <v>0</v>
      </c>
      <c r="Q679">
        <f t="shared" si="137"/>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f t="shared" si="138"/>
        <v>0</v>
      </c>
      <c r="AT679">
        <f t="shared" si="139"/>
        <v>0</v>
      </c>
      <c r="AU679" s="3" t="s">
        <v>118</v>
      </c>
      <c r="AV679">
        <f t="shared" si="140"/>
        <v>0</v>
      </c>
      <c r="AW679">
        <f t="shared" si="141"/>
        <v>1</v>
      </c>
      <c r="AX679">
        <f t="shared" si="142"/>
        <v>0</v>
      </c>
      <c r="AY679">
        <v>4</v>
      </c>
      <c r="AZ679" t="s">
        <v>60</v>
      </c>
      <c r="BA679" t="s">
        <v>61</v>
      </c>
      <c r="BB679" t="s">
        <v>8</v>
      </c>
    </row>
    <row r="680" ht="68" spans="1:54">
      <c r="A680" t="s">
        <v>2395</v>
      </c>
      <c r="B680" t="s">
        <v>2118</v>
      </c>
      <c r="C680" t="s">
        <v>56</v>
      </c>
      <c r="D680">
        <v>0</v>
      </c>
      <c r="E680">
        <v>1</v>
      </c>
      <c r="F680">
        <v>51.4</v>
      </c>
      <c r="G680" t="s">
        <v>375</v>
      </c>
      <c r="H680" s="3" t="s">
        <v>2396</v>
      </c>
      <c r="I680" s="3" t="s">
        <v>2397</v>
      </c>
      <c r="J680">
        <f t="shared" si="130"/>
        <v>0</v>
      </c>
      <c r="K680">
        <f t="shared" si="131"/>
        <v>0</v>
      </c>
      <c r="L680">
        <f t="shared" si="132"/>
        <v>1</v>
      </c>
      <c r="M680">
        <f t="shared" si="133"/>
        <v>0</v>
      </c>
      <c r="N680">
        <f t="shared" si="134"/>
        <v>0</v>
      </c>
      <c r="O680">
        <f t="shared" si="135"/>
        <v>0</v>
      </c>
      <c r="P680">
        <f t="shared" si="136"/>
        <v>0</v>
      </c>
      <c r="Q680">
        <f t="shared" si="137"/>
        <v>0</v>
      </c>
      <c r="R680">
        <v>0</v>
      </c>
      <c r="S680">
        <v>0</v>
      </c>
      <c r="T680">
        <v>0</v>
      </c>
      <c r="U680">
        <v>0</v>
      </c>
      <c r="V680">
        <v>0</v>
      </c>
      <c r="W680">
        <v>0</v>
      </c>
      <c r="X680">
        <v>0</v>
      </c>
      <c r="Y680">
        <v>0</v>
      </c>
      <c r="Z680">
        <v>1</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f t="shared" si="138"/>
        <v>1</v>
      </c>
      <c r="AT680">
        <f t="shared" si="139"/>
        <v>1</v>
      </c>
      <c r="AU680" s="3" t="s">
        <v>146</v>
      </c>
      <c r="AV680">
        <f t="shared" si="140"/>
        <v>1</v>
      </c>
      <c r="AW680">
        <f t="shared" si="141"/>
        <v>0</v>
      </c>
      <c r="AX680">
        <f t="shared" si="142"/>
        <v>0</v>
      </c>
      <c r="AY680">
        <v>0</v>
      </c>
      <c r="AZ680" t="s">
        <v>147</v>
      </c>
      <c r="BA680" t="s">
        <v>148</v>
      </c>
      <c r="BB680" t="s">
        <v>8</v>
      </c>
    </row>
    <row r="681" ht="34" spans="1:54">
      <c r="A681" t="s">
        <v>2398</v>
      </c>
      <c r="B681" t="s">
        <v>2118</v>
      </c>
      <c r="C681" t="s">
        <v>116</v>
      </c>
      <c r="D681">
        <v>4</v>
      </c>
      <c r="E681">
        <v>0</v>
      </c>
      <c r="F681">
        <v>1.2</v>
      </c>
      <c r="G681" t="s">
        <v>375</v>
      </c>
      <c r="H681" s="3" t="s">
        <v>2399</v>
      </c>
      <c r="I681" s="3" t="s">
        <v>2400</v>
      </c>
      <c r="J681">
        <f t="shared" si="130"/>
        <v>0</v>
      </c>
      <c r="K681">
        <f t="shared" si="131"/>
        <v>1</v>
      </c>
      <c r="L681">
        <f t="shared" si="132"/>
        <v>0</v>
      </c>
      <c r="M681">
        <f t="shared" si="133"/>
        <v>1</v>
      </c>
      <c r="N681">
        <f t="shared" si="134"/>
        <v>1</v>
      </c>
      <c r="O681">
        <f t="shared" si="135"/>
        <v>0</v>
      </c>
      <c r="P681">
        <f t="shared" si="136"/>
        <v>0</v>
      </c>
      <c r="Q681">
        <f t="shared" si="137"/>
        <v>0</v>
      </c>
      <c r="R681">
        <v>0</v>
      </c>
      <c r="S681">
        <v>0</v>
      </c>
      <c r="T681">
        <v>0</v>
      </c>
      <c r="U681">
        <v>0</v>
      </c>
      <c r="V681">
        <v>0</v>
      </c>
      <c r="W681">
        <v>1</v>
      </c>
      <c r="X681">
        <v>0</v>
      </c>
      <c r="Y681">
        <v>0</v>
      </c>
      <c r="Z681">
        <v>0</v>
      </c>
      <c r="AA681">
        <v>0</v>
      </c>
      <c r="AB681">
        <v>0</v>
      </c>
      <c r="AC681">
        <v>0</v>
      </c>
      <c r="AD681">
        <v>0</v>
      </c>
      <c r="AE681">
        <v>1</v>
      </c>
      <c r="AF681">
        <v>0</v>
      </c>
      <c r="AG681">
        <v>0</v>
      </c>
      <c r="AH681">
        <v>1</v>
      </c>
      <c r="AI681">
        <v>0</v>
      </c>
      <c r="AJ681">
        <v>0</v>
      </c>
      <c r="AK681">
        <v>0</v>
      </c>
      <c r="AL681">
        <v>0</v>
      </c>
      <c r="AM681">
        <v>0</v>
      </c>
      <c r="AN681">
        <v>0</v>
      </c>
      <c r="AO681">
        <v>0</v>
      </c>
      <c r="AP681">
        <v>0</v>
      </c>
      <c r="AQ681">
        <v>0</v>
      </c>
      <c r="AR681">
        <v>0</v>
      </c>
      <c r="AS681">
        <f t="shared" si="138"/>
        <v>3</v>
      </c>
      <c r="AT681">
        <f t="shared" si="139"/>
        <v>3</v>
      </c>
      <c r="AU681" s="3" t="s">
        <v>2401</v>
      </c>
      <c r="AV681">
        <f t="shared" si="140"/>
        <v>1</v>
      </c>
      <c r="AW681">
        <f t="shared" si="141"/>
        <v>0</v>
      </c>
      <c r="AX681">
        <f t="shared" si="142"/>
        <v>0</v>
      </c>
      <c r="AY681">
        <v>-2</v>
      </c>
      <c r="AZ681" t="s">
        <v>133</v>
      </c>
      <c r="BA681" t="s">
        <v>134</v>
      </c>
      <c r="BB681" t="s">
        <v>8</v>
      </c>
    </row>
    <row r="682" ht="101" spans="1:54">
      <c r="A682" t="s">
        <v>2402</v>
      </c>
      <c r="B682" t="s">
        <v>2118</v>
      </c>
      <c r="C682" t="s">
        <v>116</v>
      </c>
      <c r="D682">
        <v>0</v>
      </c>
      <c r="E682">
        <v>0</v>
      </c>
      <c r="F682">
        <v>1.5</v>
      </c>
      <c r="G682" t="s">
        <v>375</v>
      </c>
      <c r="H682" s="3" t="s">
        <v>2403</v>
      </c>
      <c r="I682" s="3" t="s">
        <v>2404</v>
      </c>
      <c r="J682">
        <f t="shared" si="130"/>
        <v>0</v>
      </c>
      <c r="K682">
        <f t="shared" si="131"/>
        <v>0</v>
      </c>
      <c r="L682">
        <f t="shared" si="132"/>
        <v>0</v>
      </c>
      <c r="M682">
        <f t="shared" si="133"/>
        <v>0</v>
      </c>
      <c r="N682">
        <f t="shared" si="134"/>
        <v>1</v>
      </c>
      <c r="O682">
        <f t="shared" si="135"/>
        <v>0</v>
      </c>
      <c r="P682">
        <f t="shared" si="136"/>
        <v>0</v>
      </c>
      <c r="Q682">
        <f t="shared" si="137"/>
        <v>0</v>
      </c>
      <c r="R682">
        <v>0</v>
      </c>
      <c r="S682">
        <v>0</v>
      </c>
      <c r="T682">
        <v>0</v>
      </c>
      <c r="U682">
        <v>0</v>
      </c>
      <c r="V682">
        <v>0</v>
      </c>
      <c r="W682">
        <v>0</v>
      </c>
      <c r="X682">
        <v>0</v>
      </c>
      <c r="Y682">
        <v>0</v>
      </c>
      <c r="Z682">
        <v>0</v>
      </c>
      <c r="AA682">
        <v>0</v>
      </c>
      <c r="AB682">
        <v>0</v>
      </c>
      <c r="AC682">
        <v>0</v>
      </c>
      <c r="AD682">
        <v>0</v>
      </c>
      <c r="AE682">
        <v>0</v>
      </c>
      <c r="AF682">
        <v>0</v>
      </c>
      <c r="AG682">
        <v>0</v>
      </c>
      <c r="AH682">
        <v>1</v>
      </c>
      <c r="AI682">
        <v>0</v>
      </c>
      <c r="AJ682">
        <v>0</v>
      </c>
      <c r="AK682">
        <v>0</v>
      </c>
      <c r="AL682">
        <v>0</v>
      </c>
      <c r="AM682">
        <v>0</v>
      </c>
      <c r="AN682">
        <v>0</v>
      </c>
      <c r="AO682">
        <v>0</v>
      </c>
      <c r="AP682">
        <v>0</v>
      </c>
      <c r="AQ682">
        <v>0</v>
      </c>
      <c r="AR682">
        <v>0</v>
      </c>
      <c r="AS682">
        <f t="shared" si="138"/>
        <v>1</v>
      </c>
      <c r="AT682">
        <f t="shared" si="139"/>
        <v>1</v>
      </c>
      <c r="AU682" s="3" t="s">
        <v>129</v>
      </c>
      <c r="AV682">
        <f t="shared" si="140"/>
        <v>1</v>
      </c>
      <c r="AW682">
        <f t="shared" si="141"/>
        <v>0</v>
      </c>
      <c r="AX682">
        <f t="shared" si="142"/>
        <v>0</v>
      </c>
      <c r="AY682">
        <v>-1</v>
      </c>
      <c r="AZ682" t="s">
        <v>133</v>
      </c>
      <c r="BA682" t="s">
        <v>134</v>
      </c>
      <c r="BB682" t="s">
        <v>8</v>
      </c>
    </row>
    <row r="683" ht="409.5" spans="1:54">
      <c r="A683" t="s">
        <v>2405</v>
      </c>
      <c r="B683" t="s">
        <v>2118</v>
      </c>
      <c r="C683" t="s">
        <v>56</v>
      </c>
      <c r="D683">
        <v>11</v>
      </c>
      <c r="E683">
        <v>0</v>
      </c>
      <c r="F683">
        <v>28.5</v>
      </c>
      <c r="G683" t="s">
        <v>375</v>
      </c>
      <c r="H683" s="3" t="s">
        <v>2406</v>
      </c>
      <c r="I683" s="3" t="s">
        <v>2407</v>
      </c>
      <c r="J683">
        <f t="shared" si="130"/>
        <v>0</v>
      </c>
      <c r="K683">
        <f t="shared" si="131"/>
        <v>1</v>
      </c>
      <c r="L683">
        <f t="shared" si="132"/>
        <v>0</v>
      </c>
      <c r="M683">
        <f t="shared" si="133"/>
        <v>1</v>
      </c>
      <c r="N683">
        <f t="shared" si="134"/>
        <v>0</v>
      </c>
      <c r="O683">
        <f t="shared" si="135"/>
        <v>1</v>
      </c>
      <c r="P683">
        <f t="shared" si="136"/>
        <v>0</v>
      </c>
      <c r="Q683">
        <f t="shared" si="137"/>
        <v>0</v>
      </c>
      <c r="R683">
        <v>0</v>
      </c>
      <c r="S683">
        <v>0</v>
      </c>
      <c r="T683">
        <v>0</v>
      </c>
      <c r="U683">
        <v>0</v>
      </c>
      <c r="V683">
        <v>0</v>
      </c>
      <c r="W683">
        <v>1</v>
      </c>
      <c r="X683">
        <v>0</v>
      </c>
      <c r="Y683">
        <v>0</v>
      </c>
      <c r="Z683">
        <v>0</v>
      </c>
      <c r="AA683">
        <v>0</v>
      </c>
      <c r="AB683">
        <v>0</v>
      </c>
      <c r="AC683">
        <v>0</v>
      </c>
      <c r="AD683">
        <v>1</v>
      </c>
      <c r="AE683">
        <v>0</v>
      </c>
      <c r="AF683">
        <v>0</v>
      </c>
      <c r="AG683">
        <v>0</v>
      </c>
      <c r="AH683">
        <v>0</v>
      </c>
      <c r="AI683">
        <v>1</v>
      </c>
      <c r="AJ683">
        <v>0</v>
      </c>
      <c r="AK683">
        <v>0</v>
      </c>
      <c r="AL683">
        <v>1</v>
      </c>
      <c r="AM683">
        <v>0</v>
      </c>
      <c r="AN683">
        <v>0</v>
      </c>
      <c r="AO683">
        <v>0</v>
      </c>
      <c r="AP683">
        <v>0</v>
      </c>
      <c r="AQ683">
        <v>0</v>
      </c>
      <c r="AR683">
        <v>0</v>
      </c>
      <c r="AS683">
        <f t="shared" si="138"/>
        <v>3</v>
      </c>
      <c r="AT683">
        <f t="shared" si="139"/>
        <v>4</v>
      </c>
      <c r="AU683" s="3" t="s">
        <v>2408</v>
      </c>
      <c r="AV683">
        <f t="shared" si="140"/>
        <v>1</v>
      </c>
      <c r="AW683">
        <f t="shared" si="141"/>
        <v>0</v>
      </c>
      <c r="AX683">
        <f t="shared" si="142"/>
        <v>0</v>
      </c>
      <c r="AY683">
        <v>13.5</v>
      </c>
      <c r="AZ683" t="s">
        <v>60</v>
      </c>
      <c r="BA683" t="s">
        <v>61</v>
      </c>
      <c r="BB683" t="s">
        <v>8</v>
      </c>
    </row>
    <row r="684" ht="185" spans="1:54">
      <c r="A684" t="s">
        <v>2409</v>
      </c>
      <c r="B684" t="s">
        <v>2118</v>
      </c>
      <c r="C684" t="s">
        <v>56</v>
      </c>
      <c r="D684">
        <v>0</v>
      </c>
      <c r="E684">
        <v>0</v>
      </c>
      <c r="F684">
        <v>32.8</v>
      </c>
      <c r="G684" t="s">
        <v>375</v>
      </c>
      <c r="H684" s="3" t="s">
        <v>2410</v>
      </c>
      <c r="I684" s="3" t="s">
        <v>2411</v>
      </c>
      <c r="J684">
        <f t="shared" si="130"/>
        <v>0</v>
      </c>
      <c r="K684">
        <f t="shared" si="131"/>
        <v>0</v>
      </c>
      <c r="L684">
        <f t="shared" si="132"/>
        <v>1</v>
      </c>
      <c r="M684">
        <f t="shared" si="133"/>
        <v>0</v>
      </c>
      <c r="N684">
        <f t="shared" si="134"/>
        <v>0</v>
      </c>
      <c r="O684">
        <f t="shared" si="135"/>
        <v>0</v>
      </c>
      <c r="P684">
        <f t="shared" si="136"/>
        <v>0</v>
      </c>
      <c r="Q684">
        <f t="shared" si="137"/>
        <v>0</v>
      </c>
      <c r="R684">
        <v>0</v>
      </c>
      <c r="S684">
        <v>0</v>
      </c>
      <c r="T684">
        <v>0</v>
      </c>
      <c r="U684">
        <v>0</v>
      </c>
      <c r="V684">
        <v>0</v>
      </c>
      <c r="W684">
        <v>0</v>
      </c>
      <c r="X684">
        <v>0</v>
      </c>
      <c r="Y684">
        <v>0</v>
      </c>
      <c r="Z684">
        <v>1</v>
      </c>
      <c r="AA684">
        <v>1</v>
      </c>
      <c r="AB684">
        <v>0</v>
      </c>
      <c r="AC684">
        <v>0</v>
      </c>
      <c r="AD684">
        <v>0</v>
      </c>
      <c r="AE684">
        <v>0</v>
      </c>
      <c r="AF684">
        <v>0</v>
      </c>
      <c r="AG684">
        <v>0</v>
      </c>
      <c r="AH684">
        <v>0</v>
      </c>
      <c r="AI684">
        <v>0</v>
      </c>
      <c r="AJ684">
        <v>0</v>
      </c>
      <c r="AK684">
        <v>0</v>
      </c>
      <c r="AL684">
        <v>0</v>
      </c>
      <c r="AM684">
        <v>0</v>
      </c>
      <c r="AN684">
        <v>0</v>
      </c>
      <c r="AO684">
        <v>0</v>
      </c>
      <c r="AP684">
        <v>0</v>
      </c>
      <c r="AQ684">
        <v>0</v>
      </c>
      <c r="AR684">
        <v>0</v>
      </c>
      <c r="AS684">
        <f t="shared" si="138"/>
        <v>1</v>
      </c>
      <c r="AT684">
        <f t="shared" si="139"/>
        <v>2</v>
      </c>
      <c r="AU684" s="3" t="s">
        <v>314</v>
      </c>
      <c r="AV684">
        <f t="shared" si="140"/>
        <v>1</v>
      </c>
      <c r="AW684">
        <f t="shared" si="141"/>
        <v>0</v>
      </c>
      <c r="AX684">
        <f t="shared" si="142"/>
        <v>0</v>
      </c>
      <c r="AY684">
        <v>2</v>
      </c>
      <c r="AZ684" t="s">
        <v>60</v>
      </c>
      <c r="BA684" t="s">
        <v>61</v>
      </c>
      <c r="BB684" t="s">
        <v>8</v>
      </c>
    </row>
    <row r="685" ht="51" spans="1:54">
      <c r="A685" t="s">
        <v>2412</v>
      </c>
      <c r="B685" t="s">
        <v>2118</v>
      </c>
      <c r="C685" t="s">
        <v>56</v>
      </c>
      <c r="D685">
        <v>0</v>
      </c>
      <c r="E685">
        <v>0</v>
      </c>
      <c r="F685">
        <v>61.2</v>
      </c>
      <c r="G685" t="s">
        <v>375</v>
      </c>
      <c r="H685" s="3" t="s">
        <v>2413</v>
      </c>
      <c r="I685" s="3" t="s">
        <v>2414</v>
      </c>
      <c r="J685">
        <f t="shared" si="130"/>
        <v>0</v>
      </c>
      <c r="K685">
        <f t="shared" si="131"/>
        <v>0</v>
      </c>
      <c r="L685">
        <f t="shared" si="132"/>
        <v>0</v>
      </c>
      <c r="M685">
        <f t="shared" si="133"/>
        <v>0</v>
      </c>
      <c r="N685">
        <f t="shared" si="134"/>
        <v>0</v>
      </c>
      <c r="O685">
        <f t="shared" si="135"/>
        <v>0</v>
      </c>
      <c r="P685">
        <f t="shared" si="136"/>
        <v>0</v>
      </c>
      <c r="Q685">
        <f t="shared" si="137"/>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f t="shared" si="138"/>
        <v>0</v>
      </c>
      <c r="AT685">
        <f t="shared" si="139"/>
        <v>0</v>
      </c>
      <c r="AU685" s="3" t="s">
        <v>118</v>
      </c>
      <c r="AV685">
        <f t="shared" si="140"/>
        <v>0</v>
      </c>
      <c r="AW685">
        <f t="shared" si="141"/>
        <v>1</v>
      </c>
      <c r="AX685">
        <f t="shared" si="142"/>
        <v>0</v>
      </c>
      <c r="AY685">
        <v>3.5</v>
      </c>
      <c r="AZ685" t="s">
        <v>60</v>
      </c>
      <c r="BA685" t="s">
        <v>61</v>
      </c>
      <c r="BB685" t="s">
        <v>8</v>
      </c>
    </row>
    <row r="686" ht="409.5" spans="1:54">
      <c r="A686" t="s">
        <v>2415</v>
      </c>
      <c r="B686" t="s">
        <v>2118</v>
      </c>
      <c r="C686" t="s">
        <v>116</v>
      </c>
      <c r="D686">
        <v>0</v>
      </c>
      <c r="E686">
        <v>0</v>
      </c>
      <c r="F686">
        <v>74.7</v>
      </c>
      <c r="G686" t="s">
        <v>375</v>
      </c>
      <c r="H686" s="3" t="s">
        <v>2416</v>
      </c>
      <c r="I686" s="3" t="s">
        <v>2417</v>
      </c>
      <c r="J686">
        <f t="shared" si="130"/>
        <v>1</v>
      </c>
      <c r="K686">
        <f t="shared" si="131"/>
        <v>1</v>
      </c>
      <c r="L686">
        <f t="shared" si="132"/>
        <v>1</v>
      </c>
      <c r="M686">
        <f t="shared" si="133"/>
        <v>1</v>
      </c>
      <c r="N686">
        <f t="shared" si="134"/>
        <v>1</v>
      </c>
      <c r="O686">
        <f t="shared" si="135"/>
        <v>1</v>
      </c>
      <c r="P686">
        <f t="shared" si="136"/>
        <v>1</v>
      </c>
      <c r="Q686">
        <f t="shared" si="137"/>
        <v>0</v>
      </c>
      <c r="R686">
        <v>1</v>
      </c>
      <c r="S686">
        <v>1</v>
      </c>
      <c r="T686">
        <v>0</v>
      </c>
      <c r="U686">
        <v>0</v>
      </c>
      <c r="V686">
        <v>1</v>
      </c>
      <c r="W686">
        <v>1</v>
      </c>
      <c r="X686">
        <v>0</v>
      </c>
      <c r="Y686">
        <v>0</v>
      </c>
      <c r="Z686">
        <v>1</v>
      </c>
      <c r="AA686">
        <v>1</v>
      </c>
      <c r="AB686">
        <v>1</v>
      </c>
      <c r="AC686">
        <v>1</v>
      </c>
      <c r="AD686">
        <v>1</v>
      </c>
      <c r="AE686">
        <v>0</v>
      </c>
      <c r="AF686">
        <v>0</v>
      </c>
      <c r="AG686">
        <v>0</v>
      </c>
      <c r="AH686">
        <v>1</v>
      </c>
      <c r="AI686">
        <v>1</v>
      </c>
      <c r="AJ686">
        <v>0</v>
      </c>
      <c r="AK686">
        <v>0</v>
      </c>
      <c r="AL686">
        <v>1</v>
      </c>
      <c r="AM686">
        <v>0</v>
      </c>
      <c r="AN686">
        <v>1</v>
      </c>
      <c r="AO686">
        <v>0</v>
      </c>
      <c r="AP686">
        <v>1</v>
      </c>
      <c r="AQ686">
        <v>0</v>
      </c>
      <c r="AR686">
        <v>0</v>
      </c>
      <c r="AS686">
        <f t="shared" si="138"/>
        <v>7</v>
      </c>
      <c r="AT686">
        <f t="shared" si="139"/>
        <v>14</v>
      </c>
      <c r="AU686" s="3" t="s">
        <v>2418</v>
      </c>
      <c r="AV686">
        <f t="shared" si="140"/>
        <v>1</v>
      </c>
      <c r="AW686">
        <f t="shared" si="141"/>
        <v>0</v>
      </c>
      <c r="AX686">
        <f t="shared" si="142"/>
        <v>1</v>
      </c>
      <c r="AY686">
        <v>23</v>
      </c>
      <c r="AZ686" t="s">
        <v>60</v>
      </c>
      <c r="BA686" t="s">
        <v>61</v>
      </c>
      <c r="BB686" t="s">
        <v>8</v>
      </c>
    </row>
    <row r="687" ht="118" spans="1:54">
      <c r="A687" t="s">
        <v>2419</v>
      </c>
      <c r="B687" t="s">
        <v>2118</v>
      </c>
      <c r="C687" t="s">
        <v>56</v>
      </c>
      <c r="D687">
        <v>0</v>
      </c>
      <c r="E687">
        <v>0</v>
      </c>
      <c r="F687">
        <v>3.7</v>
      </c>
      <c r="G687" t="s">
        <v>375</v>
      </c>
      <c r="H687" s="3" t="s">
        <v>2420</v>
      </c>
      <c r="I687" s="3" t="s">
        <v>2421</v>
      </c>
      <c r="J687">
        <f t="shared" si="130"/>
        <v>1</v>
      </c>
      <c r="K687">
        <f t="shared" si="131"/>
        <v>1</v>
      </c>
      <c r="L687">
        <f t="shared" si="132"/>
        <v>0</v>
      </c>
      <c r="M687">
        <f t="shared" si="133"/>
        <v>0</v>
      </c>
      <c r="N687">
        <f t="shared" si="134"/>
        <v>1</v>
      </c>
      <c r="O687">
        <f t="shared" si="135"/>
        <v>1</v>
      </c>
      <c r="P687">
        <f t="shared" si="136"/>
        <v>0</v>
      </c>
      <c r="Q687">
        <f t="shared" si="137"/>
        <v>0</v>
      </c>
      <c r="R687">
        <v>1</v>
      </c>
      <c r="S687">
        <v>0</v>
      </c>
      <c r="T687">
        <v>0</v>
      </c>
      <c r="U687">
        <v>0</v>
      </c>
      <c r="V687">
        <v>0</v>
      </c>
      <c r="W687">
        <v>1</v>
      </c>
      <c r="X687">
        <v>0</v>
      </c>
      <c r="Y687">
        <v>0</v>
      </c>
      <c r="Z687">
        <v>0</v>
      </c>
      <c r="AA687">
        <v>0</v>
      </c>
      <c r="AB687">
        <v>0</v>
      </c>
      <c r="AC687">
        <v>0</v>
      </c>
      <c r="AD687">
        <v>0</v>
      </c>
      <c r="AE687">
        <v>0</v>
      </c>
      <c r="AF687">
        <v>0</v>
      </c>
      <c r="AG687">
        <v>0</v>
      </c>
      <c r="AH687">
        <v>1</v>
      </c>
      <c r="AI687">
        <v>1</v>
      </c>
      <c r="AJ687">
        <v>0</v>
      </c>
      <c r="AK687">
        <v>0</v>
      </c>
      <c r="AL687">
        <v>0</v>
      </c>
      <c r="AM687">
        <v>0</v>
      </c>
      <c r="AN687">
        <v>0</v>
      </c>
      <c r="AO687">
        <v>0</v>
      </c>
      <c r="AP687">
        <v>0</v>
      </c>
      <c r="AQ687">
        <v>0</v>
      </c>
      <c r="AR687">
        <v>0</v>
      </c>
      <c r="AS687">
        <f t="shared" si="138"/>
        <v>4</v>
      </c>
      <c r="AT687">
        <f t="shared" si="139"/>
        <v>4</v>
      </c>
      <c r="AU687" s="3" t="s">
        <v>2422</v>
      </c>
      <c r="AV687">
        <f t="shared" si="140"/>
        <v>1</v>
      </c>
      <c r="AW687">
        <f t="shared" si="141"/>
        <v>0</v>
      </c>
      <c r="AX687">
        <f t="shared" si="142"/>
        <v>0</v>
      </c>
      <c r="AY687">
        <v>1</v>
      </c>
      <c r="AZ687" t="s">
        <v>60</v>
      </c>
      <c r="BA687" t="s">
        <v>61</v>
      </c>
      <c r="BB687" t="s">
        <v>8</v>
      </c>
    </row>
    <row r="688" ht="34" spans="1:54">
      <c r="A688" t="s">
        <v>2423</v>
      </c>
      <c r="B688" t="s">
        <v>2118</v>
      </c>
      <c r="C688" t="s">
        <v>56</v>
      </c>
      <c r="D688">
        <v>0</v>
      </c>
      <c r="E688">
        <v>0</v>
      </c>
      <c r="F688">
        <v>74.6</v>
      </c>
      <c r="G688" t="s">
        <v>375</v>
      </c>
      <c r="H688" s="3" t="s">
        <v>2424</v>
      </c>
      <c r="I688" s="3" t="s">
        <v>2425</v>
      </c>
      <c r="J688">
        <f t="shared" si="130"/>
        <v>1</v>
      </c>
      <c r="K688">
        <f t="shared" si="131"/>
        <v>0</v>
      </c>
      <c r="L688">
        <f t="shared" si="132"/>
        <v>0</v>
      </c>
      <c r="M688">
        <f t="shared" si="133"/>
        <v>0</v>
      </c>
      <c r="N688">
        <f t="shared" si="134"/>
        <v>0</v>
      </c>
      <c r="O688">
        <f t="shared" si="135"/>
        <v>0</v>
      </c>
      <c r="P688">
        <f t="shared" si="136"/>
        <v>0</v>
      </c>
      <c r="Q688">
        <f t="shared" si="137"/>
        <v>0</v>
      </c>
      <c r="R688">
        <v>1</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f t="shared" si="138"/>
        <v>1</v>
      </c>
      <c r="AT688">
        <f t="shared" si="139"/>
        <v>1</v>
      </c>
      <c r="AU688" s="3" t="s">
        <v>1128</v>
      </c>
      <c r="AV688">
        <f t="shared" si="140"/>
        <v>1</v>
      </c>
      <c r="AW688">
        <f t="shared" si="141"/>
        <v>0</v>
      </c>
      <c r="AX688">
        <f t="shared" si="142"/>
        <v>0</v>
      </c>
      <c r="AY688">
        <v>4</v>
      </c>
      <c r="AZ688" t="s">
        <v>60</v>
      </c>
      <c r="BA688" t="s">
        <v>61</v>
      </c>
      <c r="BB688" t="s">
        <v>8</v>
      </c>
    </row>
    <row r="689" ht="51" spans="1:54">
      <c r="A689" t="s">
        <v>2426</v>
      </c>
      <c r="B689" t="s">
        <v>2118</v>
      </c>
      <c r="C689" t="s">
        <v>116</v>
      </c>
      <c r="D689">
        <v>2</v>
      </c>
      <c r="E689">
        <v>0</v>
      </c>
      <c r="F689">
        <v>11.7</v>
      </c>
      <c r="G689" t="s">
        <v>375</v>
      </c>
      <c r="H689" s="3" t="s">
        <v>2427</v>
      </c>
      <c r="I689" s="3" t="s">
        <v>2428</v>
      </c>
      <c r="J689">
        <f t="shared" si="130"/>
        <v>0</v>
      </c>
      <c r="K689">
        <f t="shared" si="131"/>
        <v>1</v>
      </c>
      <c r="L689">
        <f t="shared" si="132"/>
        <v>0</v>
      </c>
      <c r="M689">
        <f t="shared" si="133"/>
        <v>0</v>
      </c>
      <c r="N689">
        <f t="shared" si="134"/>
        <v>0</v>
      </c>
      <c r="O689">
        <f t="shared" si="135"/>
        <v>0</v>
      </c>
      <c r="P689">
        <f t="shared" si="136"/>
        <v>0</v>
      </c>
      <c r="Q689">
        <f t="shared" si="137"/>
        <v>0</v>
      </c>
      <c r="R689">
        <v>0</v>
      </c>
      <c r="S689">
        <v>0</v>
      </c>
      <c r="T689">
        <v>0</v>
      </c>
      <c r="U689">
        <v>1</v>
      </c>
      <c r="V689">
        <v>0</v>
      </c>
      <c r="W689">
        <v>1</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v>
      </c>
      <c r="AQ689">
        <v>0</v>
      </c>
      <c r="AR689">
        <v>0</v>
      </c>
      <c r="AS689">
        <f t="shared" si="138"/>
        <v>1</v>
      </c>
      <c r="AT689">
        <f t="shared" si="139"/>
        <v>2</v>
      </c>
      <c r="AU689" s="3" t="s">
        <v>1707</v>
      </c>
      <c r="AV689">
        <f t="shared" si="140"/>
        <v>1</v>
      </c>
      <c r="AW689">
        <f t="shared" si="141"/>
        <v>0</v>
      </c>
      <c r="AX689">
        <f t="shared" si="142"/>
        <v>0</v>
      </c>
      <c r="AY689">
        <v>-3</v>
      </c>
      <c r="AZ689" t="s">
        <v>133</v>
      </c>
      <c r="BA689" t="s">
        <v>134</v>
      </c>
      <c r="BB689" t="s">
        <v>8</v>
      </c>
    </row>
    <row r="690" ht="252" spans="1:54">
      <c r="A690" t="s">
        <v>2429</v>
      </c>
      <c r="B690" t="s">
        <v>2118</v>
      </c>
      <c r="C690" t="s">
        <v>56</v>
      </c>
      <c r="D690">
        <v>0</v>
      </c>
      <c r="E690">
        <v>0</v>
      </c>
      <c r="F690">
        <v>63.1</v>
      </c>
      <c r="G690" t="s">
        <v>375</v>
      </c>
      <c r="H690" s="3" t="s">
        <v>2430</v>
      </c>
      <c r="I690" s="3" t="s">
        <v>2431</v>
      </c>
      <c r="J690">
        <f t="shared" si="130"/>
        <v>0</v>
      </c>
      <c r="K690">
        <f t="shared" si="131"/>
        <v>1</v>
      </c>
      <c r="L690">
        <f t="shared" si="132"/>
        <v>0</v>
      </c>
      <c r="M690">
        <f t="shared" si="133"/>
        <v>0</v>
      </c>
      <c r="N690">
        <f t="shared" si="134"/>
        <v>0</v>
      </c>
      <c r="O690">
        <f t="shared" si="135"/>
        <v>0</v>
      </c>
      <c r="P690">
        <f t="shared" si="136"/>
        <v>0</v>
      </c>
      <c r="Q690">
        <f t="shared" si="137"/>
        <v>0</v>
      </c>
      <c r="R690">
        <v>0</v>
      </c>
      <c r="S690">
        <v>0</v>
      </c>
      <c r="T690">
        <v>0</v>
      </c>
      <c r="U690">
        <v>0</v>
      </c>
      <c r="V690">
        <v>1</v>
      </c>
      <c r="W690">
        <v>1</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f t="shared" si="138"/>
        <v>1</v>
      </c>
      <c r="AT690">
        <f t="shared" si="139"/>
        <v>2</v>
      </c>
      <c r="AU690" s="3" t="s">
        <v>1395</v>
      </c>
      <c r="AV690">
        <f t="shared" si="140"/>
        <v>1</v>
      </c>
      <c r="AW690">
        <f t="shared" si="141"/>
        <v>0</v>
      </c>
      <c r="AX690">
        <f t="shared" si="142"/>
        <v>0</v>
      </c>
      <c r="AY690">
        <v>1</v>
      </c>
      <c r="AZ690" t="s">
        <v>60</v>
      </c>
      <c r="BA690" t="s">
        <v>61</v>
      </c>
      <c r="BB690" t="s">
        <v>8</v>
      </c>
    </row>
    <row r="691" ht="101" spans="1:54">
      <c r="A691" t="s">
        <v>2432</v>
      </c>
      <c r="B691" t="s">
        <v>2118</v>
      </c>
      <c r="C691" t="s">
        <v>116</v>
      </c>
      <c r="D691">
        <v>2</v>
      </c>
      <c r="E691">
        <v>0</v>
      </c>
      <c r="F691">
        <v>110.7</v>
      </c>
      <c r="G691" t="s">
        <v>375</v>
      </c>
      <c r="H691" s="3" t="s">
        <v>2433</v>
      </c>
      <c r="I691" s="3" t="s">
        <v>2434</v>
      </c>
      <c r="J691">
        <f t="shared" si="130"/>
        <v>0</v>
      </c>
      <c r="K691">
        <f t="shared" si="131"/>
        <v>1</v>
      </c>
      <c r="L691">
        <f t="shared" si="132"/>
        <v>0</v>
      </c>
      <c r="M691">
        <f t="shared" si="133"/>
        <v>0</v>
      </c>
      <c r="N691">
        <f t="shared" si="134"/>
        <v>1</v>
      </c>
      <c r="O691">
        <f t="shared" si="135"/>
        <v>0</v>
      </c>
      <c r="P691">
        <f t="shared" si="136"/>
        <v>0</v>
      </c>
      <c r="Q691">
        <f t="shared" si="137"/>
        <v>0</v>
      </c>
      <c r="R691">
        <v>0</v>
      </c>
      <c r="S691">
        <v>0</v>
      </c>
      <c r="T691">
        <v>0</v>
      </c>
      <c r="U691">
        <v>0</v>
      </c>
      <c r="V691">
        <v>1</v>
      </c>
      <c r="W691">
        <v>0</v>
      </c>
      <c r="X691">
        <v>0</v>
      </c>
      <c r="Y691">
        <v>0</v>
      </c>
      <c r="Z691">
        <v>0</v>
      </c>
      <c r="AA691">
        <v>0</v>
      </c>
      <c r="AB691">
        <v>0</v>
      </c>
      <c r="AC691">
        <v>0</v>
      </c>
      <c r="AD691">
        <v>0</v>
      </c>
      <c r="AE691">
        <v>0</v>
      </c>
      <c r="AF691">
        <v>0</v>
      </c>
      <c r="AG691">
        <v>0</v>
      </c>
      <c r="AH691">
        <v>1</v>
      </c>
      <c r="AI691">
        <v>0</v>
      </c>
      <c r="AJ691">
        <v>0</v>
      </c>
      <c r="AK691">
        <v>0</v>
      </c>
      <c r="AL691">
        <v>0</v>
      </c>
      <c r="AM691">
        <v>0</v>
      </c>
      <c r="AN691">
        <v>0</v>
      </c>
      <c r="AO691">
        <v>0</v>
      </c>
      <c r="AP691">
        <v>0</v>
      </c>
      <c r="AQ691">
        <v>0</v>
      </c>
      <c r="AR691">
        <v>0</v>
      </c>
      <c r="AS691">
        <f t="shared" si="138"/>
        <v>2</v>
      </c>
      <c r="AT691">
        <f t="shared" si="139"/>
        <v>2</v>
      </c>
      <c r="AU691" s="3" t="s">
        <v>1124</v>
      </c>
      <c r="AV691">
        <f t="shared" si="140"/>
        <v>1</v>
      </c>
      <c r="AW691">
        <f t="shared" si="141"/>
        <v>0</v>
      </c>
      <c r="AX691">
        <f t="shared" si="142"/>
        <v>0</v>
      </c>
      <c r="AY691">
        <v>2.5</v>
      </c>
      <c r="AZ691" t="s">
        <v>60</v>
      </c>
      <c r="BA691" t="s">
        <v>61</v>
      </c>
      <c r="BB691" t="s">
        <v>8</v>
      </c>
    </row>
    <row r="692" ht="51" spans="1:54">
      <c r="A692" t="s">
        <v>2435</v>
      </c>
      <c r="B692" t="s">
        <v>2118</v>
      </c>
      <c r="C692" t="s">
        <v>56</v>
      </c>
      <c r="D692">
        <v>0</v>
      </c>
      <c r="E692">
        <v>1</v>
      </c>
      <c r="F692">
        <v>49.3</v>
      </c>
      <c r="G692" t="s">
        <v>375</v>
      </c>
      <c r="H692" s="3" t="s">
        <v>2436</v>
      </c>
      <c r="I692" s="3" t="s">
        <v>2437</v>
      </c>
      <c r="J692">
        <f t="shared" si="130"/>
        <v>0</v>
      </c>
      <c r="K692">
        <f t="shared" si="131"/>
        <v>1</v>
      </c>
      <c r="L692">
        <f t="shared" si="132"/>
        <v>0</v>
      </c>
      <c r="M692">
        <f t="shared" si="133"/>
        <v>0</v>
      </c>
      <c r="N692">
        <f t="shared" si="134"/>
        <v>0</v>
      </c>
      <c r="O692">
        <f t="shared" si="135"/>
        <v>0</v>
      </c>
      <c r="P692">
        <f t="shared" si="136"/>
        <v>0</v>
      </c>
      <c r="Q692">
        <f t="shared" si="137"/>
        <v>0</v>
      </c>
      <c r="R692">
        <v>0</v>
      </c>
      <c r="S692">
        <v>0</v>
      </c>
      <c r="T692">
        <v>0</v>
      </c>
      <c r="U692">
        <v>0</v>
      </c>
      <c r="V692">
        <v>1</v>
      </c>
      <c r="W692">
        <v>1</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f t="shared" si="138"/>
        <v>1</v>
      </c>
      <c r="AT692">
        <f t="shared" si="139"/>
        <v>2</v>
      </c>
      <c r="AU692" s="3" t="s">
        <v>1395</v>
      </c>
      <c r="AV692">
        <f t="shared" si="140"/>
        <v>1</v>
      </c>
      <c r="AW692">
        <f t="shared" si="141"/>
        <v>0</v>
      </c>
      <c r="AX692">
        <f t="shared" si="142"/>
        <v>0</v>
      </c>
      <c r="AY692">
        <v>2</v>
      </c>
      <c r="AZ692" t="s">
        <v>60</v>
      </c>
      <c r="BA692" t="s">
        <v>61</v>
      </c>
      <c r="BB692" t="s">
        <v>8</v>
      </c>
    </row>
    <row r="693" ht="51" spans="1:54">
      <c r="A693" t="s">
        <v>2438</v>
      </c>
      <c r="B693" t="s">
        <v>2118</v>
      </c>
      <c r="C693" t="s">
        <v>56</v>
      </c>
      <c r="D693">
        <v>10</v>
      </c>
      <c r="E693">
        <v>1</v>
      </c>
      <c r="F693">
        <v>74.5</v>
      </c>
      <c r="G693" t="s">
        <v>375</v>
      </c>
      <c r="H693" s="3" t="s">
        <v>2439</v>
      </c>
      <c r="I693" s="3" t="s">
        <v>2440</v>
      </c>
      <c r="J693">
        <f t="shared" si="130"/>
        <v>1</v>
      </c>
      <c r="K693">
        <f t="shared" si="131"/>
        <v>0</v>
      </c>
      <c r="L693">
        <f t="shared" si="132"/>
        <v>0</v>
      </c>
      <c r="M693">
        <f t="shared" si="133"/>
        <v>0</v>
      </c>
      <c r="N693">
        <f t="shared" si="134"/>
        <v>0</v>
      </c>
      <c r="O693">
        <f t="shared" si="135"/>
        <v>1</v>
      </c>
      <c r="P693">
        <f t="shared" si="136"/>
        <v>0</v>
      </c>
      <c r="Q693">
        <f t="shared" si="137"/>
        <v>1</v>
      </c>
      <c r="R693">
        <v>1</v>
      </c>
      <c r="S693">
        <v>0</v>
      </c>
      <c r="T693">
        <v>1</v>
      </c>
      <c r="U693">
        <v>0</v>
      </c>
      <c r="V693">
        <v>0</v>
      </c>
      <c r="W693">
        <v>0</v>
      </c>
      <c r="X693">
        <v>0</v>
      </c>
      <c r="Y693">
        <v>0</v>
      </c>
      <c r="Z693">
        <v>0</v>
      </c>
      <c r="AA693">
        <v>0</v>
      </c>
      <c r="AB693">
        <v>0</v>
      </c>
      <c r="AC693">
        <v>0</v>
      </c>
      <c r="AD693">
        <v>0</v>
      </c>
      <c r="AE693">
        <v>0</v>
      </c>
      <c r="AF693">
        <v>0</v>
      </c>
      <c r="AG693">
        <v>0</v>
      </c>
      <c r="AH693">
        <v>0</v>
      </c>
      <c r="AI693">
        <v>1</v>
      </c>
      <c r="AJ693">
        <v>0</v>
      </c>
      <c r="AK693">
        <v>0</v>
      </c>
      <c r="AL693">
        <v>0</v>
      </c>
      <c r="AM693">
        <v>0</v>
      </c>
      <c r="AN693">
        <v>0</v>
      </c>
      <c r="AO693">
        <v>0</v>
      </c>
      <c r="AP693">
        <v>0</v>
      </c>
      <c r="AQ693">
        <v>0</v>
      </c>
      <c r="AR693">
        <v>1</v>
      </c>
      <c r="AS693">
        <f t="shared" si="138"/>
        <v>3</v>
      </c>
      <c r="AT693">
        <f t="shared" si="139"/>
        <v>4</v>
      </c>
      <c r="AU693" s="3" t="s">
        <v>2441</v>
      </c>
      <c r="AV693">
        <f t="shared" si="140"/>
        <v>1</v>
      </c>
      <c r="AW693">
        <f t="shared" si="141"/>
        <v>0</v>
      </c>
      <c r="AX693">
        <f t="shared" si="142"/>
        <v>0</v>
      </c>
      <c r="AY693">
        <v>2</v>
      </c>
      <c r="AZ693" t="s">
        <v>60</v>
      </c>
      <c r="BA693" t="s">
        <v>61</v>
      </c>
      <c r="BB693" t="s">
        <v>8</v>
      </c>
    </row>
    <row r="694" ht="168" spans="1:54">
      <c r="A694" t="s">
        <v>2442</v>
      </c>
      <c r="B694" t="s">
        <v>2118</v>
      </c>
      <c r="C694" t="s">
        <v>116</v>
      </c>
      <c r="D694">
        <v>0</v>
      </c>
      <c r="E694">
        <v>1</v>
      </c>
      <c r="F694">
        <v>1.9</v>
      </c>
      <c r="G694" t="s">
        <v>375</v>
      </c>
      <c r="H694" s="3" t="s">
        <v>2443</v>
      </c>
      <c r="I694" s="3" t="s">
        <v>2444</v>
      </c>
      <c r="J694">
        <f t="shared" si="130"/>
        <v>0</v>
      </c>
      <c r="K694">
        <f t="shared" si="131"/>
        <v>1</v>
      </c>
      <c r="L694">
        <f t="shared" si="132"/>
        <v>1</v>
      </c>
      <c r="M694">
        <f t="shared" si="133"/>
        <v>0</v>
      </c>
      <c r="N694">
        <f t="shared" si="134"/>
        <v>0</v>
      </c>
      <c r="O694">
        <f t="shared" si="135"/>
        <v>0</v>
      </c>
      <c r="P694">
        <f t="shared" si="136"/>
        <v>0</v>
      </c>
      <c r="Q694">
        <f t="shared" si="137"/>
        <v>0</v>
      </c>
      <c r="R694">
        <v>0</v>
      </c>
      <c r="S694">
        <v>0</v>
      </c>
      <c r="T694">
        <v>0</v>
      </c>
      <c r="U694">
        <v>1</v>
      </c>
      <c r="V694">
        <v>0</v>
      </c>
      <c r="W694">
        <v>0</v>
      </c>
      <c r="X694">
        <v>0</v>
      </c>
      <c r="Y694">
        <v>0</v>
      </c>
      <c r="Z694">
        <v>1</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f t="shared" si="138"/>
        <v>2</v>
      </c>
      <c r="AT694">
        <f t="shared" si="139"/>
        <v>2</v>
      </c>
      <c r="AU694" s="3" t="s">
        <v>2445</v>
      </c>
      <c r="AV694">
        <f t="shared" si="140"/>
        <v>1</v>
      </c>
      <c r="AW694">
        <f t="shared" si="141"/>
        <v>0</v>
      </c>
      <c r="AX694">
        <f t="shared" si="142"/>
        <v>0</v>
      </c>
      <c r="AY694">
        <v>7</v>
      </c>
      <c r="AZ694" t="s">
        <v>60</v>
      </c>
      <c r="BA694" t="s">
        <v>61</v>
      </c>
      <c r="BB694" t="s">
        <v>8</v>
      </c>
    </row>
    <row r="695" ht="236" spans="1:54">
      <c r="A695" t="s">
        <v>2446</v>
      </c>
      <c r="B695" t="s">
        <v>2118</v>
      </c>
      <c r="C695" t="s">
        <v>56</v>
      </c>
      <c r="D695">
        <v>0</v>
      </c>
      <c r="E695">
        <v>0</v>
      </c>
      <c r="F695">
        <v>38.9</v>
      </c>
      <c r="G695" t="s">
        <v>375</v>
      </c>
      <c r="H695" s="3" t="s">
        <v>2447</v>
      </c>
      <c r="I695" s="3" t="s">
        <v>2448</v>
      </c>
      <c r="J695">
        <f t="shared" si="130"/>
        <v>0</v>
      </c>
      <c r="K695">
        <f t="shared" si="131"/>
        <v>0</v>
      </c>
      <c r="L695">
        <f t="shared" si="132"/>
        <v>0</v>
      </c>
      <c r="M695">
        <f t="shared" si="133"/>
        <v>0</v>
      </c>
      <c r="N695">
        <f t="shared" si="134"/>
        <v>1</v>
      </c>
      <c r="O695">
        <f t="shared" si="135"/>
        <v>1</v>
      </c>
      <c r="P695">
        <f t="shared" si="136"/>
        <v>0</v>
      </c>
      <c r="Q695">
        <f t="shared" si="137"/>
        <v>0</v>
      </c>
      <c r="R695">
        <v>0</v>
      </c>
      <c r="S695">
        <v>0</v>
      </c>
      <c r="T695">
        <v>0</v>
      </c>
      <c r="U695">
        <v>0</v>
      </c>
      <c r="V695">
        <v>0</v>
      </c>
      <c r="W695">
        <v>0</v>
      </c>
      <c r="X695">
        <v>0</v>
      </c>
      <c r="Y695">
        <v>0</v>
      </c>
      <c r="Z695">
        <v>0</v>
      </c>
      <c r="AA695">
        <v>0</v>
      </c>
      <c r="AB695">
        <v>0</v>
      </c>
      <c r="AC695">
        <v>0</v>
      </c>
      <c r="AD695">
        <v>0</v>
      </c>
      <c r="AE695">
        <v>0</v>
      </c>
      <c r="AF695">
        <v>0</v>
      </c>
      <c r="AG695">
        <v>0</v>
      </c>
      <c r="AH695">
        <v>1</v>
      </c>
      <c r="AI695">
        <v>1</v>
      </c>
      <c r="AJ695">
        <v>0</v>
      </c>
      <c r="AK695">
        <v>0</v>
      </c>
      <c r="AL695">
        <v>0</v>
      </c>
      <c r="AM695">
        <v>0</v>
      </c>
      <c r="AN695">
        <v>0</v>
      </c>
      <c r="AO695">
        <v>0</v>
      </c>
      <c r="AP695">
        <v>0</v>
      </c>
      <c r="AQ695">
        <v>0</v>
      </c>
      <c r="AR695">
        <v>0</v>
      </c>
      <c r="AS695">
        <f t="shared" si="138"/>
        <v>2</v>
      </c>
      <c r="AT695">
        <f t="shared" si="139"/>
        <v>2</v>
      </c>
      <c r="AU695" s="3" t="s">
        <v>103</v>
      </c>
      <c r="AV695">
        <f t="shared" si="140"/>
        <v>1</v>
      </c>
      <c r="AW695">
        <f t="shared" si="141"/>
        <v>0</v>
      </c>
      <c r="AX695">
        <f t="shared" si="142"/>
        <v>0</v>
      </c>
      <c r="AY695">
        <v>4</v>
      </c>
      <c r="AZ695" t="s">
        <v>60</v>
      </c>
      <c r="BA695" t="s">
        <v>61</v>
      </c>
      <c r="BB695" t="s">
        <v>8</v>
      </c>
    </row>
    <row r="696" ht="168" spans="1:54">
      <c r="A696" t="s">
        <v>2449</v>
      </c>
      <c r="B696" t="s">
        <v>2118</v>
      </c>
      <c r="C696" t="s">
        <v>56</v>
      </c>
      <c r="D696">
        <v>4</v>
      </c>
      <c r="E696">
        <v>0</v>
      </c>
      <c r="F696">
        <v>40.9</v>
      </c>
      <c r="G696" t="s">
        <v>375</v>
      </c>
      <c r="H696" s="3" t="s">
        <v>2450</v>
      </c>
      <c r="I696" s="3" t="s">
        <v>2451</v>
      </c>
      <c r="J696">
        <f t="shared" si="130"/>
        <v>1</v>
      </c>
      <c r="K696">
        <f t="shared" si="131"/>
        <v>1</v>
      </c>
      <c r="L696">
        <f t="shared" si="132"/>
        <v>1</v>
      </c>
      <c r="M696">
        <f t="shared" si="133"/>
        <v>0</v>
      </c>
      <c r="N696">
        <f t="shared" si="134"/>
        <v>1</v>
      </c>
      <c r="O696">
        <f t="shared" si="135"/>
        <v>0</v>
      </c>
      <c r="P696">
        <f t="shared" si="136"/>
        <v>0</v>
      </c>
      <c r="Q696">
        <f t="shared" si="137"/>
        <v>0</v>
      </c>
      <c r="R696">
        <v>1</v>
      </c>
      <c r="S696">
        <v>0</v>
      </c>
      <c r="T696">
        <v>0</v>
      </c>
      <c r="U696">
        <v>1</v>
      </c>
      <c r="V696">
        <v>1</v>
      </c>
      <c r="W696">
        <v>0</v>
      </c>
      <c r="X696">
        <v>0</v>
      </c>
      <c r="Y696">
        <v>0</v>
      </c>
      <c r="Z696">
        <v>0</v>
      </c>
      <c r="AA696">
        <v>0</v>
      </c>
      <c r="AB696">
        <v>1</v>
      </c>
      <c r="AC696">
        <v>0</v>
      </c>
      <c r="AD696">
        <v>0</v>
      </c>
      <c r="AE696">
        <v>0</v>
      </c>
      <c r="AF696">
        <v>0</v>
      </c>
      <c r="AG696">
        <v>0</v>
      </c>
      <c r="AH696">
        <v>1</v>
      </c>
      <c r="AI696">
        <v>0</v>
      </c>
      <c r="AJ696">
        <v>0</v>
      </c>
      <c r="AK696">
        <v>0</v>
      </c>
      <c r="AL696">
        <v>0</v>
      </c>
      <c r="AM696">
        <v>0</v>
      </c>
      <c r="AN696">
        <v>0</v>
      </c>
      <c r="AO696">
        <v>0</v>
      </c>
      <c r="AP696">
        <v>0</v>
      </c>
      <c r="AQ696">
        <v>0</v>
      </c>
      <c r="AR696">
        <v>0</v>
      </c>
      <c r="AS696">
        <f t="shared" si="138"/>
        <v>4</v>
      </c>
      <c r="AT696">
        <f t="shared" si="139"/>
        <v>5</v>
      </c>
      <c r="AU696" s="3" t="s">
        <v>2452</v>
      </c>
      <c r="AV696">
        <f t="shared" si="140"/>
        <v>1</v>
      </c>
      <c r="AW696">
        <f t="shared" si="141"/>
        <v>0</v>
      </c>
      <c r="AX696">
        <f t="shared" si="142"/>
        <v>0</v>
      </c>
      <c r="AY696">
        <v>6</v>
      </c>
      <c r="AZ696" t="s">
        <v>60</v>
      </c>
      <c r="BA696" t="s">
        <v>61</v>
      </c>
      <c r="BB696" t="s">
        <v>8</v>
      </c>
    </row>
    <row r="697" ht="51" spans="1:54">
      <c r="A697" t="s">
        <v>2453</v>
      </c>
      <c r="B697" t="s">
        <v>2118</v>
      </c>
      <c r="C697" t="s">
        <v>56</v>
      </c>
      <c r="D697">
        <v>0</v>
      </c>
      <c r="E697">
        <v>0</v>
      </c>
      <c r="F697">
        <v>85.9</v>
      </c>
      <c r="G697" t="s">
        <v>402</v>
      </c>
      <c r="H697" s="3" t="s">
        <v>2454</v>
      </c>
      <c r="I697" s="3" t="s">
        <v>2455</v>
      </c>
      <c r="J697">
        <f t="shared" si="130"/>
        <v>1</v>
      </c>
      <c r="K697">
        <f t="shared" si="131"/>
        <v>0</v>
      </c>
      <c r="L697">
        <f t="shared" si="132"/>
        <v>0</v>
      </c>
      <c r="M697">
        <f t="shared" si="133"/>
        <v>1</v>
      </c>
      <c r="N697">
        <f t="shared" si="134"/>
        <v>0</v>
      </c>
      <c r="O697">
        <f t="shared" si="135"/>
        <v>1</v>
      </c>
      <c r="P697">
        <f t="shared" si="136"/>
        <v>0</v>
      </c>
      <c r="Q697">
        <f t="shared" si="137"/>
        <v>0</v>
      </c>
      <c r="R697">
        <v>1</v>
      </c>
      <c r="S697">
        <v>0</v>
      </c>
      <c r="T697">
        <v>0</v>
      </c>
      <c r="U697">
        <v>0</v>
      </c>
      <c r="V697">
        <v>0</v>
      </c>
      <c r="W697">
        <v>0</v>
      </c>
      <c r="X697">
        <v>0</v>
      </c>
      <c r="Y697">
        <v>0</v>
      </c>
      <c r="Z697">
        <v>0</v>
      </c>
      <c r="AA697">
        <v>0</v>
      </c>
      <c r="AB697">
        <v>0</v>
      </c>
      <c r="AC697">
        <v>0</v>
      </c>
      <c r="AD697">
        <v>1</v>
      </c>
      <c r="AE697">
        <v>0</v>
      </c>
      <c r="AF697">
        <v>0</v>
      </c>
      <c r="AG697">
        <v>0</v>
      </c>
      <c r="AH697">
        <v>0</v>
      </c>
      <c r="AI697">
        <v>1</v>
      </c>
      <c r="AJ697">
        <v>0</v>
      </c>
      <c r="AK697">
        <v>0</v>
      </c>
      <c r="AL697">
        <v>0</v>
      </c>
      <c r="AM697">
        <v>0</v>
      </c>
      <c r="AN697">
        <v>0</v>
      </c>
      <c r="AO697">
        <v>0</v>
      </c>
      <c r="AP697">
        <v>0</v>
      </c>
      <c r="AQ697">
        <v>0</v>
      </c>
      <c r="AR697">
        <v>0</v>
      </c>
      <c r="AS697">
        <f t="shared" si="138"/>
        <v>3</v>
      </c>
      <c r="AT697">
        <f t="shared" si="139"/>
        <v>3</v>
      </c>
      <c r="AU697" s="3" t="s">
        <v>2456</v>
      </c>
      <c r="AV697">
        <f t="shared" si="140"/>
        <v>1</v>
      </c>
      <c r="AW697">
        <f t="shared" si="141"/>
        <v>0</v>
      </c>
      <c r="AX697">
        <f t="shared" si="142"/>
        <v>0</v>
      </c>
      <c r="AY697">
        <v>0.5</v>
      </c>
      <c r="AZ697" t="s">
        <v>60</v>
      </c>
      <c r="BA697" t="s">
        <v>61</v>
      </c>
      <c r="BB697" t="s">
        <v>8</v>
      </c>
    </row>
    <row r="698" ht="84" spans="1:54">
      <c r="A698" t="s">
        <v>2457</v>
      </c>
      <c r="B698" t="s">
        <v>2118</v>
      </c>
      <c r="C698" t="s">
        <v>56</v>
      </c>
      <c r="D698">
        <v>0</v>
      </c>
      <c r="E698">
        <v>0</v>
      </c>
      <c r="F698">
        <v>57.2</v>
      </c>
      <c r="G698" t="s">
        <v>402</v>
      </c>
      <c r="H698" s="3" t="s">
        <v>2458</v>
      </c>
      <c r="I698" s="3" t="s">
        <v>2459</v>
      </c>
      <c r="J698">
        <f t="shared" si="130"/>
        <v>0</v>
      </c>
      <c r="K698">
        <f t="shared" si="131"/>
        <v>1</v>
      </c>
      <c r="L698">
        <f t="shared" si="132"/>
        <v>1</v>
      </c>
      <c r="M698">
        <f t="shared" si="133"/>
        <v>0</v>
      </c>
      <c r="N698">
        <f t="shared" si="134"/>
        <v>0</v>
      </c>
      <c r="O698">
        <f t="shared" si="135"/>
        <v>0</v>
      </c>
      <c r="P698">
        <f t="shared" si="136"/>
        <v>0</v>
      </c>
      <c r="Q698">
        <f t="shared" si="137"/>
        <v>0</v>
      </c>
      <c r="R698">
        <v>0</v>
      </c>
      <c r="S698">
        <v>0</v>
      </c>
      <c r="T698">
        <v>0</v>
      </c>
      <c r="U698">
        <v>1</v>
      </c>
      <c r="V698">
        <v>0</v>
      </c>
      <c r="W698">
        <v>0</v>
      </c>
      <c r="X698">
        <v>0</v>
      </c>
      <c r="Y698">
        <v>0</v>
      </c>
      <c r="Z698">
        <v>1</v>
      </c>
      <c r="AA698">
        <v>0</v>
      </c>
      <c r="AB698">
        <v>0</v>
      </c>
      <c r="AC698">
        <v>1</v>
      </c>
      <c r="AD698">
        <v>0</v>
      </c>
      <c r="AE698">
        <v>0</v>
      </c>
      <c r="AF698">
        <v>0</v>
      </c>
      <c r="AG698">
        <v>0</v>
      </c>
      <c r="AH698">
        <v>0</v>
      </c>
      <c r="AI698">
        <v>0</v>
      </c>
      <c r="AJ698">
        <v>0</v>
      </c>
      <c r="AK698">
        <v>0</v>
      </c>
      <c r="AL698">
        <v>0</v>
      </c>
      <c r="AM698">
        <v>0</v>
      </c>
      <c r="AN698">
        <v>0</v>
      </c>
      <c r="AO698">
        <v>0</v>
      </c>
      <c r="AP698">
        <v>0</v>
      </c>
      <c r="AQ698">
        <v>0</v>
      </c>
      <c r="AR698">
        <v>0</v>
      </c>
      <c r="AS698">
        <f t="shared" si="138"/>
        <v>2</v>
      </c>
      <c r="AT698">
        <f t="shared" si="139"/>
        <v>3</v>
      </c>
      <c r="AU698" s="3" t="s">
        <v>2460</v>
      </c>
      <c r="AV698">
        <f t="shared" si="140"/>
        <v>1</v>
      </c>
      <c r="AW698">
        <f t="shared" si="141"/>
        <v>0</v>
      </c>
      <c r="AX698">
        <f t="shared" si="142"/>
        <v>0</v>
      </c>
      <c r="AY698">
        <v>-1.5</v>
      </c>
      <c r="AZ698" t="s">
        <v>133</v>
      </c>
      <c r="BA698" t="s">
        <v>134</v>
      </c>
      <c r="BB698" t="s">
        <v>8</v>
      </c>
    </row>
    <row r="699" ht="101" spans="1:54">
      <c r="A699" t="s">
        <v>2461</v>
      </c>
      <c r="B699" t="s">
        <v>2118</v>
      </c>
      <c r="C699" t="s">
        <v>56</v>
      </c>
      <c r="D699">
        <v>0</v>
      </c>
      <c r="E699">
        <v>0</v>
      </c>
      <c r="F699">
        <v>10.7</v>
      </c>
      <c r="G699" t="s">
        <v>402</v>
      </c>
      <c r="H699" s="3" t="s">
        <v>2462</v>
      </c>
      <c r="I699" s="3" t="s">
        <v>2463</v>
      </c>
      <c r="J699">
        <f t="shared" si="130"/>
        <v>0</v>
      </c>
      <c r="K699">
        <f t="shared" si="131"/>
        <v>1</v>
      </c>
      <c r="L699">
        <f t="shared" si="132"/>
        <v>1</v>
      </c>
      <c r="M699">
        <f t="shared" si="133"/>
        <v>0</v>
      </c>
      <c r="N699">
        <f t="shared" si="134"/>
        <v>1</v>
      </c>
      <c r="O699">
        <f t="shared" si="135"/>
        <v>0</v>
      </c>
      <c r="P699">
        <f t="shared" si="136"/>
        <v>0</v>
      </c>
      <c r="Q699">
        <f t="shared" si="137"/>
        <v>0</v>
      </c>
      <c r="R699">
        <v>0</v>
      </c>
      <c r="S699">
        <v>0</v>
      </c>
      <c r="T699">
        <v>0</v>
      </c>
      <c r="U699">
        <v>0</v>
      </c>
      <c r="V699">
        <v>0</v>
      </c>
      <c r="W699">
        <v>1</v>
      </c>
      <c r="X699">
        <v>0</v>
      </c>
      <c r="Y699">
        <v>0</v>
      </c>
      <c r="Z699">
        <v>1</v>
      </c>
      <c r="AA699">
        <v>0</v>
      </c>
      <c r="AB699">
        <v>0</v>
      </c>
      <c r="AC699">
        <v>0</v>
      </c>
      <c r="AD699">
        <v>0</v>
      </c>
      <c r="AE699">
        <v>0</v>
      </c>
      <c r="AF699">
        <v>0</v>
      </c>
      <c r="AG699">
        <v>0</v>
      </c>
      <c r="AH699">
        <v>1</v>
      </c>
      <c r="AI699">
        <v>0</v>
      </c>
      <c r="AJ699">
        <v>0</v>
      </c>
      <c r="AK699">
        <v>0</v>
      </c>
      <c r="AL699">
        <v>0</v>
      </c>
      <c r="AM699">
        <v>0</v>
      </c>
      <c r="AN699">
        <v>0</v>
      </c>
      <c r="AO699">
        <v>0</v>
      </c>
      <c r="AP699">
        <v>0</v>
      </c>
      <c r="AQ699">
        <v>0</v>
      </c>
      <c r="AR699">
        <v>0</v>
      </c>
      <c r="AS699">
        <f t="shared" si="138"/>
        <v>3</v>
      </c>
      <c r="AT699">
        <f t="shared" si="139"/>
        <v>3</v>
      </c>
      <c r="AU699" s="3" t="s">
        <v>2464</v>
      </c>
      <c r="AV699">
        <f t="shared" si="140"/>
        <v>1</v>
      </c>
      <c r="AW699">
        <f t="shared" si="141"/>
        <v>0</v>
      </c>
      <c r="AX699">
        <f t="shared" si="142"/>
        <v>0</v>
      </c>
      <c r="AY699">
        <v>0.5</v>
      </c>
      <c r="AZ699" t="s">
        <v>60</v>
      </c>
      <c r="BA699" t="s">
        <v>61</v>
      </c>
      <c r="BB699" t="s">
        <v>8</v>
      </c>
    </row>
    <row r="700" ht="409.5" spans="1:54">
      <c r="A700" t="s">
        <v>2465</v>
      </c>
      <c r="B700" t="s">
        <v>2118</v>
      </c>
      <c r="C700" t="s">
        <v>116</v>
      </c>
      <c r="D700">
        <v>5</v>
      </c>
      <c r="E700">
        <v>0</v>
      </c>
      <c r="F700">
        <v>6.2</v>
      </c>
      <c r="G700" t="s">
        <v>402</v>
      </c>
      <c r="H700" s="3" t="s">
        <v>2466</v>
      </c>
      <c r="I700" s="3" t="s">
        <v>2467</v>
      </c>
      <c r="J700">
        <f t="shared" si="130"/>
        <v>1</v>
      </c>
      <c r="K700">
        <f t="shared" si="131"/>
        <v>1</v>
      </c>
      <c r="L700">
        <f t="shared" si="132"/>
        <v>1</v>
      </c>
      <c r="M700">
        <f t="shared" si="133"/>
        <v>0</v>
      </c>
      <c r="N700">
        <f t="shared" si="134"/>
        <v>1</v>
      </c>
      <c r="O700">
        <f t="shared" si="135"/>
        <v>0</v>
      </c>
      <c r="P700">
        <f t="shared" si="136"/>
        <v>0</v>
      </c>
      <c r="Q700">
        <f t="shared" si="137"/>
        <v>0</v>
      </c>
      <c r="R700">
        <v>1</v>
      </c>
      <c r="S700">
        <v>0</v>
      </c>
      <c r="T700">
        <v>0</v>
      </c>
      <c r="U700">
        <v>0</v>
      </c>
      <c r="V700">
        <v>0</v>
      </c>
      <c r="W700">
        <v>0</v>
      </c>
      <c r="X700">
        <v>0</v>
      </c>
      <c r="Y700">
        <v>1</v>
      </c>
      <c r="Z700">
        <v>1</v>
      </c>
      <c r="AA700">
        <v>1</v>
      </c>
      <c r="AB700">
        <v>0</v>
      </c>
      <c r="AC700">
        <v>0</v>
      </c>
      <c r="AD700">
        <v>0</v>
      </c>
      <c r="AE700">
        <v>0</v>
      </c>
      <c r="AF700">
        <v>0</v>
      </c>
      <c r="AG700">
        <v>0</v>
      </c>
      <c r="AH700">
        <v>1</v>
      </c>
      <c r="AI700">
        <v>0</v>
      </c>
      <c r="AJ700">
        <v>0</v>
      </c>
      <c r="AK700">
        <v>0</v>
      </c>
      <c r="AL700">
        <v>0</v>
      </c>
      <c r="AM700">
        <v>0</v>
      </c>
      <c r="AN700">
        <v>0</v>
      </c>
      <c r="AO700">
        <v>0</v>
      </c>
      <c r="AP700">
        <v>0</v>
      </c>
      <c r="AQ700">
        <v>0</v>
      </c>
      <c r="AR700">
        <v>0</v>
      </c>
      <c r="AS700">
        <f t="shared" si="138"/>
        <v>4</v>
      </c>
      <c r="AT700">
        <f t="shared" si="139"/>
        <v>5</v>
      </c>
      <c r="AU700" s="3" t="s">
        <v>2468</v>
      </c>
      <c r="AV700">
        <f t="shared" si="140"/>
        <v>1</v>
      </c>
      <c r="AW700">
        <f t="shared" si="141"/>
        <v>0</v>
      </c>
      <c r="AX700">
        <f t="shared" si="142"/>
        <v>0</v>
      </c>
      <c r="AY700">
        <v>-1</v>
      </c>
      <c r="AZ700" t="s">
        <v>133</v>
      </c>
      <c r="BA700" t="s">
        <v>134</v>
      </c>
      <c r="BB700" t="s">
        <v>8</v>
      </c>
    </row>
    <row r="701" ht="135" spans="1:54">
      <c r="A701" t="s">
        <v>2469</v>
      </c>
      <c r="B701" t="s">
        <v>2118</v>
      </c>
      <c r="C701" t="s">
        <v>116</v>
      </c>
      <c r="D701">
        <v>3</v>
      </c>
      <c r="E701">
        <v>0</v>
      </c>
      <c r="F701">
        <v>29.6</v>
      </c>
      <c r="G701" t="s">
        <v>402</v>
      </c>
      <c r="H701" s="3" t="s">
        <v>2470</v>
      </c>
      <c r="I701" s="3" t="s">
        <v>2471</v>
      </c>
      <c r="J701">
        <f t="shared" si="130"/>
        <v>0</v>
      </c>
      <c r="K701">
        <f t="shared" si="131"/>
        <v>1</v>
      </c>
      <c r="L701">
        <f t="shared" si="132"/>
        <v>0</v>
      </c>
      <c r="M701">
        <f t="shared" si="133"/>
        <v>0</v>
      </c>
      <c r="N701">
        <f t="shared" si="134"/>
        <v>1</v>
      </c>
      <c r="O701">
        <f t="shared" si="135"/>
        <v>0</v>
      </c>
      <c r="P701">
        <f t="shared" si="136"/>
        <v>1</v>
      </c>
      <c r="Q701">
        <f t="shared" si="137"/>
        <v>0</v>
      </c>
      <c r="R701">
        <v>0</v>
      </c>
      <c r="S701">
        <v>0</v>
      </c>
      <c r="T701">
        <v>0</v>
      </c>
      <c r="U701">
        <v>0</v>
      </c>
      <c r="V701">
        <v>1</v>
      </c>
      <c r="W701">
        <v>0</v>
      </c>
      <c r="X701">
        <v>0</v>
      </c>
      <c r="Y701">
        <v>0</v>
      </c>
      <c r="Z701">
        <v>0</v>
      </c>
      <c r="AA701">
        <v>0</v>
      </c>
      <c r="AB701">
        <v>0</v>
      </c>
      <c r="AC701">
        <v>0</v>
      </c>
      <c r="AD701">
        <v>0</v>
      </c>
      <c r="AE701">
        <v>0</v>
      </c>
      <c r="AF701">
        <v>0</v>
      </c>
      <c r="AG701">
        <v>0</v>
      </c>
      <c r="AH701">
        <v>1</v>
      </c>
      <c r="AI701">
        <v>0</v>
      </c>
      <c r="AJ701">
        <v>0</v>
      </c>
      <c r="AK701">
        <v>0</v>
      </c>
      <c r="AL701">
        <v>0</v>
      </c>
      <c r="AM701">
        <v>0</v>
      </c>
      <c r="AN701">
        <v>0</v>
      </c>
      <c r="AO701">
        <v>1</v>
      </c>
      <c r="AP701">
        <v>0</v>
      </c>
      <c r="AQ701">
        <v>0</v>
      </c>
      <c r="AR701">
        <v>0</v>
      </c>
      <c r="AS701">
        <f t="shared" si="138"/>
        <v>3</v>
      </c>
      <c r="AT701">
        <f t="shared" si="139"/>
        <v>3</v>
      </c>
      <c r="AU701" s="3" t="s">
        <v>2472</v>
      </c>
      <c r="AV701">
        <f t="shared" si="140"/>
        <v>1</v>
      </c>
      <c r="AW701">
        <f t="shared" si="141"/>
        <v>0</v>
      </c>
      <c r="AX701">
        <f t="shared" si="142"/>
        <v>0</v>
      </c>
      <c r="AY701">
        <v>2.5</v>
      </c>
      <c r="AZ701" t="s">
        <v>60</v>
      </c>
      <c r="BA701" t="s">
        <v>61</v>
      </c>
      <c r="BB701" t="s">
        <v>8</v>
      </c>
    </row>
    <row r="702" ht="135" spans="1:54">
      <c r="A702" t="s">
        <v>2473</v>
      </c>
      <c r="B702" t="s">
        <v>2118</v>
      </c>
      <c r="C702" t="s">
        <v>56</v>
      </c>
      <c r="D702">
        <v>5</v>
      </c>
      <c r="E702">
        <v>0</v>
      </c>
      <c r="F702">
        <v>55.1</v>
      </c>
      <c r="G702" t="s">
        <v>402</v>
      </c>
      <c r="H702" s="3" t="s">
        <v>2474</v>
      </c>
      <c r="I702" s="3" t="s">
        <v>2475</v>
      </c>
      <c r="J702">
        <f t="shared" si="130"/>
        <v>1</v>
      </c>
      <c r="K702">
        <f t="shared" si="131"/>
        <v>0</v>
      </c>
      <c r="L702">
        <f t="shared" si="132"/>
        <v>0</v>
      </c>
      <c r="M702">
        <f t="shared" si="133"/>
        <v>0</v>
      </c>
      <c r="N702">
        <f t="shared" si="134"/>
        <v>0</v>
      </c>
      <c r="O702">
        <f t="shared" si="135"/>
        <v>0</v>
      </c>
      <c r="P702">
        <f t="shared" si="136"/>
        <v>0</v>
      </c>
      <c r="Q702">
        <f t="shared" si="137"/>
        <v>0</v>
      </c>
      <c r="R702">
        <v>1</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f t="shared" si="138"/>
        <v>1</v>
      </c>
      <c r="AT702">
        <f t="shared" si="139"/>
        <v>1</v>
      </c>
      <c r="AU702" s="3" t="s">
        <v>1128</v>
      </c>
      <c r="AV702">
        <f t="shared" si="140"/>
        <v>1</v>
      </c>
      <c r="AW702">
        <f t="shared" si="141"/>
        <v>0</v>
      </c>
      <c r="AX702">
        <f t="shared" si="142"/>
        <v>0</v>
      </c>
      <c r="AY702">
        <v>1.5</v>
      </c>
      <c r="AZ702" t="s">
        <v>60</v>
      </c>
      <c r="BA702" t="s">
        <v>61</v>
      </c>
      <c r="BB702" t="s">
        <v>8</v>
      </c>
    </row>
    <row r="703" ht="118" spans="1:54">
      <c r="A703" t="s">
        <v>2476</v>
      </c>
      <c r="B703" t="s">
        <v>2118</v>
      </c>
      <c r="C703" t="s">
        <v>116</v>
      </c>
      <c r="D703">
        <v>0</v>
      </c>
      <c r="E703">
        <v>0</v>
      </c>
      <c r="F703">
        <v>111.4</v>
      </c>
      <c r="G703" t="s">
        <v>402</v>
      </c>
      <c r="H703" s="3" t="s">
        <v>2477</v>
      </c>
      <c r="I703" s="3" t="s">
        <v>2478</v>
      </c>
      <c r="J703">
        <f t="shared" si="130"/>
        <v>1</v>
      </c>
      <c r="K703">
        <f t="shared" si="131"/>
        <v>0</v>
      </c>
      <c r="L703">
        <f t="shared" si="132"/>
        <v>0</v>
      </c>
      <c r="M703">
        <f t="shared" si="133"/>
        <v>1</v>
      </c>
      <c r="N703">
        <f t="shared" si="134"/>
        <v>0</v>
      </c>
      <c r="O703">
        <f t="shared" si="135"/>
        <v>0</v>
      </c>
      <c r="P703">
        <f t="shared" si="136"/>
        <v>0</v>
      </c>
      <c r="Q703">
        <f t="shared" si="137"/>
        <v>0</v>
      </c>
      <c r="R703">
        <v>1</v>
      </c>
      <c r="S703">
        <v>0</v>
      </c>
      <c r="T703">
        <v>0</v>
      </c>
      <c r="U703">
        <v>0</v>
      </c>
      <c r="V703">
        <v>0</v>
      </c>
      <c r="W703">
        <v>0</v>
      </c>
      <c r="X703">
        <v>0</v>
      </c>
      <c r="Y703">
        <v>0</v>
      </c>
      <c r="Z703">
        <v>0</v>
      </c>
      <c r="AA703">
        <v>0</v>
      </c>
      <c r="AB703">
        <v>0</v>
      </c>
      <c r="AC703">
        <v>0</v>
      </c>
      <c r="AD703">
        <v>1</v>
      </c>
      <c r="AE703">
        <v>0</v>
      </c>
      <c r="AF703">
        <v>1</v>
      </c>
      <c r="AG703">
        <v>0</v>
      </c>
      <c r="AH703">
        <v>0</v>
      </c>
      <c r="AI703">
        <v>0</v>
      </c>
      <c r="AJ703">
        <v>0</v>
      </c>
      <c r="AK703">
        <v>0</v>
      </c>
      <c r="AL703">
        <v>0</v>
      </c>
      <c r="AM703">
        <v>0</v>
      </c>
      <c r="AN703">
        <v>0</v>
      </c>
      <c r="AO703">
        <v>0</v>
      </c>
      <c r="AP703">
        <v>0</v>
      </c>
      <c r="AQ703">
        <v>0</v>
      </c>
      <c r="AR703">
        <v>0</v>
      </c>
      <c r="AS703">
        <f t="shared" si="138"/>
        <v>2</v>
      </c>
      <c r="AT703">
        <f t="shared" si="139"/>
        <v>3</v>
      </c>
      <c r="AU703" s="3" t="s">
        <v>2479</v>
      </c>
      <c r="AV703">
        <f t="shared" si="140"/>
        <v>1</v>
      </c>
      <c r="AW703">
        <f t="shared" si="141"/>
        <v>0</v>
      </c>
      <c r="AX703">
        <f t="shared" si="142"/>
        <v>0</v>
      </c>
      <c r="AY703">
        <v>3.5</v>
      </c>
      <c r="AZ703" t="s">
        <v>60</v>
      </c>
      <c r="BA703" t="s">
        <v>61</v>
      </c>
      <c r="BB703" t="s">
        <v>8</v>
      </c>
    </row>
    <row r="704" ht="219" spans="1:54">
      <c r="A704" t="s">
        <v>2480</v>
      </c>
      <c r="B704" t="s">
        <v>2118</v>
      </c>
      <c r="C704" t="s">
        <v>116</v>
      </c>
      <c r="D704">
        <v>0</v>
      </c>
      <c r="E704">
        <v>0</v>
      </c>
      <c r="F704">
        <v>22.5</v>
      </c>
      <c r="G704" t="s">
        <v>402</v>
      </c>
      <c r="H704" s="3" t="s">
        <v>2481</v>
      </c>
      <c r="I704" s="3" t="s">
        <v>2482</v>
      </c>
      <c r="J704">
        <f t="shared" si="130"/>
        <v>1</v>
      </c>
      <c r="K704">
        <f t="shared" si="131"/>
        <v>1</v>
      </c>
      <c r="L704">
        <f t="shared" si="132"/>
        <v>0</v>
      </c>
      <c r="M704">
        <f t="shared" si="133"/>
        <v>0</v>
      </c>
      <c r="N704">
        <f t="shared" si="134"/>
        <v>0</v>
      </c>
      <c r="O704">
        <f t="shared" si="135"/>
        <v>0</v>
      </c>
      <c r="P704">
        <f t="shared" si="136"/>
        <v>0</v>
      </c>
      <c r="Q704">
        <f t="shared" si="137"/>
        <v>0</v>
      </c>
      <c r="R704">
        <v>1</v>
      </c>
      <c r="S704">
        <v>0</v>
      </c>
      <c r="T704">
        <v>1</v>
      </c>
      <c r="U704">
        <v>0</v>
      </c>
      <c r="V704">
        <v>1</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f t="shared" si="138"/>
        <v>2</v>
      </c>
      <c r="AT704">
        <f t="shared" si="139"/>
        <v>3</v>
      </c>
      <c r="AU704" s="3" t="s">
        <v>1775</v>
      </c>
      <c r="AV704">
        <f t="shared" si="140"/>
        <v>1</v>
      </c>
      <c r="AW704">
        <f t="shared" si="141"/>
        <v>0</v>
      </c>
      <c r="AX704">
        <f t="shared" si="142"/>
        <v>0</v>
      </c>
      <c r="AY704">
        <v>2.5</v>
      </c>
      <c r="AZ704" t="s">
        <v>60</v>
      </c>
      <c r="BA704" t="s">
        <v>61</v>
      </c>
      <c r="BB704" t="s">
        <v>8</v>
      </c>
    </row>
    <row r="705" ht="34" spans="1:54">
      <c r="A705" t="s">
        <v>2483</v>
      </c>
      <c r="B705" t="s">
        <v>2118</v>
      </c>
      <c r="C705" t="s">
        <v>116</v>
      </c>
      <c r="D705">
        <v>0</v>
      </c>
      <c r="E705">
        <v>0</v>
      </c>
      <c r="F705">
        <v>1.4</v>
      </c>
      <c r="G705" t="s">
        <v>425</v>
      </c>
      <c r="H705" s="3" t="s">
        <v>2484</v>
      </c>
      <c r="I705" s="3" t="s">
        <v>2485</v>
      </c>
      <c r="J705">
        <f t="shared" si="130"/>
        <v>1</v>
      </c>
      <c r="K705">
        <f t="shared" si="131"/>
        <v>1</v>
      </c>
      <c r="L705">
        <f t="shared" si="132"/>
        <v>0</v>
      </c>
      <c r="M705">
        <f t="shared" si="133"/>
        <v>0</v>
      </c>
      <c r="N705">
        <f t="shared" si="134"/>
        <v>0</v>
      </c>
      <c r="O705">
        <f t="shared" si="135"/>
        <v>0</v>
      </c>
      <c r="P705">
        <f t="shared" si="136"/>
        <v>0</v>
      </c>
      <c r="Q705">
        <f t="shared" si="137"/>
        <v>0</v>
      </c>
      <c r="R705">
        <v>1</v>
      </c>
      <c r="S705">
        <v>0</v>
      </c>
      <c r="T705">
        <v>0</v>
      </c>
      <c r="U705">
        <v>0</v>
      </c>
      <c r="V705">
        <v>1</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c r="AS705">
        <f t="shared" si="138"/>
        <v>2</v>
      </c>
      <c r="AT705">
        <f t="shared" si="139"/>
        <v>2</v>
      </c>
      <c r="AU705" s="3" t="s">
        <v>2486</v>
      </c>
      <c r="AV705">
        <f t="shared" si="140"/>
        <v>1</v>
      </c>
      <c r="AW705">
        <f t="shared" si="141"/>
        <v>0</v>
      </c>
      <c r="AX705">
        <f t="shared" si="142"/>
        <v>0</v>
      </c>
      <c r="AY705">
        <v>3</v>
      </c>
      <c r="AZ705" t="s">
        <v>60</v>
      </c>
      <c r="BA705" t="s">
        <v>61</v>
      </c>
      <c r="BB705" t="s">
        <v>8</v>
      </c>
    </row>
    <row r="706" ht="34" spans="1:54">
      <c r="A706" t="s">
        <v>2487</v>
      </c>
      <c r="B706" t="s">
        <v>2118</v>
      </c>
      <c r="C706" t="s">
        <v>56</v>
      </c>
      <c r="D706">
        <v>0</v>
      </c>
      <c r="E706">
        <v>0</v>
      </c>
      <c r="F706">
        <v>71.6</v>
      </c>
      <c r="G706" t="s">
        <v>425</v>
      </c>
      <c r="H706" s="3" t="s">
        <v>2488</v>
      </c>
      <c r="I706" s="3" t="s">
        <v>2489</v>
      </c>
      <c r="J706">
        <f t="shared" ref="J706:J769" si="143">IF(SUM(R706:T706)&gt;0,1,0)</f>
        <v>1</v>
      </c>
      <c r="K706">
        <f t="shared" ref="K706:K769" si="144">IF(SUM(U706:Y706)&gt;0,1,0)</f>
        <v>0</v>
      </c>
      <c r="L706">
        <f t="shared" ref="L706:L769" si="145">IF(SUM(Z706:AC706)&gt;0,1,0)</f>
        <v>1</v>
      </c>
      <c r="M706">
        <f t="shared" ref="M706:M769" si="146">IF(SUM(AD706:AF706)&gt;0,1,0)</f>
        <v>0</v>
      </c>
      <c r="N706">
        <f t="shared" ref="N706:N769" si="147">IF(SUM(AG706:AH706)&gt;0,1,0)</f>
        <v>1</v>
      </c>
      <c r="O706">
        <f t="shared" ref="O706:O769" si="148">IF(SUM(AI706:AL706)&gt;0,1,0)</f>
        <v>0</v>
      </c>
      <c r="P706">
        <f t="shared" ref="P706:P769" si="149">IF(SUM(AM706:AQ706)&gt;0,1,0)</f>
        <v>0</v>
      </c>
      <c r="Q706">
        <f t="shared" ref="Q706:Q769" si="150">IF(AR706&gt;0,1,0)</f>
        <v>0</v>
      </c>
      <c r="R706">
        <v>1</v>
      </c>
      <c r="S706">
        <v>0</v>
      </c>
      <c r="T706">
        <v>0</v>
      </c>
      <c r="U706">
        <v>0</v>
      </c>
      <c r="V706">
        <v>0</v>
      </c>
      <c r="W706">
        <v>0</v>
      </c>
      <c r="X706">
        <v>0</v>
      </c>
      <c r="Y706">
        <v>0</v>
      </c>
      <c r="Z706">
        <v>1</v>
      </c>
      <c r="AA706">
        <v>0</v>
      </c>
      <c r="AB706">
        <v>0</v>
      </c>
      <c r="AC706">
        <v>0</v>
      </c>
      <c r="AD706">
        <v>0</v>
      </c>
      <c r="AE706">
        <v>0</v>
      </c>
      <c r="AF706">
        <v>0</v>
      </c>
      <c r="AG706">
        <v>0</v>
      </c>
      <c r="AH706">
        <v>1</v>
      </c>
      <c r="AI706">
        <v>0</v>
      </c>
      <c r="AJ706">
        <v>0</v>
      </c>
      <c r="AK706">
        <v>0</v>
      </c>
      <c r="AL706">
        <v>0</v>
      </c>
      <c r="AM706">
        <v>0</v>
      </c>
      <c r="AN706">
        <v>0</v>
      </c>
      <c r="AO706">
        <v>0</v>
      </c>
      <c r="AP706">
        <v>0</v>
      </c>
      <c r="AQ706">
        <v>0</v>
      </c>
      <c r="AR706">
        <v>0</v>
      </c>
      <c r="AS706">
        <f t="shared" ref="AS706:AS769" si="151">SUM(J706:Q706)</f>
        <v>3</v>
      </c>
      <c r="AT706">
        <f t="shared" ref="AT706:AT769" si="152">SUM(R706:AR706)</f>
        <v>3</v>
      </c>
      <c r="AU706" s="3" t="s">
        <v>774</v>
      </c>
      <c r="AV706">
        <f t="shared" ref="AV706:AV769" si="153">IF(AT706&gt;0,1,0)</f>
        <v>1</v>
      </c>
      <c r="AW706">
        <f t="shared" ref="AW706:AW769" si="154">IF(AT706=0,1,0)</f>
        <v>0</v>
      </c>
      <c r="AX706">
        <f t="shared" ref="AX706:AX769" si="155">IF(AT706&gt;=8,1,0)</f>
        <v>0</v>
      </c>
      <c r="AY706">
        <v>2.5</v>
      </c>
      <c r="AZ706" t="s">
        <v>60</v>
      </c>
      <c r="BA706" t="s">
        <v>61</v>
      </c>
      <c r="BB706" t="s">
        <v>8</v>
      </c>
    </row>
    <row r="707" ht="34" spans="1:54">
      <c r="A707" t="s">
        <v>2490</v>
      </c>
      <c r="B707" t="s">
        <v>2118</v>
      </c>
      <c r="C707" t="s">
        <v>116</v>
      </c>
      <c r="D707">
        <v>0</v>
      </c>
      <c r="E707">
        <v>0</v>
      </c>
      <c r="F707">
        <v>19.3</v>
      </c>
      <c r="G707" t="s">
        <v>425</v>
      </c>
      <c r="H707" s="3" t="s">
        <v>2491</v>
      </c>
      <c r="I707" s="3" t="s">
        <v>2492</v>
      </c>
      <c r="J707">
        <f t="shared" si="143"/>
        <v>0</v>
      </c>
      <c r="K707">
        <f t="shared" si="144"/>
        <v>1</v>
      </c>
      <c r="L707">
        <f t="shared" si="145"/>
        <v>1</v>
      </c>
      <c r="M707">
        <f t="shared" si="146"/>
        <v>0</v>
      </c>
      <c r="N707">
        <f t="shared" si="147"/>
        <v>0</v>
      </c>
      <c r="O707">
        <f t="shared" si="148"/>
        <v>0</v>
      </c>
      <c r="P707">
        <f t="shared" si="149"/>
        <v>0</v>
      </c>
      <c r="Q707">
        <f t="shared" si="150"/>
        <v>0</v>
      </c>
      <c r="R707">
        <v>0</v>
      </c>
      <c r="S707">
        <v>0</v>
      </c>
      <c r="T707">
        <v>0</v>
      </c>
      <c r="U707">
        <v>0</v>
      </c>
      <c r="V707">
        <v>1</v>
      </c>
      <c r="W707">
        <v>0</v>
      </c>
      <c r="X707">
        <v>0</v>
      </c>
      <c r="Y707">
        <v>0</v>
      </c>
      <c r="Z707">
        <v>1</v>
      </c>
      <c r="AA707">
        <v>1</v>
      </c>
      <c r="AB707">
        <v>0</v>
      </c>
      <c r="AC707">
        <v>0</v>
      </c>
      <c r="AD707">
        <v>0</v>
      </c>
      <c r="AE707">
        <v>0</v>
      </c>
      <c r="AF707">
        <v>0</v>
      </c>
      <c r="AG707">
        <v>0</v>
      </c>
      <c r="AH707">
        <v>0</v>
      </c>
      <c r="AI707">
        <v>0</v>
      </c>
      <c r="AJ707">
        <v>0</v>
      </c>
      <c r="AK707">
        <v>0</v>
      </c>
      <c r="AL707">
        <v>0</v>
      </c>
      <c r="AM707">
        <v>0</v>
      </c>
      <c r="AN707">
        <v>0</v>
      </c>
      <c r="AO707">
        <v>0</v>
      </c>
      <c r="AP707">
        <v>0</v>
      </c>
      <c r="AQ707">
        <v>0</v>
      </c>
      <c r="AR707">
        <v>0</v>
      </c>
      <c r="AS707">
        <f t="shared" si="151"/>
        <v>2</v>
      </c>
      <c r="AT707">
        <f t="shared" si="152"/>
        <v>3</v>
      </c>
      <c r="AU707" s="3" t="s">
        <v>2493</v>
      </c>
      <c r="AV707">
        <f t="shared" si="153"/>
        <v>1</v>
      </c>
      <c r="AW707">
        <f t="shared" si="154"/>
        <v>0</v>
      </c>
      <c r="AX707">
        <f t="shared" si="155"/>
        <v>0</v>
      </c>
      <c r="AY707">
        <v>-3.5</v>
      </c>
      <c r="AZ707" t="s">
        <v>133</v>
      </c>
      <c r="BA707" t="s">
        <v>134</v>
      </c>
      <c r="BB707" t="s">
        <v>8</v>
      </c>
    </row>
    <row r="708" ht="236" spans="1:54">
      <c r="A708" t="s">
        <v>2494</v>
      </c>
      <c r="B708" t="s">
        <v>2118</v>
      </c>
      <c r="C708" t="s">
        <v>56</v>
      </c>
      <c r="D708">
        <v>0</v>
      </c>
      <c r="E708">
        <v>0</v>
      </c>
      <c r="F708">
        <v>48.7</v>
      </c>
      <c r="G708" t="s">
        <v>425</v>
      </c>
      <c r="H708" s="3" t="s">
        <v>2495</v>
      </c>
      <c r="I708" s="3" t="s">
        <v>2496</v>
      </c>
      <c r="J708">
        <f t="shared" si="143"/>
        <v>1</v>
      </c>
      <c r="K708">
        <f t="shared" si="144"/>
        <v>1</v>
      </c>
      <c r="L708">
        <f t="shared" si="145"/>
        <v>0</v>
      </c>
      <c r="M708">
        <f t="shared" si="146"/>
        <v>0</v>
      </c>
      <c r="N708">
        <f t="shared" si="147"/>
        <v>1</v>
      </c>
      <c r="O708">
        <f t="shared" si="148"/>
        <v>0</v>
      </c>
      <c r="P708">
        <f t="shared" si="149"/>
        <v>0</v>
      </c>
      <c r="Q708">
        <f t="shared" si="150"/>
        <v>0</v>
      </c>
      <c r="R708">
        <v>1</v>
      </c>
      <c r="S708">
        <v>0</v>
      </c>
      <c r="T708">
        <v>0</v>
      </c>
      <c r="U708">
        <v>0</v>
      </c>
      <c r="V708">
        <v>1</v>
      </c>
      <c r="W708">
        <v>0</v>
      </c>
      <c r="X708">
        <v>0</v>
      </c>
      <c r="Y708">
        <v>0</v>
      </c>
      <c r="Z708">
        <v>0</v>
      </c>
      <c r="AA708">
        <v>0</v>
      </c>
      <c r="AB708">
        <v>0</v>
      </c>
      <c r="AC708">
        <v>0</v>
      </c>
      <c r="AD708">
        <v>0</v>
      </c>
      <c r="AE708">
        <v>0</v>
      </c>
      <c r="AF708">
        <v>0</v>
      </c>
      <c r="AG708">
        <v>0</v>
      </c>
      <c r="AH708">
        <v>1</v>
      </c>
      <c r="AI708">
        <v>0</v>
      </c>
      <c r="AJ708">
        <v>0</v>
      </c>
      <c r="AK708">
        <v>0</v>
      </c>
      <c r="AL708">
        <v>0</v>
      </c>
      <c r="AM708">
        <v>0</v>
      </c>
      <c r="AN708">
        <v>0</v>
      </c>
      <c r="AO708">
        <v>0</v>
      </c>
      <c r="AP708">
        <v>0</v>
      </c>
      <c r="AQ708">
        <v>0</v>
      </c>
      <c r="AR708">
        <v>0</v>
      </c>
      <c r="AS708">
        <f t="shared" si="151"/>
        <v>3</v>
      </c>
      <c r="AT708">
        <f t="shared" si="152"/>
        <v>3</v>
      </c>
      <c r="AU708" s="3" t="s">
        <v>2497</v>
      </c>
      <c r="AV708">
        <f t="shared" si="153"/>
        <v>1</v>
      </c>
      <c r="AW708">
        <f t="shared" si="154"/>
        <v>0</v>
      </c>
      <c r="AX708">
        <f t="shared" si="155"/>
        <v>0</v>
      </c>
      <c r="AY708">
        <v>6.5</v>
      </c>
      <c r="AZ708" t="s">
        <v>60</v>
      </c>
      <c r="BA708" t="s">
        <v>61</v>
      </c>
      <c r="BB708" t="s">
        <v>8</v>
      </c>
    </row>
    <row r="709" ht="353" spans="1:54">
      <c r="A709" t="s">
        <v>2498</v>
      </c>
      <c r="B709" t="s">
        <v>2118</v>
      </c>
      <c r="C709" t="s">
        <v>56</v>
      </c>
      <c r="D709">
        <v>0</v>
      </c>
      <c r="E709">
        <v>0</v>
      </c>
      <c r="F709">
        <v>72.6</v>
      </c>
      <c r="G709" t="s">
        <v>425</v>
      </c>
      <c r="H709" s="3" t="s">
        <v>2499</v>
      </c>
      <c r="I709" s="3" t="s">
        <v>2500</v>
      </c>
      <c r="J709">
        <f t="shared" si="143"/>
        <v>1</v>
      </c>
      <c r="K709">
        <f t="shared" si="144"/>
        <v>1</v>
      </c>
      <c r="L709">
        <f t="shared" si="145"/>
        <v>0</v>
      </c>
      <c r="M709">
        <f t="shared" si="146"/>
        <v>1</v>
      </c>
      <c r="N709">
        <f t="shared" si="147"/>
        <v>1</v>
      </c>
      <c r="O709">
        <f t="shared" si="148"/>
        <v>0</v>
      </c>
      <c r="P709">
        <f t="shared" si="149"/>
        <v>0</v>
      </c>
      <c r="Q709">
        <f t="shared" si="150"/>
        <v>0</v>
      </c>
      <c r="R709">
        <v>1</v>
      </c>
      <c r="S709">
        <v>0</v>
      </c>
      <c r="T709">
        <v>0</v>
      </c>
      <c r="U709">
        <v>0</v>
      </c>
      <c r="V709">
        <v>1</v>
      </c>
      <c r="W709">
        <v>0</v>
      </c>
      <c r="X709">
        <v>0</v>
      </c>
      <c r="Y709">
        <v>0</v>
      </c>
      <c r="Z709">
        <v>0</v>
      </c>
      <c r="AA709">
        <v>0</v>
      </c>
      <c r="AB709">
        <v>0</v>
      </c>
      <c r="AC709">
        <v>0</v>
      </c>
      <c r="AD709">
        <v>1</v>
      </c>
      <c r="AE709">
        <v>1</v>
      </c>
      <c r="AF709">
        <v>0</v>
      </c>
      <c r="AG709">
        <v>0</v>
      </c>
      <c r="AH709">
        <v>1</v>
      </c>
      <c r="AI709">
        <v>0</v>
      </c>
      <c r="AJ709">
        <v>0</v>
      </c>
      <c r="AK709">
        <v>0</v>
      </c>
      <c r="AL709">
        <v>0</v>
      </c>
      <c r="AM709">
        <v>0</v>
      </c>
      <c r="AN709">
        <v>0</v>
      </c>
      <c r="AO709">
        <v>0</v>
      </c>
      <c r="AP709">
        <v>0</v>
      </c>
      <c r="AQ709">
        <v>0</v>
      </c>
      <c r="AR709">
        <v>0</v>
      </c>
      <c r="AS709">
        <f t="shared" si="151"/>
        <v>4</v>
      </c>
      <c r="AT709">
        <f t="shared" si="152"/>
        <v>5</v>
      </c>
      <c r="AU709" s="3" t="s">
        <v>1082</v>
      </c>
      <c r="AV709">
        <f t="shared" si="153"/>
        <v>1</v>
      </c>
      <c r="AW709">
        <f t="shared" si="154"/>
        <v>0</v>
      </c>
      <c r="AX709">
        <f t="shared" si="155"/>
        <v>0</v>
      </c>
      <c r="AY709">
        <v>3.5</v>
      </c>
      <c r="AZ709" t="s">
        <v>60</v>
      </c>
      <c r="BA709" t="s">
        <v>61</v>
      </c>
      <c r="BB709" t="s">
        <v>8</v>
      </c>
    </row>
    <row r="710" ht="34" spans="1:54">
      <c r="A710" t="s">
        <v>2501</v>
      </c>
      <c r="B710" t="s">
        <v>2118</v>
      </c>
      <c r="C710" t="s">
        <v>116</v>
      </c>
      <c r="D710">
        <v>4</v>
      </c>
      <c r="E710">
        <v>0</v>
      </c>
      <c r="F710">
        <v>1</v>
      </c>
      <c r="G710" t="s">
        <v>425</v>
      </c>
      <c r="H710" s="3" t="s">
        <v>2502</v>
      </c>
      <c r="I710" s="3" t="s">
        <v>2503</v>
      </c>
      <c r="J710">
        <f t="shared" si="143"/>
        <v>0</v>
      </c>
      <c r="K710">
        <f t="shared" si="144"/>
        <v>1</v>
      </c>
      <c r="L710">
        <f t="shared" si="145"/>
        <v>1</v>
      </c>
      <c r="M710">
        <f t="shared" si="146"/>
        <v>0</v>
      </c>
      <c r="N710">
        <f t="shared" si="147"/>
        <v>1</v>
      </c>
      <c r="O710">
        <f t="shared" si="148"/>
        <v>0</v>
      </c>
      <c r="P710">
        <f t="shared" si="149"/>
        <v>0</v>
      </c>
      <c r="Q710">
        <f t="shared" si="150"/>
        <v>0</v>
      </c>
      <c r="R710">
        <v>0</v>
      </c>
      <c r="S710">
        <v>0</v>
      </c>
      <c r="T710">
        <v>0</v>
      </c>
      <c r="U710">
        <v>1</v>
      </c>
      <c r="V710">
        <v>0</v>
      </c>
      <c r="W710">
        <v>0</v>
      </c>
      <c r="X710">
        <v>0</v>
      </c>
      <c r="Y710">
        <v>0</v>
      </c>
      <c r="Z710">
        <v>1</v>
      </c>
      <c r="AA710">
        <v>0</v>
      </c>
      <c r="AB710">
        <v>0</v>
      </c>
      <c r="AC710">
        <v>0</v>
      </c>
      <c r="AD710">
        <v>0</v>
      </c>
      <c r="AE710">
        <v>0</v>
      </c>
      <c r="AF710">
        <v>0</v>
      </c>
      <c r="AG710">
        <v>0</v>
      </c>
      <c r="AH710">
        <v>1</v>
      </c>
      <c r="AI710">
        <v>0</v>
      </c>
      <c r="AJ710">
        <v>0</v>
      </c>
      <c r="AK710">
        <v>0</v>
      </c>
      <c r="AL710">
        <v>0</v>
      </c>
      <c r="AM710">
        <v>0</v>
      </c>
      <c r="AN710">
        <v>0</v>
      </c>
      <c r="AO710">
        <v>0</v>
      </c>
      <c r="AP710">
        <v>0</v>
      </c>
      <c r="AQ710">
        <v>0</v>
      </c>
      <c r="AR710">
        <v>0</v>
      </c>
      <c r="AS710">
        <f t="shared" si="151"/>
        <v>3</v>
      </c>
      <c r="AT710">
        <f t="shared" si="152"/>
        <v>3</v>
      </c>
      <c r="AU710" s="3" t="s">
        <v>2014</v>
      </c>
      <c r="AV710">
        <f t="shared" si="153"/>
        <v>1</v>
      </c>
      <c r="AW710">
        <f t="shared" si="154"/>
        <v>0</v>
      </c>
      <c r="AX710">
        <f t="shared" si="155"/>
        <v>0</v>
      </c>
      <c r="AY710">
        <v>-1</v>
      </c>
      <c r="AZ710" t="s">
        <v>133</v>
      </c>
      <c r="BA710" t="s">
        <v>134</v>
      </c>
      <c r="BB710" t="s">
        <v>8</v>
      </c>
    </row>
    <row r="711" ht="101" spans="1:54">
      <c r="A711" t="s">
        <v>2504</v>
      </c>
      <c r="B711" t="s">
        <v>2118</v>
      </c>
      <c r="C711" t="s">
        <v>56</v>
      </c>
      <c r="D711">
        <v>2</v>
      </c>
      <c r="E711">
        <v>0</v>
      </c>
      <c r="F711">
        <v>40.9</v>
      </c>
      <c r="G711" t="s">
        <v>425</v>
      </c>
      <c r="H711" s="3" t="s">
        <v>2505</v>
      </c>
      <c r="I711" s="3" t="s">
        <v>2506</v>
      </c>
      <c r="J711">
        <f t="shared" si="143"/>
        <v>0</v>
      </c>
      <c r="K711">
        <f t="shared" si="144"/>
        <v>1</v>
      </c>
      <c r="L711">
        <f t="shared" si="145"/>
        <v>0</v>
      </c>
      <c r="M711">
        <f t="shared" si="146"/>
        <v>1</v>
      </c>
      <c r="N711">
        <f t="shared" si="147"/>
        <v>1</v>
      </c>
      <c r="O711">
        <f t="shared" si="148"/>
        <v>0</v>
      </c>
      <c r="P711">
        <f t="shared" si="149"/>
        <v>1</v>
      </c>
      <c r="Q711">
        <f t="shared" si="150"/>
        <v>0</v>
      </c>
      <c r="R711">
        <v>0</v>
      </c>
      <c r="S711">
        <v>0</v>
      </c>
      <c r="T711">
        <v>0</v>
      </c>
      <c r="U711">
        <v>0</v>
      </c>
      <c r="V711">
        <v>1</v>
      </c>
      <c r="W711">
        <v>0</v>
      </c>
      <c r="X711">
        <v>0</v>
      </c>
      <c r="Y711">
        <v>0</v>
      </c>
      <c r="Z711">
        <v>0</v>
      </c>
      <c r="AA711">
        <v>0</v>
      </c>
      <c r="AB711">
        <v>0</v>
      </c>
      <c r="AC711">
        <v>0</v>
      </c>
      <c r="AD711">
        <v>0</v>
      </c>
      <c r="AE711">
        <v>0</v>
      </c>
      <c r="AF711">
        <v>1</v>
      </c>
      <c r="AG711">
        <v>0</v>
      </c>
      <c r="AH711">
        <v>1</v>
      </c>
      <c r="AI711">
        <v>0</v>
      </c>
      <c r="AJ711">
        <v>0</v>
      </c>
      <c r="AK711">
        <v>0</v>
      </c>
      <c r="AL711">
        <v>0</v>
      </c>
      <c r="AM711">
        <v>0</v>
      </c>
      <c r="AN711">
        <v>0</v>
      </c>
      <c r="AO711">
        <v>1</v>
      </c>
      <c r="AP711">
        <v>0</v>
      </c>
      <c r="AQ711">
        <v>0</v>
      </c>
      <c r="AR711">
        <v>0</v>
      </c>
      <c r="AS711">
        <f t="shared" si="151"/>
        <v>4</v>
      </c>
      <c r="AT711">
        <f t="shared" si="152"/>
        <v>4</v>
      </c>
      <c r="AU711" s="3" t="s">
        <v>2507</v>
      </c>
      <c r="AV711">
        <f t="shared" si="153"/>
        <v>1</v>
      </c>
      <c r="AW711">
        <f t="shared" si="154"/>
        <v>0</v>
      </c>
      <c r="AX711">
        <f t="shared" si="155"/>
        <v>0</v>
      </c>
      <c r="AY711">
        <v>0.5</v>
      </c>
      <c r="AZ711" t="s">
        <v>60</v>
      </c>
      <c r="BA711" t="s">
        <v>61</v>
      </c>
      <c r="BB711" t="s">
        <v>8</v>
      </c>
    </row>
    <row r="712" ht="152" spans="1:54">
      <c r="A712" t="s">
        <v>2508</v>
      </c>
      <c r="B712" t="s">
        <v>2118</v>
      </c>
      <c r="C712" t="s">
        <v>56</v>
      </c>
      <c r="D712">
        <v>0</v>
      </c>
      <c r="E712">
        <v>0</v>
      </c>
      <c r="F712">
        <v>75.6</v>
      </c>
      <c r="G712" t="s">
        <v>443</v>
      </c>
      <c r="H712" s="3" t="s">
        <v>2509</v>
      </c>
      <c r="I712" s="3" t="s">
        <v>2510</v>
      </c>
      <c r="J712">
        <f t="shared" si="143"/>
        <v>0</v>
      </c>
      <c r="K712">
        <f t="shared" si="144"/>
        <v>1</v>
      </c>
      <c r="L712">
        <f t="shared" si="145"/>
        <v>1</v>
      </c>
      <c r="M712">
        <f t="shared" si="146"/>
        <v>0</v>
      </c>
      <c r="N712">
        <f t="shared" si="147"/>
        <v>0</v>
      </c>
      <c r="O712">
        <f t="shared" si="148"/>
        <v>0</v>
      </c>
      <c r="P712">
        <f t="shared" si="149"/>
        <v>0</v>
      </c>
      <c r="Q712">
        <f t="shared" si="150"/>
        <v>0</v>
      </c>
      <c r="R712">
        <v>0</v>
      </c>
      <c r="S712">
        <v>0</v>
      </c>
      <c r="T712">
        <v>0</v>
      </c>
      <c r="U712">
        <v>0</v>
      </c>
      <c r="V712">
        <v>0</v>
      </c>
      <c r="W712">
        <v>1</v>
      </c>
      <c r="X712">
        <v>0</v>
      </c>
      <c r="Y712">
        <v>0</v>
      </c>
      <c r="Z712">
        <v>1</v>
      </c>
      <c r="AA712">
        <v>0</v>
      </c>
      <c r="AB712">
        <v>0</v>
      </c>
      <c r="AC712">
        <v>1</v>
      </c>
      <c r="AD712">
        <v>0</v>
      </c>
      <c r="AE712">
        <v>0</v>
      </c>
      <c r="AF712">
        <v>0</v>
      </c>
      <c r="AG712">
        <v>0</v>
      </c>
      <c r="AH712">
        <v>0</v>
      </c>
      <c r="AI712">
        <v>0</v>
      </c>
      <c r="AJ712">
        <v>0</v>
      </c>
      <c r="AK712">
        <v>0</v>
      </c>
      <c r="AL712">
        <v>0</v>
      </c>
      <c r="AM712">
        <v>0</v>
      </c>
      <c r="AN712">
        <v>0</v>
      </c>
      <c r="AO712">
        <v>0</v>
      </c>
      <c r="AP712">
        <v>0</v>
      </c>
      <c r="AQ712">
        <v>0</v>
      </c>
      <c r="AR712">
        <v>0</v>
      </c>
      <c r="AS712">
        <f t="shared" si="151"/>
        <v>2</v>
      </c>
      <c r="AT712">
        <f t="shared" si="152"/>
        <v>3</v>
      </c>
      <c r="AU712" s="3" t="s">
        <v>2511</v>
      </c>
      <c r="AV712">
        <f t="shared" si="153"/>
        <v>1</v>
      </c>
      <c r="AW712">
        <f t="shared" si="154"/>
        <v>0</v>
      </c>
      <c r="AX712">
        <f t="shared" si="155"/>
        <v>0</v>
      </c>
      <c r="AY712">
        <v>0.5</v>
      </c>
      <c r="AZ712" t="s">
        <v>60</v>
      </c>
      <c r="BA712" t="s">
        <v>61</v>
      </c>
      <c r="BB712" t="s">
        <v>8</v>
      </c>
    </row>
    <row r="713" ht="409.5" spans="1:54">
      <c r="A713" t="s">
        <v>2512</v>
      </c>
      <c r="B713" t="s">
        <v>2118</v>
      </c>
      <c r="C713" t="s">
        <v>56</v>
      </c>
      <c r="D713">
        <v>0</v>
      </c>
      <c r="E713">
        <v>0</v>
      </c>
      <c r="F713">
        <v>78.3</v>
      </c>
      <c r="G713" t="s">
        <v>443</v>
      </c>
      <c r="H713" s="3" t="s">
        <v>2513</v>
      </c>
      <c r="I713" s="3" t="s">
        <v>2514</v>
      </c>
      <c r="J713">
        <f t="shared" si="143"/>
        <v>0</v>
      </c>
      <c r="K713">
        <f t="shared" si="144"/>
        <v>1</v>
      </c>
      <c r="L713">
        <f t="shared" si="145"/>
        <v>0</v>
      </c>
      <c r="M713">
        <f t="shared" si="146"/>
        <v>0</v>
      </c>
      <c r="N713">
        <f t="shared" si="147"/>
        <v>1</v>
      </c>
      <c r="O713">
        <f t="shared" si="148"/>
        <v>1</v>
      </c>
      <c r="P713">
        <f t="shared" si="149"/>
        <v>0</v>
      </c>
      <c r="Q713">
        <f t="shared" si="150"/>
        <v>0</v>
      </c>
      <c r="R713">
        <v>0</v>
      </c>
      <c r="S713">
        <v>0</v>
      </c>
      <c r="T713">
        <v>0</v>
      </c>
      <c r="U713">
        <v>1</v>
      </c>
      <c r="V713">
        <v>1</v>
      </c>
      <c r="W713">
        <v>0</v>
      </c>
      <c r="X713">
        <v>0</v>
      </c>
      <c r="Y713">
        <v>0</v>
      </c>
      <c r="Z713">
        <v>0</v>
      </c>
      <c r="AA713">
        <v>0</v>
      </c>
      <c r="AB713">
        <v>0</v>
      </c>
      <c r="AC713">
        <v>0</v>
      </c>
      <c r="AD713">
        <v>0</v>
      </c>
      <c r="AE713">
        <v>0</v>
      </c>
      <c r="AF713">
        <v>0</v>
      </c>
      <c r="AG713">
        <v>0</v>
      </c>
      <c r="AH713">
        <v>1</v>
      </c>
      <c r="AI713">
        <v>1</v>
      </c>
      <c r="AJ713">
        <v>0</v>
      </c>
      <c r="AK713">
        <v>0</v>
      </c>
      <c r="AL713">
        <v>0</v>
      </c>
      <c r="AM713">
        <v>0</v>
      </c>
      <c r="AN713">
        <v>0</v>
      </c>
      <c r="AO713">
        <v>0</v>
      </c>
      <c r="AP713">
        <v>0</v>
      </c>
      <c r="AQ713">
        <v>0</v>
      </c>
      <c r="AR713">
        <v>0</v>
      </c>
      <c r="AS713">
        <f t="shared" si="151"/>
        <v>3</v>
      </c>
      <c r="AT713">
        <f t="shared" si="152"/>
        <v>4</v>
      </c>
      <c r="AU713" s="3" t="s">
        <v>2515</v>
      </c>
      <c r="AV713">
        <f t="shared" si="153"/>
        <v>1</v>
      </c>
      <c r="AW713">
        <f t="shared" si="154"/>
        <v>0</v>
      </c>
      <c r="AX713">
        <f t="shared" si="155"/>
        <v>0</v>
      </c>
      <c r="AY713">
        <v>-5</v>
      </c>
      <c r="AZ713" t="s">
        <v>133</v>
      </c>
      <c r="BA713" t="s">
        <v>134</v>
      </c>
      <c r="BB713" t="s">
        <v>8</v>
      </c>
    </row>
    <row r="714" ht="101" spans="1:54">
      <c r="A714" t="s">
        <v>2516</v>
      </c>
      <c r="B714" t="s">
        <v>2118</v>
      </c>
      <c r="C714" t="s">
        <v>116</v>
      </c>
      <c r="D714">
        <v>0</v>
      </c>
      <c r="E714">
        <v>0</v>
      </c>
      <c r="F714">
        <v>250.7</v>
      </c>
      <c r="G714" t="s">
        <v>443</v>
      </c>
      <c r="H714" s="3" t="s">
        <v>2517</v>
      </c>
      <c r="I714" s="3" t="s">
        <v>2518</v>
      </c>
      <c r="J714">
        <f t="shared" si="143"/>
        <v>1</v>
      </c>
      <c r="K714">
        <f t="shared" si="144"/>
        <v>1</v>
      </c>
      <c r="L714">
        <f t="shared" si="145"/>
        <v>0</v>
      </c>
      <c r="M714">
        <f t="shared" si="146"/>
        <v>1</v>
      </c>
      <c r="N714">
        <f t="shared" si="147"/>
        <v>1</v>
      </c>
      <c r="O714">
        <f t="shared" si="148"/>
        <v>0</v>
      </c>
      <c r="P714">
        <f t="shared" si="149"/>
        <v>0</v>
      </c>
      <c r="Q714">
        <f t="shared" si="150"/>
        <v>0</v>
      </c>
      <c r="R714">
        <v>0</v>
      </c>
      <c r="S714">
        <v>1</v>
      </c>
      <c r="T714">
        <v>0</v>
      </c>
      <c r="U714">
        <v>0</v>
      </c>
      <c r="V714">
        <v>1</v>
      </c>
      <c r="W714">
        <v>0</v>
      </c>
      <c r="X714">
        <v>0</v>
      </c>
      <c r="Y714">
        <v>0</v>
      </c>
      <c r="Z714">
        <v>0</v>
      </c>
      <c r="AA714">
        <v>0</v>
      </c>
      <c r="AB714">
        <v>0</v>
      </c>
      <c r="AC714">
        <v>0</v>
      </c>
      <c r="AD714">
        <v>0</v>
      </c>
      <c r="AE714">
        <v>0</v>
      </c>
      <c r="AF714">
        <v>1</v>
      </c>
      <c r="AG714">
        <v>0</v>
      </c>
      <c r="AH714">
        <v>1</v>
      </c>
      <c r="AI714">
        <v>0</v>
      </c>
      <c r="AJ714">
        <v>0</v>
      </c>
      <c r="AK714">
        <v>0</v>
      </c>
      <c r="AL714">
        <v>0</v>
      </c>
      <c r="AM714">
        <v>0</v>
      </c>
      <c r="AN714">
        <v>0</v>
      </c>
      <c r="AO714">
        <v>0</v>
      </c>
      <c r="AP714">
        <v>0</v>
      </c>
      <c r="AQ714">
        <v>0</v>
      </c>
      <c r="AR714">
        <v>0</v>
      </c>
      <c r="AS714">
        <f t="shared" si="151"/>
        <v>4</v>
      </c>
      <c r="AT714">
        <f t="shared" si="152"/>
        <v>4</v>
      </c>
      <c r="AU714" s="3" t="s">
        <v>2519</v>
      </c>
      <c r="AV714">
        <f t="shared" si="153"/>
        <v>1</v>
      </c>
      <c r="AW714">
        <f t="shared" si="154"/>
        <v>0</v>
      </c>
      <c r="AX714">
        <f t="shared" si="155"/>
        <v>0</v>
      </c>
      <c r="AY714">
        <v>-7.5</v>
      </c>
      <c r="AZ714" t="s">
        <v>133</v>
      </c>
      <c r="BA714" t="s">
        <v>134</v>
      </c>
      <c r="BB714" t="s">
        <v>8</v>
      </c>
    </row>
    <row r="715" ht="409.5" spans="1:54">
      <c r="A715" t="s">
        <v>2520</v>
      </c>
      <c r="B715" t="s">
        <v>2118</v>
      </c>
      <c r="C715" t="s">
        <v>116</v>
      </c>
      <c r="D715">
        <v>0</v>
      </c>
      <c r="E715">
        <v>0</v>
      </c>
      <c r="F715">
        <v>5.8</v>
      </c>
      <c r="G715" t="s">
        <v>443</v>
      </c>
      <c r="H715" s="3" t="s">
        <v>2521</v>
      </c>
      <c r="I715" s="3" t="s">
        <v>2522</v>
      </c>
      <c r="J715">
        <f t="shared" si="143"/>
        <v>1</v>
      </c>
      <c r="K715">
        <f t="shared" si="144"/>
        <v>0</v>
      </c>
      <c r="L715">
        <f t="shared" si="145"/>
        <v>0</v>
      </c>
      <c r="M715">
        <f t="shared" si="146"/>
        <v>0</v>
      </c>
      <c r="N715">
        <f t="shared" si="147"/>
        <v>0</v>
      </c>
      <c r="O715">
        <f t="shared" si="148"/>
        <v>0</v>
      </c>
      <c r="P715">
        <f t="shared" si="149"/>
        <v>0</v>
      </c>
      <c r="Q715">
        <f t="shared" si="150"/>
        <v>0</v>
      </c>
      <c r="R715">
        <v>1</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f t="shared" si="151"/>
        <v>1</v>
      </c>
      <c r="AT715">
        <f t="shared" si="152"/>
        <v>1</v>
      </c>
      <c r="AU715" s="3" t="s">
        <v>1128</v>
      </c>
      <c r="AV715">
        <f t="shared" si="153"/>
        <v>1</v>
      </c>
      <c r="AW715">
        <f t="shared" si="154"/>
        <v>0</v>
      </c>
      <c r="AX715">
        <f t="shared" si="155"/>
        <v>0</v>
      </c>
      <c r="AY715">
        <v>5.5</v>
      </c>
      <c r="AZ715" t="s">
        <v>60</v>
      </c>
      <c r="BA715" t="s">
        <v>61</v>
      </c>
      <c r="BB715" t="s">
        <v>8</v>
      </c>
    </row>
    <row r="716" ht="152" spans="1:54">
      <c r="A716" t="s">
        <v>2523</v>
      </c>
      <c r="B716" t="s">
        <v>2118</v>
      </c>
      <c r="C716" t="s">
        <v>56</v>
      </c>
      <c r="D716">
        <v>0</v>
      </c>
      <c r="E716">
        <v>0</v>
      </c>
      <c r="F716">
        <v>18.9</v>
      </c>
      <c r="G716" t="s">
        <v>443</v>
      </c>
      <c r="H716" s="3" t="s">
        <v>2524</v>
      </c>
      <c r="I716" s="3" t="s">
        <v>2525</v>
      </c>
      <c r="J716">
        <f t="shared" si="143"/>
        <v>1</v>
      </c>
      <c r="K716">
        <f t="shared" si="144"/>
        <v>0</v>
      </c>
      <c r="L716">
        <f t="shared" si="145"/>
        <v>0</v>
      </c>
      <c r="M716">
        <f t="shared" si="146"/>
        <v>1</v>
      </c>
      <c r="N716">
        <f t="shared" si="147"/>
        <v>1</v>
      </c>
      <c r="O716">
        <f t="shared" si="148"/>
        <v>0</v>
      </c>
      <c r="P716">
        <f t="shared" si="149"/>
        <v>0</v>
      </c>
      <c r="Q716">
        <f t="shared" si="150"/>
        <v>0</v>
      </c>
      <c r="R716">
        <v>1</v>
      </c>
      <c r="S716">
        <v>0</v>
      </c>
      <c r="T716">
        <v>0</v>
      </c>
      <c r="U716">
        <v>0</v>
      </c>
      <c r="V716">
        <v>0</v>
      </c>
      <c r="W716">
        <v>0</v>
      </c>
      <c r="X716">
        <v>0</v>
      </c>
      <c r="Y716">
        <v>0</v>
      </c>
      <c r="Z716">
        <v>0</v>
      </c>
      <c r="AA716">
        <v>0</v>
      </c>
      <c r="AB716">
        <v>0</v>
      </c>
      <c r="AC716">
        <v>0</v>
      </c>
      <c r="AD716">
        <v>1</v>
      </c>
      <c r="AE716">
        <v>0</v>
      </c>
      <c r="AF716">
        <v>0</v>
      </c>
      <c r="AG716">
        <v>0</v>
      </c>
      <c r="AH716">
        <v>1</v>
      </c>
      <c r="AI716">
        <v>0</v>
      </c>
      <c r="AJ716">
        <v>0</v>
      </c>
      <c r="AK716">
        <v>0</v>
      </c>
      <c r="AL716">
        <v>0</v>
      </c>
      <c r="AM716">
        <v>0</v>
      </c>
      <c r="AN716">
        <v>0</v>
      </c>
      <c r="AO716">
        <v>0</v>
      </c>
      <c r="AP716">
        <v>0</v>
      </c>
      <c r="AQ716">
        <v>0</v>
      </c>
      <c r="AR716">
        <v>0</v>
      </c>
      <c r="AS716">
        <f t="shared" si="151"/>
        <v>3</v>
      </c>
      <c r="AT716">
        <f t="shared" si="152"/>
        <v>3</v>
      </c>
      <c r="AU716" s="3" t="s">
        <v>1248</v>
      </c>
      <c r="AV716">
        <f t="shared" si="153"/>
        <v>1</v>
      </c>
      <c r="AW716">
        <f t="shared" si="154"/>
        <v>0</v>
      </c>
      <c r="AX716">
        <f t="shared" si="155"/>
        <v>0</v>
      </c>
      <c r="AY716">
        <v>6</v>
      </c>
      <c r="AZ716" t="s">
        <v>60</v>
      </c>
      <c r="BA716" t="s">
        <v>61</v>
      </c>
      <c r="BB716" t="s">
        <v>8</v>
      </c>
    </row>
    <row r="717" ht="135" spans="1:54">
      <c r="A717" t="s">
        <v>2526</v>
      </c>
      <c r="B717" t="s">
        <v>2118</v>
      </c>
      <c r="C717" t="s">
        <v>56</v>
      </c>
      <c r="D717">
        <v>3</v>
      </c>
      <c r="E717">
        <v>0</v>
      </c>
      <c r="F717">
        <v>534.3</v>
      </c>
      <c r="G717" t="s">
        <v>443</v>
      </c>
      <c r="H717" s="3" t="s">
        <v>2527</v>
      </c>
      <c r="I717" s="3" t="s">
        <v>2528</v>
      </c>
      <c r="J717">
        <f t="shared" si="143"/>
        <v>0</v>
      </c>
      <c r="K717">
        <f t="shared" si="144"/>
        <v>1</v>
      </c>
      <c r="L717">
        <f t="shared" si="145"/>
        <v>1</v>
      </c>
      <c r="M717">
        <f t="shared" si="146"/>
        <v>0</v>
      </c>
      <c r="N717">
        <f t="shared" si="147"/>
        <v>1</v>
      </c>
      <c r="O717">
        <f t="shared" si="148"/>
        <v>0</v>
      </c>
      <c r="P717">
        <f t="shared" si="149"/>
        <v>0</v>
      </c>
      <c r="Q717">
        <f t="shared" si="150"/>
        <v>0</v>
      </c>
      <c r="R717">
        <v>0</v>
      </c>
      <c r="S717">
        <v>0</v>
      </c>
      <c r="T717">
        <v>0</v>
      </c>
      <c r="U717">
        <v>0</v>
      </c>
      <c r="V717">
        <v>1</v>
      </c>
      <c r="W717">
        <v>1</v>
      </c>
      <c r="X717">
        <v>0</v>
      </c>
      <c r="Y717">
        <v>0</v>
      </c>
      <c r="Z717">
        <v>0</v>
      </c>
      <c r="AA717">
        <v>0</v>
      </c>
      <c r="AB717">
        <v>0</v>
      </c>
      <c r="AC717">
        <v>1</v>
      </c>
      <c r="AD717">
        <v>0</v>
      </c>
      <c r="AE717">
        <v>0</v>
      </c>
      <c r="AF717">
        <v>0</v>
      </c>
      <c r="AG717">
        <v>0</v>
      </c>
      <c r="AH717">
        <v>1</v>
      </c>
      <c r="AI717">
        <v>0</v>
      </c>
      <c r="AJ717">
        <v>0</v>
      </c>
      <c r="AK717">
        <v>0</v>
      </c>
      <c r="AL717">
        <v>0</v>
      </c>
      <c r="AM717">
        <v>0</v>
      </c>
      <c r="AN717">
        <v>0</v>
      </c>
      <c r="AO717">
        <v>0</v>
      </c>
      <c r="AP717">
        <v>0</v>
      </c>
      <c r="AQ717">
        <v>0</v>
      </c>
      <c r="AR717">
        <v>0</v>
      </c>
      <c r="AS717">
        <f t="shared" si="151"/>
        <v>3</v>
      </c>
      <c r="AT717">
        <f t="shared" si="152"/>
        <v>4</v>
      </c>
      <c r="AU717" s="3" t="s">
        <v>2529</v>
      </c>
      <c r="AV717">
        <f t="shared" si="153"/>
        <v>1</v>
      </c>
      <c r="AW717">
        <f t="shared" si="154"/>
        <v>0</v>
      </c>
      <c r="AX717">
        <f t="shared" si="155"/>
        <v>0</v>
      </c>
      <c r="AY717">
        <v>6.5</v>
      </c>
      <c r="AZ717" t="s">
        <v>60</v>
      </c>
      <c r="BA717" t="s">
        <v>61</v>
      </c>
      <c r="BB717" t="s">
        <v>8</v>
      </c>
    </row>
    <row r="718" ht="168" spans="1:54">
      <c r="A718" t="s">
        <v>2530</v>
      </c>
      <c r="B718" t="s">
        <v>2118</v>
      </c>
      <c r="C718" t="s">
        <v>116</v>
      </c>
      <c r="D718">
        <v>2</v>
      </c>
      <c r="E718">
        <v>0</v>
      </c>
      <c r="F718">
        <v>39.2</v>
      </c>
      <c r="G718" t="s">
        <v>464</v>
      </c>
      <c r="H718" s="3" t="s">
        <v>2531</v>
      </c>
      <c r="I718" s="3" t="s">
        <v>2532</v>
      </c>
      <c r="J718">
        <f t="shared" si="143"/>
        <v>0</v>
      </c>
      <c r="K718">
        <f t="shared" si="144"/>
        <v>0</v>
      </c>
      <c r="L718">
        <f t="shared" si="145"/>
        <v>0</v>
      </c>
      <c r="M718">
        <f t="shared" si="146"/>
        <v>0</v>
      </c>
      <c r="N718">
        <f t="shared" si="147"/>
        <v>1</v>
      </c>
      <c r="O718">
        <f t="shared" si="148"/>
        <v>0</v>
      </c>
      <c r="P718">
        <f t="shared" si="149"/>
        <v>0</v>
      </c>
      <c r="Q718">
        <f t="shared" si="150"/>
        <v>0</v>
      </c>
      <c r="R718">
        <v>0</v>
      </c>
      <c r="S718">
        <v>0</v>
      </c>
      <c r="T718">
        <v>0</v>
      </c>
      <c r="U718">
        <v>0</v>
      </c>
      <c r="V718">
        <v>0</v>
      </c>
      <c r="W718">
        <v>0</v>
      </c>
      <c r="X718">
        <v>0</v>
      </c>
      <c r="Y718">
        <v>0</v>
      </c>
      <c r="Z718">
        <v>0</v>
      </c>
      <c r="AA718">
        <v>0</v>
      </c>
      <c r="AB718">
        <v>0</v>
      </c>
      <c r="AC718">
        <v>0</v>
      </c>
      <c r="AD718">
        <v>0</v>
      </c>
      <c r="AE718">
        <v>0</v>
      </c>
      <c r="AF718">
        <v>0</v>
      </c>
      <c r="AG718">
        <v>0</v>
      </c>
      <c r="AH718">
        <v>1</v>
      </c>
      <c r="AI718">
        <v>0</v>
      </c>
      <c r="AJ718">
        <v>0</v>
      </c>
      <c r="AK718">
        <v>0</v>
      </c>
      <c r="AL718">
        <v>0</v>
      </c>
      <c r="AM718">
        <v>0</v>
      </c>
      <c r="AN718">
        <v>0</v>
      </c>
      <c r="AO718">
        <v>0</v>
      </c>
      <c r="AP718">
        <v>0</v>
      </c>
      <c r="AQ718">
        <v>0</v>
      </c>
      <c r="AR718">
        <v>0</v>
      </c>
      <c r="AS718">
        <f t="shared" si="151"/>
        <v>1</v>
      </c>
      <c r="AT718">
        <f t="shared" si="152"/>
        <v>1</v>
      </c>
      <c r="AU718" s="3" t="s">
        <v>129</v>
      </c>
      <c r="AV718">
        <f t="shared" si="153"/>
        <v>1</v>
      </c>
      <c r="AW718">
        <f t="shared" si="154"/>
        <v>0</v>
      </c>
      <c r="AX718">
        <f t="shared" si="155"/>
        <v>0</v>
      </c>
      <c r="AY718">
        <v>-4.5</v>
      </c>
      <c r="AZ718" t="s">
        <v>133</v>
      </c>
      <c r="BA718" t="s">
        <v>134</v>
      </c>
      <c r="BB718" t="s">
        <v>8</v>
      </c>
    </row>
    <row r="719" ht="51" spans="1:54">
      <c r="A719" t="s">
        <v>2533</v>
      </c>
      <c r="B719" t="s">
        <v>2118</v>
      </c>
      <c r="C719" t="s">
        <v>56</v>
      </c>
      <c r="D719">
        <v>3</v>
      </c>
      <c r="E719">
        <v>0</v>
      </c>
      <c r="F719">
        <v>97.5</v>
      </c>
      <c r="G719" t="s">
        <v>464</v>
      </c>
      <c r="H719" s="3" t="s">
        <v>2534</v>
      </c>
      <c r="I719" s="3" t="s">
        <v>2535</v>
      </c>
      <c r="J719">
        <f t="shared" si="143"/>
        <v>0</v>
      </c>
      <c r="K719">
        <f t="shared" si="144"/>
        <v>0</v>
      </c>
      <c r="L719">
        <f t="shared" si="145"/>
        <v>0</v>
      </c>
      <c r="M719">
        <f t="shared" si="146"/>
        <v>0</v>
      </c>
      <c r="N719">
        <f t="shared" si="147"/>
        <v>1</v>
      </c>
      <c r="O719">
        <f t="shared" si="148"/>
        <v>0</v>
      </c>
      <c r="P719">
        <f t="shared" si="149"/>
        <v>0</v>
      </c>
      <c r="Q719">
        <f t="shared" si="150"/>
        <v>1</v>
      </c>
      <c r="R719">
        <v>0</v>
      </c>
      <c r="S719">
        <v>0</v>
      </c>
      <c r="T719">
        <v>0</v>
      </c>
      <c r="U719">
        <v>0</v>
      </c>
      <c r="V719">
        <v>0</v>
      </c>
      <c r="W719">
        <v>0</v>
      </c>
      <c r="X719">
        <v>0</v>
      </c>
      <c r="Y719">
        <v>0</v>
      </c>
      <c r="Z719">
        <v>0</v>
      </c>
      <c r="AA719">
        <v>0</v>
      </c>
      <c r="AB719">
        <v>0</v>
      </c>
      <c r="AC719">
        <v>0</v>
      </c>
      <c r="AD719">
        <v>0</v>
      </c>
      <c r="AE719">
        <v>0</v>
      </c>
      <c r="AF719">
        <v>0</v>
      </c>
      <c r="AG719">
        <v>0</v>
      </c>
      <c r="AH719">
        <v>1</v>
      </c>
      <c r="AI719">
        <v>0</v>
      </c>
      <c r="AJ719">
        <v>0</v>
      </c>
      <c r="AK719">
        <v>0</v>
      </c>
      <c r="AL719">
        <v>0</v>
      </c>
      <c r="AM719">
        <v>0</v>
      </c>
      <c r="AN719">
        <v>0</v>
      </c>
      <c r="AO719">
        <v>0</v>
      </c>
      <c r="AP719">
        <v>0</v>
      </c>
      <c r="AQ719">
        <v>0</v>
      </c>
      <c r="AR719">
        <v>1</v>
      </c>
      <c r="AS719">
        <f t="shared" si="151"/>
        <v>2</v>
      </c>
      <c r="AT719">
        <f t="shared" si="152"/>
        <v>2</v>
      </c>
      <c r="AU719" s="3" t="s">
        <v>612</v>
      </c>
      <c r="AV719">
        <f t="shared" si="153"/>
        <v>1</v>
      </c>
      <c r="AW719">
        <f t="shared" si="154"/>
        <v>0</v>
      </c>
      <c r="AX719">
        <f t="shared" si="155"/>
        <v>0</v>
      </c>
      <c r="AY719">
        <v>2.5</v>
      </c>
      <c r="AZ719" t="s">
        <v>60</v>
      </c>
      <c r="BA719" t="s">
        <v>61</v>
      </c>
      <c r="BB719" t="s">
        <v>8</v>
      </c>
    </row>
    <row r="720" ht="409.5" spans="1:54">
      <c r="A720" t="s">
        <v>2536</v>
      </c>
      <c r="B720" t="s">
        <v>2118</v>
      </c>
      <c r="C720" t="s">
        <v>116</v>
      </c>
      <c r="D720">
        <v>0</v>
      </c>
      <c r="E720">
        <v>0</v>
      </c>
      <c r="F720">
        <v>47.8</v>
      </c>
      <c r="G720" t="s">
        <v>402</v>
      </c>
      <c r="H720" s="3" t="s">
        <v>2537</v>
      </c>
      <c r="I720" s="3" t="s">
        <v>2538</v>
      </c>
      <c r="J720">
        <f t="shared" si="143"/>
        <v>1</v>
      </c>
      <c r="K720">
        <f t="shared" si="144"/>
        <v>1</v>
      </c>
      <c r="L720">
        <f t="shared" si="145"/>
        <v>1</v>
      </c>
      <c r="M720">
        <f t="shared" si="146"/>
        <v>1</v>
      </c>
      <c r="N720">
        <f t="shared" si="147"/>
        <v>0</v>
      </c>
      <c r="O720">
        <f t="shared" si="148"/>
        <v>1</v>
      </c>
      <c r="P720">
        <f t="shared" si="149"/>
        <v>1</v>
      </c>
      <c r="Q720">
        <f t="shared" si="150"/>
        <v>0</v>
      </c>
      <c r="R720">
        <v>1</v>
      </c>
      <c r="S720">
        <v>1</v>
      </c>
      <c r="T720">
        <v>1</v>
      </c>
      <c r="U720">
        <v>1</v>
      </c>
      <c r="V720">
        <v>1</v>
      </c>
      <c r="W720">
        <v>1</v>
      </c>
      <c r="X720">
        <v>0</v>
      </c>
      <c r="Y720">
        <v>0</v>
      </c>
      <c r="Z720">
        <v>1</v>
      </c>
      <c r="AA720">
        <v>1</v>
      </c>
      <c r="AB720">
        <v>1</v>
      </c>
      <c r="AC720">
        <v>0</v>
      </c>
      <c r="AD720">
        <v>1</v>
      </c>
      <c r="AE720">
        <v>0</v>
      </c>
      <c r="AF720">
        <v>0</v>
      </c>
      <c r="AG720">
        <v>0</v>
      </c>
      <c r="AH720">
        <v>0</v>
      </c>
      <c r="AI720">
        <v>1</v>
      </c>
      <c r="AJ720">
        <v>0</v>
      </c>
      <c r="AK720">
        <v>0</v>
      </c>
      <c r="AL720">
        <v>0</v>
      </c>
      <c r="AM720">
        <v>0</v>
      </c>
      <c r="AN720">
        <v>0</v>
      </c>
      <c r="AO720">
        <v>0</v>
      </c>
      <c r="AP720">
        <v>1</v>
      </c>
      <c r="AQ720">
        <v>0</v>
      </c>
      <c r="AR720">
        <v>0</v>
      </c>
      <c r="AS720">
        <f t="shared" si="151"/>
        <v>6</v>
      </c>
      <c r="AT720">
        <f t="shared" si="152"/>
        <v>12</v>
      </c>
      <c r="AU720" s="3" t="s">
        <v>2539</v>
      </c>
      <c r="AV720">
        <f t="shared" si="153"/>
        <v>1</v>
      </c>
      <c r="AW720">
        <f t="shared" si="154"/>
        <v>0</v>
      </c>
      <c r="AX720">
        <f t="shared" si="155"/>
        <v>1</v>
      </c>
      <c r="AY720">
        <v>16</v>
      </c>
      <c r="AZ720" t="s">
        <v>60</v>
      </c>
      <c r="BA720" t="s">
        <v>61</v>
      </c>
      <c r="BB720" t="s">
        <v>8</v>
      </c>
    </row>
    <row r="721" ht="236" spans="1:54">
      <c r="A721" t="s">
        <v>2540</v>
      </c>
      <c r="B721" t="s">
        <v>2118</v>
      </c>
      <c r="C721" t="s">
        <v>56</v>
      </c>
      <c r="D721">
        <v>3</v>
      </c>
      <c r="E721">
        <v>0</v>
      </c>
      <c r="F721">
        <v>50.7</v>
      </c>
      <c r="G721" t="s">
        <v>464</v>
      </c>
      <c r="H721" s="3" t="s">
        <v>2541</v>
      </c>
      <c r="I721" s="3" t="s">
        <v>2542</v>
      </c>
      <c r="J721">
        <f t="shared" si="143"/>
        <v>1</v>
      </c>
      <c r="K721">
        <f t="shared" si="144"/>
        <v>1</v>
      </c>
      <c r="L721">
        <f t="shared" si="145"/>
        <v>0</v>
      </c>
      <c r="M721">
        <f t="shared" si="146"/>
        <v>0</v>
      </c>
      <c r="N721">
        <f t="shared" si="147"/>
        <v>1</v>
      </c>
      <c r="O721">
        <f t="shared" si="148"/>
        <v>1</v>
      </c>
      <c r="P721">
        <f t="shared" si="149"/>
        <v>1</v>
      </c>
      <c r="Q721">
        <f t="shared" si="150"/>
        <v>0</v>
      </c>
      <c r="R721">
        <v>1</v>
      </c>
      <c r="S721">
        <v>0</v>
      </c>
      <c r="T721">
        <v>1</v>
      </c>
      <c r="U721">
        <v>1</v>
      </c>
      <c r="V721">
        <v>0</v>
      </c>
      <c r="W721">
        <v>0</v>
      </c>
      <c r="X721">
        <v>0</v>
      </c>
      <c r="Y721">
        <v>0</v>
      </c>
      <c r="Z721">
        <v>0</v>
      </c>
      <c r="AA721">
        <v>0</v>
      </c>
      <c r="AB721">
        <v>0</v>
      </c>
      <c r="AC721">
        <v>0</v>
      </c>
      <c r="AD721">
        <v>0</v>
      </c>
      <c r="AE721">
        <v>0</v>
      </c>
      <c r="AF721">
        <v>0</v>
      </c>
      <c r="AG721">
        <v>0</v>
      </c>
      <c r="AH721">
        <v>1</v>
      </c>
      <c r="AI721">
        <v>1</v>
      </c>
      <c r="AJ721">
        <v>0</v>
      </c>
      <c r="AK721">
        <v>0</v>
      </c>
      <c r="AL721">
        <v>0</v>
      </c>
      <c r="AM721">
        <v>1</v>
      </c>
      <c r="AN721">
        <v>1</v>
      </c>
      <c r="AO721">
        <v>0</v>
      </c>
      <c r="AP721">
        <v>0</v>
      </c>
      <c r="AQ721">
        <v>0</v>
      </c>
      <c r="AR721">
        <v>0</v>
      </c>
      <c r="AS721">
        <f t="shared" si="151"/>
        <v>5</v>
      </c>
      <c r="AT721">
        <f t="shared" si="152"/>
        <v>7</v>
      </c>
      <c r="AU721" s="3" t="s">
        <v>2543</v>
      </c>
      <c r="AV721">
        <f t="shared" si="153"/>
        <v>1</v>
      </c>
      <c r="AW721">
        <f t="shared" si="154"/>
        <v>0</v>
      </c>
      <c r="AX721">
        <f t="shared" si="155"/>
        <v>0</v>
      </c>
      <c r="AY721">
        <v>-2</v>
      </c>
      <c r="AZ721" t="s">
        <v>133</v>
      </c>
      <c r="BA721" t="s">
        <v>134</v>
      </c>
      <c r="BB721" t="s">
        <v>8</v>
      </c>
    </row>
    <row r="722" ht="34" spans="1:54">
      <c r="A722" t="s">
        <v>2544</v>
      </c>
      <c r="B722" t="s">
        <v>2118</v>
      </c>
      <c r="C722" t="s">
        <v>56</v>
      </c>
      <c r="D722">
        <v>3</v>
      </c>
      <c r="E722">
        <v>1</v>
      </c>
      <c r="F722">
        <v>109.6</v>
      </c>
      <c r="G722" t="s">
        <v>464</v>
      </c>
      <c r="H722" s="3" t="s">
        <v>2545</v>
      </c>
      <c r="I722" s="3" t="s">
        <v>2546</v>
      </c>
      <c r="J722">
        <f t="shared" si="143"/>
        <v>0</v>
      </c>
      <c r="K722">
        <f t="shared" si="144"/>
        <v>0</v>
      </c>
      <c r="L722">
        <f t="shared" si="145"/>
        <v>0</v>
      </c>
      <c r="M722">
        <f t="shared" si="146"/>
        <v>0</v>
      </c>
      <c r="N722">
        <f t="shared" si="147"/>
        <v>1</v>
      </c>
      <c r="O722">
        <f t="shared" si="148"/>
        <v>0</v>
      </c>
      <c r="P722">
        <f t="shared" si="149"/>
        <v>0</v>
      </c>
      <c r="Q722">
        <f t="shared" si="150"/>
        <v>0</v>
      </c>
      <c r="R722">
        <v>0</v>
      </c>
      <c r="S722">
        <v>0</v>
      </c>
      <c r="T722">
        <v>0</v>
      </c>
      <c r="U722">
        <v>0</v>
      </c>
      <c r="V722">
        <v>0</v>
      </c>
      <c r="W722">
        <v>0</v>
      </c>
      <c r="X722">
        <v>0</v>
      </c>
      <c r="Y722">
        <v>0</v>
      </c>
      <c r="Z722">
        <v>0</v>
      </c>
      <c r="AA722">
        <v>0</v>
      </c>
      <c r="AB722">
        <v>0</v>
      </c>
      <c r="AC722">
        <v>0</v>
      </c>
      <c r="AD722">
        <v>0</v>
      </c>
      <c r="AE722">
        <v>0</v>
      </c>
      <c r="AF722">
        <v>0</v>
      </c>
      <c r="AG722">
        <v>0</v>
      </c>
      <c r="AH722">
        <v>1</v>
      </c>
      <c r="AI722">
        <v>0</v>
      </c>
      <c r="AJ722">
        <v>0</v>
      </c>
      <c r="AK722">
        <v>0</v>
      </c>
      <c r="AL722">
        <v>0</v>
      </c>
      <c r="AM722">
        <v>0</v>
      </c>
      <c r="AN722">
        <v>0</v>
      </c>
      <c r="AO722">
        <v>0</v>
      </c>
      <c r="AP722">
        <v>0</v>
      </c>
      <c r="AQ722">
        <v>0</v>
      </c>
      <c r="AR722">
        <v>0</v>
      </c>
      <c r="AS722">
        <f t="shared" si="151"/>
        <v>1</v>
      </c>
      <c r="AT722">
        <f t="shared" si="152"/>
        <v>1</v>
      </c>
      <c r="AU722" s="3" t="s">
        <v>129</v>
      </c>
      <c r="AV722">
        <f t="shared" si="153"/>
        <v>1</v>
      </c>
      <c r="AW722">
        <f t="shared" si="154"/>
        <v>0</v>
      </c>
      <c r="AX722">
        <f t="shared" si="155"/>
        <v>0</v>
      </c>
      <c r="AY722">
        <v>3</v>
      </c>
      <c r="AZ722" t="s">
        <v>60</v>
      </c>
      <c r="BA722" t="s">
        <v>61</v>
      </c>
      <c r="BB722" t="s">
        <v>8</v>
      </c>
    </row>
    <row r="723" ht="269" spans="1:54">
      <c r="A723" t="s">
        <v>2547</v>
      </c>
      <c r="B723" t="s">
        <v>2118</v>
      </c>
      <c r="C723" t="s">
        <v>56</v>
      </c>
      <c r="D723">
        <v>0</v>
      </c>
      <c r="E723">
        <v>0</v>
      </c>
      <c r="F723">
        <v>58.6</v>
      </c>
      <c r="G723" t="s">
        <v>464</v>
      </c>
      <c r="H723" s="3" t="s">
        <v>2548</v>
      </c>
      <c r="I723" s="3" t="s">
        <v>2549</v>
      </c>
      <c r="J723">
        <f t="shared" si="143"/>
        <v>0</v>
      </c>
      <c r="K723">
        <f t="shared" si="144"/>
        <v>0</v>
      </c>
      <c r="L723">
        <f t="shared" si="145"/>
        <v>1</v>
      </c>
      <c r="M723">
        <f t="shared" si="146"/>
        <v>0</v>
      </c>
      <c r="N723">
        <f t="shared" si="147"/>
        <v>1</v>
      </c>
      <c r="O723">
        <f t="shared" si="148"/>
        <v>0</v>
      </c>
      <c r="P723">
        <f t="shared" si="149"/>
        <v>1</v>
      </c>
      <c r="Q723">
        <f t="shared" si="150"/>
        <v>0</v>
      </c>
      <c r="R723">
        <v>0</v>
      </c>
      <c r="S723">
        <v>0</v>
      </c>
      <c r="T723">
        <v>0</v>
      </c>
      <c r="U723">
        <v>0</v>
      </c>
      <c r="V723">
        <v>0</v>
      </c>
      <c r="W723">
        <v>0</v>
      </c>
      <c r="X723">
        <v>0</v>
      </c>
      <c r="Y723">
        <v>0</v>
      </c>
      <c r="Z723">
        <v>0</v>
      </c>
      <c r="AA723">
        <v>0</v>
      </c>
      <c r="AB723">
        <v>0</v>
      </c>
      <c r="AC723">
        <v>1</v>
      </c>
      <c r="AD723">
        <v>0</v>
      </c>
      <c r="AE723">
        <v>0</v>
      </c>
      <c r="AF723">
        <v>0</v>
      </c>
      <c r="AG723">
        <v>0</v>
      </c>
      <c r="AH723">
        <v>1</v>
      </c>
      <c r="AI723">
        <v>0</v>
      </c>
      <c r="AJ723">
        <v>0</v>
      </c>
      <c r="AK723">
        <v>0</v>
      </c>
      <c r="AL723">
        <v>0</v>
      </c>
      <c r="AM723">
        <v>0</v>
      </c>
      <c r="AN723">
        <v>0</v>
      </c>
      <c r="AO723">
        <v>0</v>
      </c>
      <c r="AP723">
        <v>0</v>
      </c>
      <c r="AQ723">
        <v>1</v>
      </c>
      <c r="AR723">
        <v>0</v>
      </c>
      <c r="AS723">
        <f t="shared" si="151"/>
        <v>3</v>
      </c>
      <c r="AT723">
        <f t="shared" si="152"/>
        <v>3</v>
      </c>
      <c r="AU723" s="3" t="s">
        <v>2550</v>
      </c>
      <c r="AV723">
        <f t="shared" si="153"/>
        <v>1</v>
      </c>
      <c r="AW723">
        <f t="shared" si="154"/>
        <v>0</v>
      </c>
      <c r="AX723">
        <f t="shared" si="155"/>
        <v>0</v>
      </c>
      <c r="AY723">
        <v>0.5</v>
      </c>
      <c r="AZ723" t="s">
        <v>60</v>
      </c>
      <c r="BA723" t="s">
        <v>61</v>
      </c>
      <c r="BB723" t="s">
        <v>8</v>
      </c>
    </row>
    <row r="724" ht="68" spans="1:54">
      <c r="A724" t="s">
        <v>2551</v>
      </c>
      <c r="B724" t="s">
        <v>2118</v>
      </c>
      <c r="C724" t="s">
        <v>56</v>
      </c>
      <c r="D724">
        <v>0</v>
      </c>
      <c r="E724">
        <v>0</v>
      </c>
      <c r="F724">
        <v>72.3</v>
      </c>
      <c r="G724" t="s">
        <v>464</v>
      </c>
      <c r="H724" s="3" t="s">
        <v>2552</v>
      </c>
      <c r="I724" s="3" t="s">
        <v>2553</v>
      </c>
      <c r="J724">
        <f t="shared" si="143"/>
        <v>1</v>
      </c>
      <c r="K724">
        <f t="shared" si="144"/>
        <v>1</v>
      </c>
      <c r="L724">
        <f t="shared" si="145"/>
        <v>0</v>
      </c>
      <c r="M724">
        <f t="shared" si="146"/>
        <v>0</v>
      </c>
      <c r="N724">
        <f t="shared" si="147"/>
        <v>1</v>
      </c>
      <c r="O724">
        <f t="shared" si="148"/>
        <v>0</v>
      </c>
      <c r="P724">
        <f t="shared" si="149"/>
        <v>0</v>
      </c>
      <c r="Q724">
        <f t="shared" si="150"/>
        <v>0</v>
      </c>
      <c r="R724">
        <v>1</v>
      </c>
      <c r="S724">
        <v>0</v>
      </c>
      <c r="T724">
        <v>0</v>
      </c>
      <c r="U724">
        <v>1</v>
      </c>
      <c r="V724">
        <v>1</v>
      </c>
      <c r="W724">
        <v>0</v>
      </c>
      <c r="X724">
        <v>0</v>
      </c>
      <c r="Y724">
        <v>0</v>
      </c>
      <c r="Z724">
        <v>0</v>
      </c>
      <c r="AA724">
        <v>0</v>
      </c>
      <c r="AB724">
        <v>0</v>
      </c>
      <c r="AC724">
        <v>0</v>
      </c>
      <c r="AD724">
        <v>0</v>
      </c>
      <c r="AE724">
        <v>0</v>
      </c>
      <c r="AF724">
        <v>0</v>
      </c>
      <c r="AG724">
        <v>0</v>
      </c>
      <c r="AH724">
        <v>1</v>
      </c>
      <c r="AI724">
        <v>0</v>
      </c>
      <c r="AJ724">
        <v>0</v>
      </c>
      <c r="AK724">
        <v>0</v>
      </c>
      <c r="AL724">
        <v>0</v>
      </c>
      <c r="AM724">
        <v>0</v>
      </c>
      <c r="AN724">
        <v>0</v>
      </c>
      <c r="AO724">
        <v>0</v>
      </c>
      <c r="AP724">
        <v>0</v>
      </c>
      <c r="AQ724">
        <v>0</v>
      </c>
      <c r="AR724">
        <v>0</v>
      </c>
      <c r="AS724">
        <f t="shared" si="151"/>
        <v>3</v>
      </c>
      <c r="AT724">
        <f t="shared" si="152"/>
        <v>4</v>
      </c>
      <c r="AU724" s="3" t="s">
        <v>2554</v>
      </c>
      <c r="AV724">
        <f t="shared" si="153"/>
        <v>1</v>
      </c>
      <c r="AW724">
        <f t="shared" si="154"/>
        <v>0</v>
      </c>
      <c r="AX724">
        <f t="shared" si="155"/>
        <v>0</v>
      </c>
      <c r="AY724">
        <v>6</v>
      </c>
      <c r="AZ724" t="s">
        <v>60</v>
      </c>
      <c r="BA724" t="s">
        <v>61</v>
      </c>
      <c r="BB724" t="s">
        <v>8</v>
      </c>
    </row>
    <row r="725" ht="34" spans="1:54">
      <c r="A725" t="s">
        <v>2555</v>
      </c>
      <c r="B725" t="s">
        <v>2118</v>
      </c>
      <c r="C725" t="s">
        <v>116</v>
      </c>
      <c r="D725">
        <v>0</v>
      </c>
      <c r="E725">
        <v>1</v>
      </c>
      <c r="F725">
        <v>64.8</v>
      </c>
      <c r="G725" t="s">
        <v>464</v>
      </c>
      <c r="H725" s="3" t="s">
        <v>2556</v>
      </c>
      <c r="I725" s="3" t="s">
        <v>2557</v>
      </c>
      <c r="J725">
        <f t="shared" si="143"/>
        <v>0</v>
      </c>
      <c r="K725">
        <f t="shared" si="144"/>
        <v>1</v>
      </c>
      <c r="L725">
        <f t="shared" si="145"/>
        <v>0</v>
      </c>
      <c r="M725">
        <f t="shared" si="146"/>
        <v>0</v>
      </c>
      <c r="N725">
        <f t="shared" si="147"/>
        <v>0</v>
      </c>
      <c r="O725">
        <f t="shared" si="148"/>
        <v>0</v>
      </c>
      <c r="P725">
        <f t="shared" si="149"/>
        <v>0</v>
      </c>
      <c r="Q725">
        <f t="shared" si="150"/>
        <v>0</v>
      </c>
      <c r="R725">
        <v>0</v>
      </c>
      <c r="S725">
        <v>0</v>
      </c>
      <c r="T725">
        <v>0</v>
      </c>
      <c r="U725">
        <v>0</v>
      </c>
      <c r="V725">
        <v>0</v>
      </c>
      <c r="W725">
        <v>1</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f t="shared" si="151"/>
        <v>1</v>
      </c>
      <c r="AT725">
        <f t="shared" si="152"/>
        <v>1</v>
      </c>
      <c r="AU725" s="3" t="s">
        <v>271</v>
      </c>
      <c r="AV725">
        <f t="shared" si="153"/>
        <v>1</v>
      </c>
      <c r="AW725">
        <f t="shared" si="154"/>
        <v>0</v>
      </c>
      <c r="AX725">
        <f t="shared" si="155"/>
        <v>0</v>
      </c>
      <c r="AY725">
        <v>-1</v>
      </c>
      <c r="AZ725" t="s">
        <v>133</v>
      </c>
      <c r="BA725" t="s">
        <v>134</v>
      </c>
      <c r="BB725" t="s">
        <v>8</v>
      </c>
    </row>
    <row r="726" ht="34" spans="1:54">
      <c r="A726" t="s">
        <v>2558</v>
      </c>
      <c r="B726" t="s">
        <v>2118</v>
      </c>
      <c r="C726" t="s">
        <v>56</v>
      </c>
      <c r="D726">
        <v>4</v>
      </c>
      <c r="E726">
        <v>0</v>
      </c>
      <c r="F726">
        <v>99.5</v>
      </c>
      <c r="G726" t="s">
        <v>468</v>
      </c>
      <c r="H726" s="3" t="s">
        <v>2559</v>
      </c>
      <c r="I726" s="3" t="s">
        <v>2560</v>
      </c>
      <c r="J726">
        <f t="shared" si="143"/>
        <v>1</v>
      </c>
      <c r="K726">
        <f t="shared" si="144"/>
        <v>0</v>
      </c>
      <c r="L726">
        <f t="shared" si="145"/>
        <v>0</v>
      </c>
      <c r="M726">
        <f t="shared" si="146"/>
        <v>0</v>
      </c>
      <c r="N726">
        <f t="shared" si="147"/>
        <v>1</v>
      </c>
      <c r="O726">
        <f t="shared" si="148"/>
        <v>0</v>
      </c>
      <c r="P726">
        <f t="shared" si="149"/>
        <v>0</v>
      </c>
      <c r="Q726">
        <f t="shared" si="150"/>
        <v>0</v>
      </c>
      <c r="R726">
        <v>1</v>
      </c>
      <c r="S726">
        <v>0</v>
      </c>
      <c r="T726">
        <v>0</v>
      </c>
      <c r="U726">
        <v>0</v>
      </c>
      <c r="V726">
        <v>0</v>
      </c>
      <c r="W726">
        <v>0</v>
      </c>
      <c r="X726">
        <v>0</v>
      </c>
      <c r="Y726">
        <v>0</v>
      </c>
      <c r="Z726">
        <v>0</v>
      </c>
      <c r="AA726">
        <v>0</v>
      </c>
      <c r="AB726">
        <v>0</v>
      </c>
      <c r="AC726">
        <v>0</v>
      </c>
      <c r="AD726">
        <v>0</v>
      </c>
      <c r="AE726">
        <v>0</v>
      </c>
      <c r="AF726">
        <v>0</v>
      </c>
      <c r="AG726">
        <v>0</v>
      </c>
      <c r="AH726">
        <v>1</v>
      </c>
      <c r="AI726">
        <v>0</v>
      </c>
      <c r="AJ726">
        <v>0</v>
      </c>
      <c r="AK726">
        <v>0</v>
      </c>
      <c r="AL726">
        <v>0</v>
      </c>
      <c r="AM726">
        <v>0</v>
      </c>
      <c r="AN726">
        <v>0</v>
      </c>
      <c r="AO726">
        <v>0</v>
      </c>
      <c r="AP726">
        <v>0</v>
      </c>
      <c r="AQ726">
        <v>0</v>
      </c>
      <c r="AR726">
        <v>0</v>
      </c>
      <c r="AS726">
        <f t="shared" si="151"/>
        <v>2</v>
      </c>
      <c r="AT726">
        <f t="shared" si="152"/>
        <v>2</v>
      </c>
      <c r="AU726" s="3" t="s">
        <v>1596</v>
      </c>
      <c r="AV726">
        <f t="shared" si="153"/>
        <v>1</v>
      </c>
      <c r="AW726">
        <f t="shared" si="154"/>
        <v>0</v>
      </c>
      <c r="AX726">
        <f t="shared" si="155"/>
        <v>0</v>
      </c>
      <c r="AY726">
        <v>3</v>
      </c>
      <c r="AZ726" t="s">
        <v>60</v>
      </c>
      <c r="BA726" t="s">
        <v>61</v>
      </c>
      <c r="BB726" t="s">
        <v>8</v>
      </c>
    </row>
    <row r="727" ht="51" spans="1:54">
      <c r="A727" t="s">
        <v>2561</v>
      </c>
      <c r="B727" t="s">
        <v>2118</v>
      </c>
      <c r="C727" t="s">
        <v>116</v>
      </c>
      <c r="D727">
        <v>0</v>
      </c>
      <c r="E727">
        <v>0</v>
      </c>
      <c r="F727">
        <v>42</v>
      </c>
      <c r="G727" t="s">
        <v>468</v>
      </c>
      <c r="H727" s="3" t="s">
        <v>2562</v>
      </c>
      <c r="I727" s="3" t="s">
        <v>2563</v>
      </c>
      <c r="J727">
        <f t="shared" si="143"/>
        <v>0</v>
      </c>
      <c r="K727">
        <f t="shared" si="144"/>
        <v>0</v>
      </c>
      <c r="L727">
        <f t="shared" si="145"/>
        <v>0</v>
      </c>
      <c r="M727">
        <f t="shared" si="146"/>
        <v>0</v>
      </c>
      <c r="N727">
        <f t="shared" si="147"/>
        <v>0</v>
      </c>
      <c r="O727">
        <f t="shared" si="148"/>
        <v>0</v>
      </c>
      <c r="P727">
        <f t="shared" si="149"/>
        <v>0</v>
      </c>
      <c r="Q727">
        <f t="shared" si="150"/>
        <v>0</v>
      </c>
      <c r="R727">
        <v>0</v>
      </c>
      <c r="S727">
        <v>0</v>
      </c>
      <c r="T727">
        <v>0</v>
      </c>
      <c r="U727">
        <v>0</v>
      </c>
      <c r="V727">
        <v>0</v>
      </c>
      <c r="W727">
        <v>0</v>
      </c>
      <c r="X727">
        <v>0</v>
      </c>
      <c r="Y727">
        <v>0</v>
      </c>
      <c r="Z727">
        <v>0</v>
      </c>
      <c r="AA727">
        <v>0</v>
      </c>
      <c r="AB727">
        <v>0</v>
      </c>
      <c r="AC727">
        <v>0</v>
      </c>
      <c r="AD727">
        <v>0</v>
      </c>
      <c r="AE727">
        <v>0</v>
      </c>
      <c r="AF727">
        <v>0</v>
      </c>
      <c r="AG727">
        <v>0</v>
      </c>
      <c r="AH727">
        <v>0</v>
      </c>
      <c r="AI727">
        <v>0</v>
      </c>
      <c r="AJ727">
        <v>0</v>
      </c>
      <c r="AK727">
        <v>0</v>
      </c>
      <c r="AL727">
        <v>0</v>
      </c>
      <c r="AM727">
        <v>0</v>
      </c>
      <c r="AN727">
        <v>0</v>
      </c>
      <c r="AO727">
        <v>0</v>
      </c>
      <c r="AP727">
        <v>0</v>
      </c>
      <c r="AQ727">
        <v>0</v>
      </c>
      <c r="AR727">
        <v>0</v>
      </c>
      <c r="AS727">
        <f t="shared" si="151"/>
        <v>0</v>
      </c>
      <c r="AT727">
        <f t="shared" si="152"/>
        <v>0</v>
      </c>
      <c r="AU727" s="3" t="s">
        <v>118</v>
      </c>
      <c r="AV727">
        <f t="shared" si="153"/>
        <v>0</v>
      </c>
      <c r="AW727">
        <f t="shared" si="154"/>
        <v>1</v>
      </c>
      <c r="AX727">
        <f t="shared" si="155"/>
        <v>0</v>
      </c>
      <c r="AY727">
        <v>0</v>
      </c>
      <c r="AZ727" t="s">
        <v>147</v>
      </c>
      <c r="BA727" t="s">
        <v>148</v>
      </c>
      <c r="BB727" t="s">
        <v>8</v>
      </c>
    </row>
    <row r="728" ht="34" spans="1:54">
      <c r="A728" t="s">
        <v>2564</v>
      </c>
      <c r="B728" t="s">
        <v>2118</v>
      </c>
      <c r="C728" t="s">
        <v>56</v>
      </c>
      <c r="D728">
        <v>0</v>
      </c>
      <c r="E728">
        <v>0</v>
      </c>
      <c r="F728">
        <v>127.7</v>
      </c>
      <c r="G728" t="s">
        <v>468</v>
      </c>
      <c r="H728" s="3" t="s">
        <v>2565</v>
      </c>
      <c r="I728" s="3" t="s">
        <v>2566</v>
      </c>
      <c r="J728">
        <f t="shared" si="143"/>
        <v>0</v>
      </c>
      <c r="K728">
        <f t="shared" si="144"/>
        <v>0</v>
      </c>
      <c r="L728">
        <f t="shared" si="145"/>
        <v>0</v>
      </c>
      <c r="M728">
        <f t="shared" si="146"/>
        <v>0</v>
      </c>
      <c r="N728">
        <f t="shared" si="147"/>
        <v>1</v>
      </c>
      <c r="O728">
        <f t="shared" si="148"/>
        <v>0</v>
      </c>
      <c r="P728">
        <f t="shared" si="149"/>
        <v>0</v>
      </c>
      <c r="Q728">
        <f t="shared" si="150"/>
        <v>0</v>
      </c>
      <c r="R728">
        <v>0</v>
      </c>
      <c r="S728">
        <v>0</v>
      </c>
      <c r="T728">
        <v>0</v>
      </c>
      <c r="U728">
        <v>0</v>
      </c>
      <c r="V728">
        <v>0</v>
      </c>
      <c r="W728">
        <v>0</v>
      </c>
      <c r="X728">
        <v>0</v>
      </c>
      <c r="Y728">
        <v>0</v>
      </c>
      <c r="Z728">
        <v>0</v>
      </c>
      <c r="AA728">
        <v>0</v>
      </c>
      <c r="AB728">
        <v>0</v>
      </c>
      <c r="AC728">
        <v>0</v>
      </c>
      <c r="AD728">
        <v>0</v>
      </c>
      <c r="AE728">
        <v>0</v>
      </c>
      <c r="AF728">
        <v>0</v>
      </c>
      <c r="AG728">
        <v>0</v>
      </c>
      <c r="AH728">
        <v>1</v>
      </c>
      <c r="AI728">
        <v>0</v>
      </c>
      <c r="AJ728">
        <v>0</v>
      </c>
      <c r="AK728">
        <v>0</v>
      </c>
      <c r="AL728">
        <v>0</v>
      </c>
      <c r="AM728">
        <v>0</v>
      </c>
      <c r="AN728">
        <v>0</v>
      </c>
      <c r="AO728">
        <v>0</v>
      </c>
      <c r="AP728">
        <v>0</v>
      </c>
      <c r="AQ728">
        <v>0</v>
      </c>
      <c r="AR728">
        <v>0</v>
      </c>
      <c r="AS728">
        <f t="shared" si="151"/>
        <v>1</v>
      </c>
      <c r="AT728">
        <f t="shared" si="152"/>
        <v>1</v>
      </c>
      <c r="AU728" s="3" t="s">
        <v>129</v>
      </c>
      <c r="AV728">
        <f t="shared" si="153"/>
        <v>1</v>
      </c>
      <c r="AW728">
        <f t="shared" si="154"/>
        <v>0</v>
      </c>
      <c r="AX728">
        <f t="shared" si="155"/>
        <v>0</v>
      </c>
      <c r="AY728">
        <v>-1</v>
      </c>
      <c r="AZ728" t="s">
        <v>133</v>
      </c>
      <c r="BA728" t="s">
        <v>134</v>
      </c>
      <c r="BB728" t="s">
        <v>8</v>
      </c>
    </row>
    <row r="729" ht="34" spans="1:54">
      <c r="A729" t="s">
        <v>2567</v>
      </c>
      <c r="B729" t="s">
        <v>2118</v>
      </c>
      <c r="C729" t="s">
        <v>56</v>
      </c>
      <c r="D729">
        <v>0</v>
      </c>
      <c r="E729">
        <v>0</v>
      </c>
      <c r="F729">
        <v>57.3</v>
      </c>
      <c r="G729" t="s">
        <v>535</v>
      </c>
      <c r="H729" s="3" t="s">
        <v>2568</v>
      </c>
      <c r="I729" s="3" t="s">
        <v>2569</v>
      </c>
      <c r="J729">
        <f t="shared" si="143"/>
        <v>1</v>
      </c>
      <c r="K729">
        <f t="shared" si="144"/>
        <v>0</v>
      </c>
      <c r="L729">
        <f t="shared" si="145"/>
        <v>0</v>
      </c>
      <c r="M729">
        <f t="shared" si="146"/>
        <v>0</v>
      </c>
      <c r="N729">
        <f t="shared" si="147"/>
        <v>0</v>
      </c>
      <c r="O729">
        <f t="shared" si="148"/>
        <v>0</v>
      </c>
      <c r="P729">
        <f t="shared" si="149"/>
        <v>0</v>
      </c>
      <c r="Q729">
        <f t="shared" si="150"/>
        <v>0</v>
      </c>
      <c r="R729">
        <v>0</v>
      </c>
      <c r="S729">
        <v>0</v>
      </c>
      <c r="T729">
        <v>1</v>
      </c>
      <c r="U729">
        <v>0</v>
      </c>
      <c r="V729">
        <v>0</v>
      </c>
      <c r="W729">
        <v>0</v>
      </c>
      <c r="X729">
        <v>0</v>
      </c>
      <c r="Y729">
        <v>0</v>
      </c>
      <c r="Z729">
        <v>0</v>
      </c>
      <c r="AA729">
        <v>0</v>
      </c>
      <c r="AB729">
        <v>0</v>
      </c>
      <c r="AC729">
        <v>0</v>
      </c>
      <c r="AD729">
        <v>0</v>
      </c>
      <c r="AE729">
        <v>0</v>
      </c>
      <c r="AF729">
        <v>0</v>
      </c>
      <c r="AG729">
        <v>0</v>
      </c>
      <c r="AH729">
        <v>0</v>
      </c>
      <c r="AI729">
        <v>0</v>
      </c>
      <c r="AJ729">
        <v>0</v>
      </c>
      <c r="AK729">
        <v>0</v>
      </c>
      <c r="AL729">
        <v>0</v>
      </c>
      <c r="AM729">
        <v>0</v>
      </c>
      <c r="AN729">
        <v>0</v>
      </c>
      <c r="AO729">
        <v>0</v>
      </c>
      <c r="AP729">
        <v>0</v>
      </c>
      <c r="AQ729">
        <v>0</v>
      </c>
      <c r="AR729">
        <v>0</v>
      </c>
      <c r="AS729">
        <f t="shared" si="151"/>
        <v>1</v>
      </c>
      <c r="AT729">
        <f t="shared" si="152"/>
        <v>1</v>
      </c>
      <c r="AU729" s="3" t="s">
        <v>2570</v>
      </c>
      <c r="AV729">
        <f t="shared" si="153"/>
        <v>1</v>
      </c>
      <c r="AW729">
        <f t="shared" si="154"/>
        <v>0</v>
      </c>
      <c r="AX729">
        <f t="shared" si="155"/>
        <v>0</v>
      </c>
      <c r="AY729">
        <v>0.5</v>
      </c>
      <c r="AZ729" t="s">
        <v>60</v>
      </c>
      <c r="BA729" t="s">
        <v>61</v>
      </c>
      <c r="BB729" t="s">
        <v>8</v>
      </c>
    </row>
    <row r="730" ht="84" spans="1:54">
      <c r="A730" t="s">
        <v>2571</v>
      </c>
      <c r="B730" t="s">
        <v>2118</v>
      </c>
      <c r="C730" t="s">
        <v>56</v>
      </c>
      <c r="D730">
        <v>28</v>
      </c>
      <c r="E730">
        <v>0</v>
      </c>
      <c r="F730">
        <v>52.8</v>
      </c>
      <c r="G730" t="s">
        <v>535</v>
      </c>
      <c r="H730" s="3" t="s">
        <v>2572</v>
      </c>
      <c r="I730" s="3" t="s">
        <v>2573</v>
      </c>
      <c r="J730">
        <f t="shared" si="143"/>
        <v>1</v>
      </c>
      <c r="K730">
        <f t="shared" si="144"/>
        <v>1</v>
      </c>
      <c r="L730">
        <f t="shared" si="145"/>
        <v>1</v>
      </c>
      <c r="M730">
        <f t="shared" si="146"/>
        <v>0</v>
      </c>
      <c r="N730">
        <f t="shared" si="147"/>
        <v>1</v>
      </c>
      <c r="O730">
        <f t="shared" si="148"/>
        <v>0</v>
      </c>
      <c r="P730">
        <f t="shared" si="149"/>
        <v>0</v>
      </c>
      <c r="Q730">
        <f t="shared" si="150"/>
        <v>1</v>
      </c>
      <c r="R730">
        <v>0</v>
      </c>
      <c r="S730">
        <v>1</v>
      </c>
      <c r="T730">
        <v>1</v>
      </c>
      <c r="U730">
        <v>1</v>
      </c>
      <c r="V730">
        <v>0</v>
      </c>
      <c r="W730">
        <v>1</v>
      </c>
      <c r="X730">
        <v>0</v>
      </c>
      <c r="Y730">
        <v>0</v>
      </c>
      <c r="Z730">
        <v>0</v>
      </c>
      <c r="AA730">
        <v>0</v>
      </c>
      <c r="AB730">
        <v>1</v>
      </c>
      <c r="AC730">
        <v>0</v>
      </c>
      <c r="AD730">
        <v>0</v>
      </c>
      <c r="AE730">
        <v>0</v>
      </c>
      <c r="AF730">
        <v>0</v>
      </c>
      <c r="AG730">
        <v>1</v>
      </c>
      <c r="AH730">
        <v>0</v>
      </c>
      <c r="AI730">
        <v>0</v>
      </c>
      <c r="AJ730">
        <v>0</v>
      </c>
      <c r="AK730">
        <v>0</v>
      </c>
      <c r="AL730">
        <v>0</v>
      </c>
      <c r="AM730">
        <v>0</v>
      </c>
      <c r="AN730">
        <v>0</v>
      </c>
      <c r="AO730">
        <v>0</v>
      </c>
      <c r="AP730">
        <v>0</v>
      </c>
      <c r="AQ730">
        <v>0</v>
      </c>
      <c r="AR730">
        <v>1</v>
      </c>
      <c r="AS730">
        <f t="shared" si="151"/>
        <v>5</v>
      </c>
      <c r="AT730">
        <f t="shared" si="152"/>
        <v>7</v>
      </c>
      <c r="AU730" s="3" t="s">
        <v>2574</v>
      </c>
      <c r="AV730">
        <f t="shared" si="153"/>
        <v>1</v>
      </c>
      <c r="AW730">
        <f t="shared" si="154"/>
        <v>0</v>
      </c>
      <c r="AX730">
        <f t="shared" si="155"/>
        <v>0</v>
      </c>
      <c r="AY730">
        <v>14.5</v>
      </c>
      <c r="AZ730" t="s">
        <v>60</v>
      </c>
      <c r="BA730" t="s">
        <v>61</v>
      </c>
      <c r="BB730" t="s">
        <v>8</v>
      </c>
    </row>
    <row r="731" ht="84" spans="1:54">
      <c r="A731" t="s">
        <v>2575</v>
      </c>
      <c r="B731" t="s">
        <v>2118</v>
      </c>
      <c r="C731" t="s">
        <v>56</v>
      </c>
      <c r="D731">
        <v>2</v>
      </c>
      <c r="E731">
        <v>0</v>
      </c>
      <c r="F731">
        <v>54.7</v>
      </c>
      <c r="G731" t="s">
        <v>477</v>
      </c>
      <c r="H731" s="3" t="s">
        <v>2576</v>
      </c>
      <c r="I731" s="3" t="s">
        <v>2577</v>
      </c>
      <c r="J731">
        <f t="shared" si="143"/>
        <v>0</v>
      </c>
      <c r="K731">
        <f t="shared" si="144"/>
        <v>1</v>
      </c>
      <c r="L731">
        <f t="shared" si="145"/>
        <v>0</v>
      </c>
      <c r="M731">
        <f t="shared" si="146"/>
        <v>0</v>
      </c>
      <c r="N731">
        <f t="shared" si="147"/>
        <v>0</v>
      </c>
      <c r="O731">
        <f t="shared" si="148"/>
        <v>1</v>
      </c>
      <c r="P731">
        <f t="shared" si="149"/>
        <v>1</v>
      </c>
      <c r="Q731">
        <f t="shared" si="150"/>
        <v>0</v>
      </c>
      <c r="R731">
        <v>0</v>
      </c>
      <c r="S731">
        <v>0</v>
      </c>
      <c r="T731">
        <v>0</v>
      </c>
      <c r="U731">
        <v>0</v>
      </c>
      <c r="V731">
        <v>1</v>
      </c>
      <c r="W731">
        <v>0</v>
      </c>
      <c r="X731">
        <v>0</v>
      </c>
      <c r="Y731">
        <v>0</v>
      </c>
      <c r="Z731">
        <v>0</v>
      </c>
      <c r="AA731">
        <v>0</v>
      </c>
      <c r="AB731">
        <v>0</v>
      </c>
      <c r="AC731">
        <v>0</v>
      </c>
      <c r="AD731">
        <v>0</v>
      </c>
      <c r="AE731">
        <v>0</v>
      </c>
      <c r="AF731">
        <v>0</v>
      </c>
      <c r="AG731">
        <v>0</v>
      </c>
      <c r="AH731">
        <v>0</v>
      </c>
      <c r="AI731">
        <v>1</v>
      </c>
      <c r="AJ731">
        <v>0</v>
      </c>
      <c r="AK731">
        <v>0</v>
      </c>
      <c r="AL731">
        <v>0</v>
      </c>
      <c r="AM731">
        <v>1</v>
      </c>
      <c r="AN731">
        <v>0</v>
      </c>
      <c r="AO731">
        <v>0</v>
      </c>
      <c r="AP731">
        <v>0</v>
      </c>
      <c r="AQ731">
        <v>0</v>
      </c>
      <c r="AR731">
        <v>0</v>
      </c>
      <c r="AS731">
        <f t="shared" si="151"/>
        <v>3</v>
      </c>
      <c r="AT731">
        <f t="shared" si="152"/>
        <v>3</v>
      </c>
      <c r="AU731" s="3" t="s">
        <v>2578</v>
      </c>
      <c r="AV731">
        <f t="shared" si="153"/>
        <v>1</v>
      </c>
      <c r="AW731">
        <f t="shared" si="154"/>
        <v>0</v>
      </c>
      <c r="AX731">
        <f t="shared" si="155"/>
        <v>0</v>
      </c>
      <c r="AY731">
        <v>0.5</v>
      </c>
      <c r="AZ731" t="s">
        <v>60</v>
      </c>
      <c r="BA731" t="s">
        <v>61</v>
      </c>
      <c r="BB731" t="s">
        <v>8</v>
      </c>
    </row>
    <row r="732" ht="101" spans="1:54">
      <c r="A732" t="s">
        <v>2579</v>
      </c>
      <c r="B732" t="s">
        <v>2118</v>
      </c>
      <c r="C732" t="s">
        <v>56</v>
      </c>
      <c r="D732">
        <v>0</v>
      </c>
      <c r="E732">
        <v>0</v>
      </c>
      <c r="F732">
        <v>11.6</v>
      </c>
      <c r="G732" t="s">
        <v>477</v>
      </c>
      <c r="H732" s="3" t="s">
        <v>2580</v>
      </c>
      <c r="I732" s="3" t="s">
        <v>2581</v>
      </c>
      <c r="J732">
        <f t="shared" si="143"/>
        <v>0</v>
      </c>
      <c r="K732">
        <f t="shared" si="144"/>
        <v>1</v>
      </c>
      <c r="L732">
        <f t="shared" si="145"/>
        <v>0</v>
      </c>
      <c r="M732">
        <f t="shared" si="146"/>
        <v>0</v>
      </c>
      <c r="N732">
        <f t="shared" si="147"/>
        <v>0</v>
      </c>
      <c r="O732">
        <f t="shared" si="148"/>
        <v>0</v>
      </c>
      <c r="P732">
        <f t="shared" si="149"/>
        <v>0</v>
      </c>
      <c r="Q732">
        <f t="shared" si="150"/>
        <v>0</v>
      </c>
      <c r="R732">
        <v>0</v>
      </c>
      <c r="S732">
        <v>0</v>
      </c>
      <c r="T732">
        <v>0</v>
      </c>
      <c r="U732">
        <v>0</v>
      </c>
      <c r="V732">
        <v>0</v>
      </c>
      <c r="W732">
        <v>1</v>
      </c>
      <c r="X732">
        <v>0</v>
      </c>
      <c r="Y732">
        <v>0</v>
      </c>
      <c r="Z732">
        <v>0</v>
      </c>
      <c r="AA732">
        <v>0</v>
      </c>
      <c r="AB732">
        <v>0</v>
      </c>
      <c r="AC732">
        <v>0</v>
      </c>
      <c r="AD732">
        <v>0</v>
      </c>
      <c r="AE732">
        <v>0</v>
      </c>
      <c r="AF732">
        <v>0</v>
      </c>
      <c r="AG732">
        <v>0</v>
      </c>
      <c r="AH732">
        <v>0</v>
      </c>
      <c r="AI732">
        <v>0</v>
      </c>
      <c r="AJ732">
        <v>0</v>
      </c>
      <c r="AK732">
        <v>0</v>
      </c>
      <c r="AL732">
        <v>0</v>
      </c>
      <c r="AM732">
        <v>0</v>
      </c>
      <c r="AN732">
        <v>0</v>
      </c>
      <c r="AO732">
        <v>0</v>
      </c>
      <c r="AP732">
        <v>0</v>
      </c>
      <c r="AQ732">
        <v>0</v>
      </c>
      <c r="AR732">
        <v>0</v>
      </c>
      <c r="AS732">
        <f t="shared" si="151"/>
        <v>1</v>
      </c>
      <c r="AT732">
        <f t="shared" si="152"/>
        <v>1</v>
      </c>
      <c r="AU732" s="3" t="s">
        <v>271</v>
      </c>
      <c r="AV732">
        <f t="shared" si="153"/>
        <v>1</v>
      </c>
      <c r="AW732">
        <f t="shared" si="154"/>
        <v>0</v>
      </c>
      <c r="AX732">
        <f t="shared" si="155"/>
        <v>0</v>
      </c>
      <c r="AY732">
        <v>5</v>
      </c>
      <c r="AZ732" t="s">
        <v>60</v>
      </c>
      <c r="BA732" t="s">
        <v>61</v>
      </c>
      <c r="BB732" t="s">
        <v>8</v>
      </c>
    </row>
    <row r="733" ht="68" spans="1:54">
      <c r="A733" t="s">
        <v>2582</v>
      </c>
      <c r="B733" t="s">
        <v>2118</v>
      </c>
      <c r="C733" t="s">
        <v>56</v>
      </c>
      <c r="D733">
        <v>3</v>
      </c>
      <c r="E733">
        <v>0</v>
      </c>
      <c r="F733">
        <v>54.4</v>
      </c>
      <c r="G733" t="s">
        <v>477</v>
      </c>
      <c r="H733" s="3" t="s">
        <v>2583</v>
      </c>
      <c r="I733" s="3" t="s">
        <v>2584</v>
      </c>
      <c r="J733">
        <f t="shared" si="143"/>
        <v>0</v>
      </c>
      <c r="K733">
        <f t="shared" si="144"/>
        <v>1</v>
      </c>
      <c r="L733">
        <f t="shared" si="145"/>
        <v>1</v>
      </c>
      <c r="M733">
        <f t="shared" si="146"/>
        <v>0</v>
      </c>
      <c r="N733">
        <f t="shared" si="147"/>
        <v>1</v>
      </c>
      <c r="O733">
        <f t="shared" si="148"/>
        <v>0</v>
      </c>
      <c r="P733">
        <f t="shared" si="149"/>
        <v>1</v>
      </c>
      <c r="Q733">
        <f t="shared" si="150"/>
        <v>0</v>
      </c>
      <c r="R733">
        <v>0</v>
      </c>
      <c r="S733">
        <v>0</v>
      </c>
      <c r="T733">
        <v>0</v>
      </c>
      <c r="U733">
        <v>0</v>
      </c>
      <c r="V733">
        <v>1</v>
      </c>
      <c r="W733">
        <v>1</v>
      </c>
      <c r="X733">
        <v>0</v>
      </c>
      <c r="Y733">
        <v>0</v>
      </c>
      <c r="Z733">
        <v>1</v>
      </c>
      <c r="AA733">
        <v>0</v>
      </c>
      <c r="AB733">
        <v>1</v>
      </c>
      <c r="AC733">
        <v>0</v>
      </c>
      <c r="AD733">
        <v>0</v>
      </c>
      <c r="AE733">
        <v>0</v>
      </c>
      <c r="AF733">
        <v>0</v>
      </c>
      <c r="AG733">
        <v>0</v>
      </c>
      <c r="AH733">
        <v>1</v>
      </c>
      <c r="AI733">
        <v>0</v>
      </c>
      <c r="AJ733">
        <v>0</v>
      </c>
      <c r="AK733">
        <v>0</v>
      </c>
      <c r="AL733">
        <v>0</v>
      </c>
      <c r="AM733">
        <v>0</v>
      </c>
      <c r="AN733">
        <v>0</v>
      </c>
      <c r="AO733">
        <v>0</v>
      </c>
      <c r="AP733">
        <v>1</v>
      </c>
      <c r="AQ733">
        <v>0</v>
      </c>
      <c r="AR733">
        <v>0</v>
      </c>
      <c r="AS733">
        <f t="shared" si="151"/>
        <v>4</v>
      </c>
      <c r="AT733">
        <f t="shared" si="152"/>
        <v>6</v>
      </c>
      <c r="AU733" s="3" t="s">
        <v>2585</v>
      </c>
      <c r="AV733">
        <f t="shared" si="153"/>
        <v>1</v>
      </c>
      <c r="AW733">
        <f t="shared" si="154"/>
        <v>0</v>
      </c>
      <c r="AX733">
        <f t="shared" si="155"/>
        <v>0</v>
      </c>
      <c r="AY733">
        <v>4</v>
      </c>
      <c r="AZ733" t="s">
        <v>60</v>
      </c>
      <c r="BA733" t="s">
        <v>61</v>
      </c>
      <c r="BB733" t="s">
        <v>8</v>
      </c>
    </row>
    <row r="734" ht="51" spans="1:54">
      <c r="A734" t="s">
        <v>2586</v>
      </c>
      <c r="B734" t="s">
        <v>2118</v>
      </c>
      <c r="C734" t="s">
        <v>56</v>
      </c>
      <c r="D734">
        <v>0</v>
      </c>
      <c r="E734">
        <v>0</v>
      </c>
      <c r="F734">
        <v>89.4</v>
      </c>
      <c r="G734" t="s">
        <v>477</v>
      </c>
      <c r="H734" s="3" t="s">
        <v>2587</v>
      </c>
      <c r="I734" s="3" t="s">
        <v>2588</v>
      </c>
      <c r="J734">
        <f t="shared" si="143"/>
        <v>0</v>
      </c>
      <c r="K734">
        <f t="shared" si="144"/>
        <v>1</v>
      </c>
      <c r="L734">
        <f t="shared" si="145"/>
        <v>0</v>
      </c>
      <c r="M734">
        <f t="shared" si="146"/>
        <v>0</v>
      </c>
      <c r="N734">
        <f t="shared" si="147"/>
        <v>0</v>
      </c>
      <c r="O734">
        <f t="shared" si="148"/>
        <v>0</v>
      </c>
      <c r="P734">
        <f t="shared" si="149"/>
        <v>0</v>
      </c>
      <c r="Q734">
        <f t="shared" si="150"/>
        <v>0</v>
      </c>
      <c r="R734">
        <v>0</v>
      </c>
      <c r="S734">
        <v>0</v>
      </c>
      <c r="T734">
        <v>0</v>
      </c>
      <c r="U734">
        <v>1</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f t="shared" si="151"/>
        <v>1</v>
      </c>
      <c r="AT734">
        <f t="shared" si="152"/>
        <v>1</v>
      </c>
      <c r="AU734" s="3" t="s">
        <v>123</v>
      </c>
      <c r="AV734">
        <f t="shared" si="153"/>
        <v>1</v>
      </c>
      <c r="AW734">
        <f t="shared" si="154"/>
        <v>0</v>
      </c>
      <c r="AX734">
        <f t="shared" si="155"/>
        <v>0</v>
      </c>
      <c r="AY734">
        <v>0</v>
      </c>
      <c r="AZ734" t="s">
        <v>147</v>
      </c>
      <c r="BA734" t="s">
        <v>148</v>
      </c>
      <c r="BB734" t="s">
        <v>8</v>
      </c>
    </row>
    <row r="735" ht="68" spans="1:54">
      <c r="A735" t="s">
        <v>2589</v>
      </c>
      <c r="B735" t="s">
        <v>2118</v>
      </c>
      <c r="C735" t="s">
        <v>116</v>
      </c>
      <c r="D735">
        <v>5</v>
      </c>
      <c r="E735">
        <v>0</v>
      </c>
      <c r="F735">
        <v>43</v>
      </c>
      <c r="G735" t="s">
        <v>477</v>
      </c>
      <c r="H735" s="3" t="s">
        <v>2590</v>
      </c>
      <c r="I735" s="3" t="s">
        <v>2591</v>
      </c>
      <c r="J735">
        <f t="shared" si="143"/>
        <v>0</v>
      </c>
      <c r="K735">
        <f t="shared" si="144"/>
        <v>0</v>
      </c>
      <c r="L735">
        <f t="shared" si="145"/>
        <v>0</v>
      </c>
      <c r="M735">
        <f t="shared" si="146"/>
        <v>0</v>
      </c>
      <c r="N735">
        <f t="shared" si="147"/>
        <v>0</v>
      </c>
      <c r="O735">
        <f t="shared" si="148"/>
        <v>0</v>
      </c>
      <c r="P735">
        <f t="shared" si="149"/>
        <v>0</v>
      </c>
      <c r="Q735">
        <f t="shared" si="150"/>
        <v>0</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Q735">
        <v>0</v>
      </c>
      <c r="AR735">
        <v>0</v>
      </c>
      <c r="AS735">
        <f t="shared" si="151"/>
        <v>0</v>
      </c>
      <c r="AT735">
        <f t="shared" si="152"/>
        <v>0</v>
      </c>
      <c r="AU735" s="3" t="s">
        <v>118</v>
      </c>
      <c r="AV735">
        <f t="shared" si="153"/>
        <v>0</v>
      </c>
      <c r="AW735">
        <f t="shared" si="154"/>
        <v>1</v>
      </c>
      <c r="AX735">
        <f t="shared" si="155"/>
        <v>0</v>
      </c>
      <c r="AY735">
        <v>-2</v>
      </c>
      <c r="AZ735" t="s">
        <v>133</v>
      </c>
      <c r="BA735" t="s">
        <v>134</v>
      </c>
      <c r="BB735" t="s">
        <v>8</v>
      </c>
    </row>
    <row r="736" ht="51" spans="1:54">
      <c r="A736" t="s">
        <v>2592</v>
      </c>
      <c r="B736" t="s">
        <v>2118</v>
      </c>
      <c r="C736" t="s">
        <v>116</v>
      </c>
      <c r="D736">
        <v>0</v>
      </c>
      <c r="E736">
        <v>0</v>
      </c>
      <c r="F736">
        <v>74.5</v>
      </c>
      <c r="G736" t="s">
        <v>477</v>
      </c>
      <c r="H736" s="3" t="s">
        <v>2593</v>
      </c>
      <c r="I736" s="3" t="s">
        <v>2594</v>
      </c>
      <c r="J736">
        <f t="shared" si="143"/>
        <v>0</v>
      </c>
      <c r="K736">
        <f t="shared" si="144"/>
        <v>0</v>
      </c>
      <c r="L736">
        <f t="shared" si="145"/>
        <v>0</v>
      </c>
      <c r="M736">
        <f t="shared" si="146"/>
        <v>0</v>
      </c>
      <c r="N736">
        <f t="shared" si="147"/>
        <v>0</v>
      </c>
      <c r="O736">
        <f t="shared" si="148"/>
        <v>0</v>
      </c>
      <c r="P736">
        <f t="shared" si="149"/>
        <v>0</v>
      </c>
      <c r="Q736">
        <f t="shared" si="150"/>
        <v>0</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0</v>
      </c>
      <c r="AQ736">
        <v>0</v>
      </c>
      <c r="AR736">
        <v>0</v>
      </c>
      <c r="AS736">
        <f t="shared" si="151"/>
        <v>0</v>
      </c>
      <c r="AT736">
        <f t="shared" si="152"/>
        <v>0</v>
      </c>
      <c r="AU736" s="3" t="s">
        <v>118</v>
      </c>
      <c r="AV736">
        <f t="shared" si="153"/>
        <v>0</v>
      </c>
      <c r="AW736">
        <f t="shared" si="154"/>
        <v>1</v>
      </c>
      <c r="AX736">
        <f t="shared" si="155"/>
        <v>0</v>
      </c>
      <c r="AY736">
        <v>-2</v>
      </c>
      <c r="AZ736" t="s">
        <v>133</v>
      </c>
      <c r="BA736" t="s">
        <v>134</v>
      </c>
      <c r="BB736" t="s">
        <v>8</v>
      </c>
    </row>
    <row r="737" ht="118" spans="1:54">
      <c r="A737" t="s">
        <v>2595</v>
      </c>
      <c r="B737" t="s">
        <v>2118</v>
      </c>
      <c r="C737" t="s">
        <v>56</v>
      </c>
      <c r="D737">
        <v>0</v>
      </c>
      <c r="E737">
        <v>0</v>
      </c>
      <c r="F737">
        <v>36.8</v>
      </c>
      <c r="G737" t="s">
        <v>477</v>
      </c>
      <c r="H737" s="3" t="s">
        <v>2596</v>
      </c>
      <c r="I737" s="3" t="s">
        <v>2597</v>
      </c>
      <c r="J737">
        <f t="shared" si="143"/>
        <v>0</v>
      </c>
      <c r="K737">
        <f t="shared" si="144"/>
        <v>0</v>
      </c>
      <c r="L737">
        <f t="shared" si="145"/>
        <v>0</v>
      </c>
      <c r="M737">
        <f t="shared" si="146"/>
        <v>0</v>
      </c>
      <c r="N737">
        <f t="shared" si="147"/>
        <v>0</v>
      </c>
      <c r="O737">
        <f t="shared" si="148"/>
        <v>1</v>
      </c>
      <c r="P737">
        <f t="shared" si="149"/>
        <v>0</v>
      </c>
      <c r="Q737">
        <f t="shared" si="150"/>
        <v>0</v>
      </c>
      <c r="R737">
        <v>0</v>
      </c>
      <c r="S737">
        <v>0</v>
      </c>
      <c r="T737">
        <v>0</v>
      </c>
      <c r="U737">
        <v>0</v>
      </c>
      <c r="V737">
        <v>0</v>
      </c>
      <c r="W737">
        <v>0</v>
      </c>
      <c r="X737">
        <v>0</v>
      </c>
      <c r="Y737">
        <v>0</v>
      </c>
      <c r="Z737">
        <v>0</v>
      </c>
      <c r="AA737">
        <v>0</v>
      </c>
      <c r="AB737">
        <v>0</v>
      </c>
      <c r="AC737">
        <v>0</v>
      </c>
      <c r="AD737">
        <v>0</v>
      </c>
      <c r="AE737">
        <v>0</v>
      </c>
      <c r="AF737">
        <v>0</v>
      </c>
      <c r="AG737">
        <v>0</v>
      </c>
      <c r="AH737">
        <v>0</v>
      </c>
      <c r="AI737">
        <v>1</v>
      </c>
      <c r="AJ737">
        <v>0</v>
      </c>
      <c r="AK737">
        <v>0</v>
      </c>
      <c r="AL737">
        <v>0</v>
      </c>
      <c r="AM737">
        <v>0</v>
      </c>
      <c r="AN737">
        <v>0</v>
      </c>
      <c r="AO737">
        <v>0</v>
      </c>
      <c r="AP737">
        <v>0</v>
      </c>
      <c r="AQ737">
        <v>0</v>
      </c>
      <c r="AR737">
        <v>0</v>
      </c>
      <c r="AS737">
        <f t="shared" si="151"/>
        <v>1</v>
      </c>
      <c r="AT737">
        <f t="shared" si="152"/>
        <v>1</v>
      </c>
      <c r="AU737" s="3" t="s">
        <v>79</v>
      </c>
      <c r="AV737">
        <f t="shared" si="153"/>
        <v>1</v>
      </c>
      <c r="AW737">
        <f t="shared" si="154"/>
        <v>0</v>
      </c>
      <c r="AX737">
        <f t="shared" si="155"/>
        <v>0</v>
      </c>
      <c r="AY737">
        <v>2.5</v>
      </c>
      <c r="AZ737" t="s">
        <v>60</v>
      </c>
      <c r="BA737" t="s">
        <v>61</v>
      </c>
      <c r="BB737" t="s">
        <v>8</v>
      </c>
    </row>
    <row r="738" ht="370" spans="1:54">
      <c r="A738" t="s">
        <v>2598</v>
      </c>
      <c r="B738" t="s">
        <v>2118</v>
      </c>
      <c r="C738" t="s">
        <v>56</v>
      </c>
      <c r="D738">
        <v>0</v>
      </c>
      <c r="E738">
        <v>0</v>
      </c>
      <c r="F738">
        <v>6.3</v>
      </c>
      <c r="G738" t="s">
        <v>477</v>
      </c>
      <c r="H738" s="3" t="s">
        <v>2599</v>
      </c>
      <c r="I738" s="3" t="s">
        <v>2600</v>
      </c>
      <c r="J738">
        <f t="shared" si="143"/>
        <v>0</v>
      </c>
      <c r="K738">
        <f t="shared" si="144"/>
        <v>1</v>
      </c>
      <c r="L738">
        <f t="shared" si="145"/>
        <v>1</v>
      </c>
      <c r="M738">
        <f t="shared" si="146"/>
        <v>1</v>
      </c>
      <c r="N738">
        <f t="shared" si="147"/>
        <v>1</v>
      </c>
      <c r="O738">
        <f t="shared" si="148"/>
        <v>1</v>
      </c>
      <c r="P738">
        <f t="shared" si="149"/>
        <v>0</v>
      </c>
      <c r="Q738">
        <f t="shared" si="150"/>
        <v>0</v>
      </c>
      <c r="R738">
        <v>0</v>
      </c>
      <c r="S738">
        <v>0</v>
      </c>
      <c r="T738">
        <v>0</v>
      </c>
      <c r="U738">
        <v>1</v>
      </c>
      <c r="V738">
        <v>1</v>
      </c>
      <c r="W738">
        <v>1</v>
      </c>
      <c r="X738">
        <v>0</v>
      </c>
      <c r="Y738">
        <v>0</v>
      </c>
      <c r="Z738">
        <v>1</v>
      </c>
      <c r="AA738">
        <v>0</v>
      </c>
      <c r="AB738">
        <v>1</v>
      </c>
      <c r="AC738">
        <v>1</v>
      </c>
      <c r="AD738">
        <v>0</v>
      </c>
      <c r="AE738">
        <v>0</v>
      </c>
      <c r="AF738">
        <v>1</v>
      </c>
      <c r="AG738">
        <v>1</v>
      </c>
      <c r="AH738">
        <v>0</v>
      </c>
      <c r="AI738">
        <v>1</v>
      </c>
      <c r="AJ738">
        <v>0</v>
      </c>
      <c r="AK738">
        <v>0</v>
      </c>
      <c r="AL738">
        <v>0</v>
      </c>
      <c r="AM738">
        <v>0</v>
      </c>
      <c r="AN738">
        <v>0</v>
      </c>
      <c r="AO738">
        <v>0</v>
      </c>
      <c r="AP738">
        <v>0</v>
      </c>
      <c r="AQ738">
        <v>0</v>
      </c>
      <c r="AR738">
        <v>0</v>
      </c>
      <c r="AS738">
        <f t="shared" si="151"/>
        <v>5</v>
      </c>
      <c r="AT738">
        <f t="shared" si="152"/>
        <v>9</v>
      </c>
      <c r="AU738" s="3" t="s">
        <v>2601</v>
      </c>
      <c r="AV738">
        <f t="shared" si="153"/>
        <v>1</v>
      </c>
      <c r="AW738">
        <f t="shared" si="154"/>
        <v>0</v>
      </c>
      <c r="AX738">
        <f t="shared" si="155"/>
        <v>1</v>
      </c>
      <c r="AY738">
        <v>0</v>
      </c>
      <c r="AZ738" t="s">
        <v>147</v>
      </c>
      <c r="BA738" t="s">
        <v>148</v>
      </c>
      <c r="BB738" t="s">
        <v>8</v>
      </c>
    </row>
    <row r="739" ht="84" spans="1:54">
      <c r="A739" t="s">
        <v>2602</v>
      </c>
      <c r="B739" t="s">
        <v>2118</v>
      </c>
      <c r="C739" t="s">
        <v>56</v>
      </c>
      <c r="D739">
        <v>0</v>
      </c>
      <c r="E739">
        <v>0</v>
      </c>
      <c r="F739">
        <v>75.5</v>
      </c>
      <c r="G739" t="s">
        <v>487</v>
      </c>
      <c r="H739" s="3" t="s">
        <v>2603</v>
      </c>
      <c r="I739" s="3" t="s">
        <v>2604</v>
      </c>
      <c r="J739">
        <f t="shared" si="143"/>
        <v>0</v>
      </c>
      <c r="K739">
        <f t="shared" si="144"/>
        <v>0</v>
      </c>
      <c r="L739">
        <f t="shared" si="145"/>
        <v>0</v>
      </c>
      <c r="M739">
        <f t="shared" si="146"/>
        <v>0</v>
      </c>
      <c r="N739">
        <f t="shared" si="147"/>
        <v>0</v>
      </c>
      <c r="O739">
        <f t="shared" si="148"/>
        <v>1</v>
      </c>
      <c r="P739">
        <f t="shared" si="149"/>
        <v>0</v>
      </c>
      <c r="Q739">
        <f t="shared" si="150"/>
        <v>0</v>
      </c>
      <c r="R739">
        <v>0</v>
      </c>
      <c r="S739">
        <v>0</v>
      </c>
      <c r="T739">
        <v>0</v>
      </c>
      <c r="U739">
        <v>0</v>
      </c>
      <c r="V739">
        <v>0</v>
      </c>
      <c r="W739">
        <v>0</v>
      </c>
      <c r="X739">
        <v>0</v>
      </c>
      <c r="Y739">
        <v>0</v>
      </c>
      <c r="Z739">
        <v>0</v>
      </c>
      <c r="AA739">
        <v>0</v>
      </c>
      <c r="AB739">
        <v>0</v>
      </c>
      <c r="AC739">
        <v>0</v>
      </c>
      <c r="AD739">
        <v>0</v>
      </c>
      <c r="AE739">
        <v>0</v>
      </c>
      <c r="AF739">
        <v>0</v>
      </c>
      <c r="AG739">
        <v>0</v>
      </c>
      <c r="AH739">
        <v>0</v>
      </c>
      <c r="AI739">
        <v>1</v>
      </c>
      <c r="AJ739">
        <v>0</v>
      </c>
      <c r="AK739">
        <v>0</v>
      </c>
      <c r="AL739">
        <v>0</v>
      </c>
      <c r="AM739">
        <v>0</v>
      </c>
      <c r="AN739">
        <v>0</v>
      </c>
      <c r="AO739">
        <v>0</v>
      </c>
      <c r="AP739">
        <v>0</v>
      </c>
      <c r="AQ739">
        <v>0</v>
      </c>
      <c r="AR739">
        <v>0</v>
      </c>
      <c r="AS739">
        <f t="shared" si="151"/>
        <v>1</v>
      </c>
      <c r="AT739">
        <f t="shared" si="152"/>
        <v>1</v>
      </c>
      <c r="AU739" s="3" t="s">
        <v>79</v>
      </c>
      <c r="AV739">
        <f t="shared" si="153"/>
        <v>1</v>
      </c>
      <c r="AW739">
        <f t="shared" si="154"/>
        <v>0</v>
      </c>
      <c r="AX739">
        <f t="shared" si="155"/>
        <v>0</v>
      </c>
      <c r="AY739">
        <v>-1</v>
      </c>
      <c r="AZ739" t="s">
        <v>133</v>
      </c>
      <c r="BA739" t="s">
        <v>134</v>
      </c>
      <c r="BB739" t="s">
        <v>8</v>
      </c>
    </row>
    <row r="740" ht="409.5" spans="1:54">
      <c r="A740" t="s">
        <v>2605</v>
      </c>
      <c r="B740" t="s">
        <v>2118</v>
      </c>
      <c r="C740" t="s">
        <v>56</v>
      </c>
      <c r="D740">
        <v>9</v>
      </c>
      <c r="E740">
        <v>0</v>
      </c>
      <c r="F740">
        <v>32.6</v>
      </c>
      <c r="G740" t="s">
        <v>487</v>
      </c>
      <c r="H740" s="3" t="s">
        <v>2606</v>
      </c>
      <c r="I740" s="3" t="s">
        <v>2607</v>
      </c>
      <c r="J740">
        <f t="shared" si="143"/>
        <v>1</v>
      </c>
      <c r="K740">
        <f t="shared" si="144"/>
        <v>0</v>
      </c>
      <c r="L740">
        <f t="shared" si="145"/>
        <v>1</v>
      </c>
      <c r="M740">
        <f t="shared" si="146"/>
        <v>0</v>
      </c>
      <c r="N740">
        <f t="shared" si="147"/>
        <v>0</v>
      </c>
      <c r="O740">
        <f t="shared" si="148"/>
        <v>0</v>
      </c>
      <c r="P740">
        <f t="shared" si="149"/>
        <v>1</v>
      </c>
      <c r="Q740">
        <f t="shared" si="150"/>
        <v>1</v>
      </c>
      <c r="R740">
        <v>0</v>
      </c>
      <c r="S740">
        <v>0</v>
      </c>
      <c r="T740">
        <v>1</v>
      </c>
      <c r="U740">
        <v>0</v>
      </c>
      <c r="V740">
        <v>0</v>
      </c>
      <c r="W740">
        <v>0</v>
      </c>
      <c r="X740">
        <v>0</v>
      </c>
      <c r="Y740">
        <v>0</v>
      </c>
      <c r="Z740">
        <v>0</v>
      </c>
      <c r="AA740">
        <v>0</v>
      </c>
      <c r="AB740">
        <v>0</v>
      </c>
      <c r="AC740">
        <v>1</v>
      </c>
      <c r="AD740">
        <v>0</v>
      </c>
      <c r="AE740">
        <v>0</v>
      </c>
      <c r="AF740">
        <v>0</v>
      </c>
      <c r="AG740">
        <v>0</v>
      </c>
      <c r="AH740">
        <v>0</v>
      </c>
      <c r="AI740">
        <v>0</v>
      </c>
      <c r="AJ740">
        <v>0</v>
      </c>
      <c r="AK740">
        <v>0</v>
      </c>
      <c r="AL740">
        <v>0</v>
      </c>
      <c r="AM740">
        <v>1</v>
      </c>
      <c r="AN740">
        <v>0</v>
      </c>
      <c r="AO740">
        <v>0</v>
      </c>
      <c r="AP740">
        <v>0</v>
      </c>
      <c r="AQ740">
        <v>0</v>
      </c>
      <c r="AR740">
        <v>1</v>
      </c>
      <c r="AS740">
        <f t="shared" si="151"/>
        <v>4</v>
      </c>
      <c r="AT740">
        <f t="shared" si="152"/>
        <v>4</v>
      </c>
      <c r="AU740" s="3" t="s">
        <v>2608</v>
      </c>
      <c r="AV740">
        <f t="shared" si="153"/>
        <v>1</v>
      </c>
      <c r="AW740">
        <f t="shared" si="154"/>
        <v>0</v>
      </c>
      <c r="AX740">
        <f t="shared" si="155"/>
        <v>0</v>
      </c>
      <c r="AY740">
        <v>-3</v>
      </c>
      <c r="AZ740" t="s">
        <v>133</v>
      </c>
      <c r="BA740" t="s">
        <v>134</v>
      </c>
      <c r="BB740" t="s">
        <v>8</v>
      </c>
    </row>
    <row r="741" ht="51" spans="1:54">
      <c r="A741" t="s">
        <v>2609</v>
      </c>
      <c r="B741" t="s">
        <v>2118</v>
      </c>
      <c r="C741" t="s">
        <v>56</v>
      </c>
      <c r="D741">
        <v>2</v>
      </c>
      <c r="E741">
        <v>0</v>
      </c>
      <c r="F741">
        <v>55.3</v>
      </c>
      <c r="G741" t="s">
        <v>487</v>
      </c>
      <c r="H741" s="3" t="s">
        <v>2610</v>
      </c>
      <c r="I741" s="3" t="s">
        <v>2611</v>
      </c>
      <c r="J741">
        <f t="shared" si="143"/>
        <v>1</v>
      </c>
      <c r="K741">
        <f t="shared" si="144"/>
        <v>0</v>
      </c>
      <c r="L741">
        <f t="shared" si="145"/>
        <v>0</v>
      </c>
      <c r="M741">
        <f t="shared" si="146"/>
        <v>0</v>
      </c>
      <c r="N741">
        <f t="shared" si="147"/>
        <v>1</v>
      </c>
      <c r="O741">
        <f t="shared" si="148"/>
        <v>1</v>
      </c>
      <c r="P741">
        <f t="shared" si="149"/>
        <v>0</v>
      </c>
      <c r="Q741">
        <f t="shared" si="150"/>
        <v>1</v>
      </c>
      <c r="R741">
        <v>0</v>
      </c>
      <c r="S741">
        <v>1</v>
      </c>
      <c r="T741">
        <v>0</v>
      </c>
      <c r="U741">
        <v>0</v>
      </c>
      <c r="V741">
        <v>0</v>
      </c>
      <c r="W741">
        <v>0</v>
      </c>
      <c r="X741">
        <v>0</v>
      </c>
      <c r="Y741">
        <v>0</v>
      </c>
      <c r="Z741">
        <v>0</v>
      </c>
      <c r="AA741">
        <v>0</v>
      </c>
      <c r="AB741">
        <v>0</v>
      </c>
      <c r="AC741">
        <v>0</v>
      </c>
      <c r="AD741">
        <v>0</v>
      </c>
      <c r="AE741">
        <v>0</v>
      </c>
      <c r="AF741">
        <v>0</v>
      </c>
      <c r="AG741">
        <v>0</v>
      </c>
      <c r="AH741">
        <v>1</v>
      </c>
      <c r="AI741">
        <v>0</v>
      </c>
      <c r="AJ741">
        <v>0</v>
      </c>
      <c r="AK741">
        <v>0</v>
      </c>
      <c r="AL741">
        <v>1</v>
      </c>
      <c r="AM741">
        <v>0</v>
      </c>
      <c r="AN741">
        <v>0</v>
      </c>
      <c r="AO741">
        <v>0</v>
      </c>
      <c r="AP741">
        <v>0</v>
      </c>
      <c r="AQ741">
        <v>0</v>
      </c>
      <c r="AR741">
        <v>1</v>
      </c>
      <c r="AS741">
        <f t="shared" si="151"/>
        <v>4</v>
      </c>
      <c r="AT741">
        <f t="shared" si="152"/>
        <v>4</v>
      </c>
      <c r="AU741" s="3" t="s">
        <v>567</v>
      </c>
      <c r="AV741">
        <f t="shared" si="153"/>
        <v>1</v>
      </c>
      <c r="AW741">
        <f t="shared" si="154"/>
        <v>0</v>
      </c>
      <c r="AX741">
        <f t="shared" si="155"/>
        <v>0</v>
      </c>
      <c r="AY741">
        <v>-2</v>
      </c>
      <c r="AZ741" t="s">
        <v>133</v>
      </c>
      <c r="BA741" t="s">
        <v>134</v>
      </c>
      <c r="BB741" t="s">
        <v>8</v>
      </c>
    </row>
    <row r="742" ht="68" spans="1:54">
      <c r="A742" t="s">
        <v>2612</v>
      </c>
      <c r="B742" t="s">
        <v>2118</v>
      </c>
      <c r="C742" t="s">
        <v>56</v>
      </c>
      <c r="D742">
        <v>0</v>
      </c>
      <c r="E742">
        <v>0</v>
      </c>
      <c r="F742">
        <v>74.5</v>
      </c>
      <c r="G742" t="s">
        <v>487</v>
      </c>
      <c r="H742" s="3" t="s">
        <v>2613</v>
      </c>
      <c r="I742" s="3" t="s">
        <v>2614</v>
      </c>
      <c r="J742">
        <f t="shared" si="143"/>
        <v>1</v>
      </c>
      <c r="K742">
        <f t="shared" si="144"/>
        <v>0</v>
      </c>
      <c r="L742">
        <f t="shared" si="145"/>
        <v>0</v>
      </c>
      <c r="M742">
        <f t="shared" si="146"/>
        <v>0</v>
      </c>
      <c r="N742">
        <f t="shared" si="147"/>
        <v>1</v>
      </c>
      <c r="O742">
        <f t="shared" si="148"/>
        <v>0</v>
      </c>
      <c r="P742">
        <f t="shared" si="149"/>
        <v>0</v>
      </c>
      <c r="Q742">
        <f t="shared" si="150"/>
        <v>0</v>
      </c>
      <c r="R742">
        <v>1</v>
      </c>
      <c r="S742">
        <v>0</v>
      </c>
      <c r="T742">
        <v>0</v>
      </c>
      <c r="U742">
        <v>0</v>
      </c>
      <c r="V742">
        <v>0</v>
      </c>
      <c r="W742">
        <v>0</v>
      </c>
      <c r="X742">
        <v>0</v>
      </c>
      <c r="Y742">
        <v>0</v>
      </c>
      <c r="Z742">
        <v>0</v>
      </c>
      <c r="AA742">
        <v>0</v>
      </c>
      <c r="AB742">
        <v>0</v>
      </c>
      <c r="AC742">
        <v>0</v>
      </c>
      <c r="AD742">
        <v>0</v>
      </c>
      <c r="AE742">
        <v>0</v>
      </c>
      <c r="AF742">
        <v>0</v>
      </c>
      <c r="AG742">
        <v>0</v>
      </c>
      <c r="AH742">
        <v>1</v>
      </c>
      <c r="AI742">
        <v>0</v>
      </c>
      <c r="AJ742">
        <v>0</v>
      </c>
      <c r="AK742">
        <v>0</v>
      </c>
      <c r="AL742">
        <v>0</v>
      </c>
      <c r="AM742">
        <v>0</v>
      </c>
      <c r="AN742">
        <v>0</v>
      </c>
      <c r="AO742">
        <v>0</v>
      </c>
      <c r="AP742">
        <v>0</v>
      </c>
      <c r="AQ742">
        <v>0</v>
      </c>
      <c r="AR742">
        <v>0</v>
      </c>
      <c r="AS742">
        <f t="shared" si="151"/>
        <v>2</v>
      </c>
      <c r="AT742">
        <f t="shared" si="152"/>
        <v>2</v>
      </c>
      <c r="AU742" s="3" t="s">
        <v>1596</v>
      </c>
      <c r="AV742">
        <f t="shared" si="153"/>
        <v>1</v>
      </c>
      <c r="AW742">
        <f t="shared" si="154"/>
        <v>0</v>
      </c>
      <c r="AX742">
        <f t="shared" si="155"/>
        <v>0</v>
      </c>
      <c r="AY742">
        <v>-1</v>
      </c>
      <c r="AZ742" t="s">
        <v>133</v>
      </c>
      <c r="BA742" t="s">
        <v>134</v>
      </c>
      <c r="BB742" t="s">
        <v>8</v>
      </c>
    </row>
    <row r="743" ht="409.5" spans="1:54">
      <c r="A743" t="s">
        <v>2615</v>
      </c>
      <c r="B743" t="s">
        <v>2118</v>
      </c>
      <c r="C743" t="s">
        <v>56</v>
      </c>
      <c r="D743">
        <v>0</v>
      </c>
      <c r="E743">
        <v>0</v>
      </c>
      <c r="F743">
        <v>139.7</v>
      </c>
      <c r="G743" t="s">
        <v>487</v>
      </c>
      <c r="H743" s="3" t="s">
        <v>2616</v>
      </c>
      <c r="I743" s="3" t="s">
        <v>2617</v>
      </c>
      <c r="J743">
        <f t="shared" si="143"/>
        <v>0</v>
      </c>
      <c r="K743">
        <f t="shared" si="144"/>
        <v>0</v>
      </c>
      <c r="L743">
        <f t="shared" si="145"/>
        <v>0</v>
      </c>
      <c r="M743">
        <f t="shared" si="146"/>
        <v>0</v>
      </c>
      <c r="N743">
        <f t="shared" si="147"/>
        <v>0</v>
      </c>
      <c r="O743">
        <f t="shared" si="148"/>
        <v>1</v>
      </c>
      <c r="P743">
        <f t="shared" si="149"/>
        <v>0</v>
      </c>
      <c r="Q743">
        <f t="shared" si="150"/>
        <v>0</v>
      </c>
      <c r="R743">
        <v>0</v>
      </c>
      <c r="S743">
        <v>0</v>
      </c>
      <c r="T743">
        <v>0</v>
      </c>
      <c r="U743">
        <v>0</v>
      </c>
      <c r="V743">
        <v>0</v>
      </c>
      <c r="W743">
        <v>0</v>
      </c>
      <c r="X743">
        <v>0</v>
      </c>
      <c r="Y743">
        <v>0</v>
      </c>
      <c r="Z743">
        <v>0</v>
      </c>
      <c r="AA743">
        <v>0</v>
      </c>
      <c r="AB743">
        <v>0</v>
      </c>
      <c r="AC743">
        <v>0</v>
      </c>
      <c r="AD743">
        <v>0</v>
      </c>
      <c r="AE743">
        <v>0</v>
      </c>
      <c r="AF743">
        <v>0</v>
      </c>
      <c r="AG743">
        <v>0</v>
      </c>
      <c r="AH743">
        <v>0</v>
      </c>
      <c r="AI743">
        <v>1</v>
      </c>
      <c r="AJ743">
        <v>0</v>
      </c>
      <c r="AK743">
        <v>0</v>
      </c>
      <c r="AL743">
        <v>0</v>
      </c>
      <c r="AM743">
        <v>0</v>
      </c>
      <c r="AN743">
        <v>0</v>
      </c>
      <c r="AO743">
        <v>0</v>
      </c>
      <c r="AP743">
        <v>0</v>
      </c>
      <c r="AQ743">
        <v>0</v>
      </c>
      <c r="AR743">
        <v>0</v>
      </c>
      <c r="AS743">
        <f t="shared" si="151"/>
        <v>1</v>
      </c>
      <c r="AT743">
        <f t="shared" si="152"/>
        <v>1</v>
      </c>
      <c r="AU743" s="3" t="s">
        <v>79</v>
      </c>
      <c r="AV743">
        <f t="shared" si="153"/>
        <v>1</v>
      </c>
      <c r="AW743">
        <f t="shared" si="154"/>
        <v>0</v>
      </c>
      <c r="AX743">
        <f t="shared" si="155"/>
        <v>0</v>
      </c>
      <c r="AY743">
        <v>5.5</v>
      </c>
      <c r="AZ743" t="s">
        <v>60</v>
      </c>
      <c r="BA743" t="s">
        <v>61</v>
      </c>
      <c r="BB743" t="s">
        <v>8</v>
      </c>
    </row>
    <row r="744" ht="51" spans="1:54">
      <c r="A744" t="s">
        <v>2618</v>
      </c>
      <c r="B744" t="s">
        <v>2118</v>
      </c>
      <c r="C744" t="s">
        <v>56</v>
      </c>
      <c r="D744">
        <v>2</v>
      </c>
      <c r="E744">
        <v>0</v>
      </c>
      <c r="F744">
        <v>42.2</v>
      </c>
      <c r="G744" t="s">
        <v>487</v>
      </c>
      <c r="H744" s="3" t="s">
        <v>2619</v>
      </c>
      <c r="I744" s="3" t="s">
        <v>2620</v>
      </c>
      <c r="J744">
        <f t="shared" si="143"/>
        <v>0</v>
      </c>
      <c r="K744">
        <f t="shared" si="144"/>
        <v>1</v>
      </c>
      <c r="L744">
        <f t="shared" si="145"/>
        <v>1</v>
      </c>
      <c r="M744">
        <f t="shared" si="146"/>
        <v>0</v>
      </c>
      <c r="N744">
        <f t="shared" si="147"/>
        <v>0</v>
      </c>
      <c r="O744">
        <f t="shared" si="148"/>
        <v>0</v>
      </c>
      <c r="P744">
        <f t="shared" si="149"/>
        <v>0</v>
      </c>
      <c r="Q744">
        <f t="shared" si="150"/>
        <v>0</v>
      </c>
      <c r="R744">
        <v>0</v>
      </c>
      <c r="S744">
        <v>0</v>
      </c>
      <c r="T744">
        <v>0</v>
      </c>
      <c r="U744">
        <v>1</v>
      </c>
      <c r="V744">
        <v>0</v>
      </c>
      <c r="W744">
        <v>0</v>
      </c>
      <c r="X744">
        <v>0</v>
      </c>
      <c r="Y744">
        <v>0</v>
      </c>
      <c r="Z744">
        <v>1</v>
      </c>
      <c r="AA744">
        <v>0</v>
      </c>
      <c r="AB744">
        <v>1</v>
      </c>
      <c r="AC744">
        <v>0</v>
      </c>
      <c r="AD744">
        <v>0</v>
      </c>
      <c r="AE744">
        <v>0</v>
      </c>
      <c r="AF744">
        <v>0</v>
      </c>
      <c r="AG744">
        <v>0</v>
      </c>
      <c r="AH744">
        <v>0</v>
      </c>
      <c r="AI744">
        <v>0</v>
      </c>
      <c r="AJ744">
        <v>0</v>
      </c>
      <c r="AK744">
        <v>0</v>
      </c>
      <c r="AL744">
        <v>0</v>
      </c>
      <c r="AM744">
        <v>0</v>
      </c>
      <c r="AN744">
        <v>0</v>
      </c>
      <c r="AO744">
        <v>0</v>
      </c>
      <c r="AP744">
        <v>0</v>
      </c>
      <c r="AQ744">
        <v>0</v>
      </c>
      <c r="AR744">
        <v>0</v>
      </c>
      <c r="AS744">
        <f t="shared" si="151"/>
        <v>2</v>
      </c>
      <c r="AT744">
        <f t="shared" si="152"/>
        <v>3</v>
      </c>
      <c r="AU744" s="3" t="s">
        <v>2621</v>
      </c>
      <c r="AV744">
        <f t="shared" si="153"/>
        <v>1</v>
      </c>
      <c r="AW744">
        <f t="shared" si="154"/>
        <v>0</v>
      </c>
      <c r="AX744">
        <f t="shared" si="155"/>
        <v>0</v>
      </c>
      <c r="AY744">
        <v>3.5</v>
      </c>
      <c r="AZ744" t="s">
        <v>60</v>
      </c>
      <c r="BA744" t="s">
        <v>61</v>
      </c>
      <c r="BB744" t="s">
        <v>8</v>
      </c>
    </row>
    <row r="745" ht="34" spans="1:54">
      <c r="A745" t="s">
        <v>2622</v>
      </c>
      <c r="B745" t="s">
        <v>2118</v>
      </c>
      <c r="C745" t="s">
        <v>56</v>
      </c>
      <c r="D745">
        <v>0</v>
      </c>
      <c r="E745">
        <v>0</v>
      </c>
      <c r="F745">
        <v>57.9</v>
      </c>
      <c r="G745" t="s">
        <v>491</v>
      </c>
      <c r="H745" s="3" t="s">
        <v>2623</v>
      </c>
      <c r="I745" s="3" t="s">
        <v>2624</v>
      </c>
      <c r="J745">
        <f t="shared" si="143"/>
        <v>0</v>
      </c>
      <c r="K745">
        <f t="shared" si="144"/>
        <v>0</v>
      </c>
      <c r="L745">
        <f t="shared" si="145"/>
        <v>0</v>
      </c>
      <c r="M745">
        <f t="shared" si="146"/>
        <v>0</v>
      </c>
      <c r="N745">
        <f t="shared" si="147"/>
        <v>1</v>
      </c>
      <c r="O745">
        <f t="shared" si="148"/>
        <v>0</v>
      </c>
      <c r="P745">
        <f t="shared" si="149"/>
        <v>0</v>
      </c>
      <c r="Q745">
        <f t="shared" si="150"/>
        <v>0</v>
      </c>
      <c r="R745">
        <v>0</v>
      </c>
      <c r="S745">
        <v>0</v>
      </c>
      <c r="T745">
        <v>0</v>
      </c>
      <c r="U745">
        <v>0</v>
      </c>
      <c r="V745">
        <v>0</v>
      </c>
      <c r="W745">
        <v>0</v>
      </c>
      <c r="X745">
        <v>0</v>
      </c>
      <c r="Y745">
        <v>0</v>
      </c>
      <c r="Z745">
        <v>0</v>
      </c>
      <c r="AA745">
        <v>0</v>
      </c>
      <c r="AB745">
        <v>0</v>
      </c>
      <c r="AC745">
        <v>0</v>
      </c>
      <c r="AD745">
        <v>0</v>
      </c>
      <c r="AE745">
        <v>0</v>
      </c>
      <c r="AF745">
        <v>0</v>
      </c>
      <c r="AG745">
        <v>0</v>
      </c>
      <c r="AH745">
        <v>1</v>
      </c>
      <c r="AI745">
        <v>0</v>
      </c>
      <c r="AJ745">
        <v>0</v>
      </c>
      <c r="AK745">
        <v>0</v>
      </c>
      <c r="AL745">
        <v>0</v>
      </c>
      <c r="AM745">
        <v>0</v>
      </c>
      <c r="AN745">
        <v>0</v>
      </c>
      <c r="AO745">
        <v>0</v>
      </c>
      <c r="AP745">
        <v>0</v>
      </c>
      <c r="AQ745">
        <v>0</v>
      </c>
      <c r="AR745">
        <v>0</v>
      </c>
      <c r="AS745">
        <f t="shared" si="151"/>
        <v>1</v>
      </c>
      <c r="AT745">
        <f t="shared" si="152"/>
        <v>1</v>
      </c>
      <c r="AU745" s="3" t="s">
        <v>129</v>
      </c>
      <c r="AV745">
        <f t="shared" si="153"/>
        <v>1</v>
      </c>
      <c r="AW745">
        <f t="shared" si="154"/>
        <v>0</v>
      </c>
      <c r="AX745">
        <f t="shared" si="155"/>
        <v>0</v>
      </c>
      <c r="AY745">
        <v>4.5</v>
      </c>
      <c r="AZ745" t="s">
        <v>60</v>
      </c>
      <c r="BA745" t="s">
        <v>61</v>
      </c>
      <c r="BB745" t="s">
        <v>8</v>
      </c>
    </row>
    <row r="746" ht="118" spans="1:54">
      <c r="A746" t="s">
        <v>2625</v>
      </c>
      <c r="B746" t="s">
        <v>2118</v>
      </c>
      <c r="C746" t="s">
        <v>56</v>
      </c>
      <c r="D746">
        <v>0</v>
      </c>
      <c r="E746">
        <v>0</v>
      </c>
      <c r="F746">
        <v>75.1</v>
      </c>
      <c r="G746" t="s">
        <v>491</v>
      </c>
      <c r="H746" s="3" t="s">
        <v>2626</v>
      </c>
      <c r="I746" s="3" t="s">
        <v>2627</v>
      </c>
      <c r="J746">
        <f t="shared" si="143"/>
        <v>1</v>
      </c>
      <c r="K746">
        <f t="shared" si="144"/>
        <v>0</v>
      </c>
      <c r="L746">
        <f t="shared" si="145"/>
        <v>1</v>
      </c>
      <c r="M746">
        <f t="shared" si="146"/>
        <v>0</v>
      </c>
      <c r="N746">
        <f t="shared" si="147"/>
        <v>1</v>
      </c>
      <c r="O746">
        <f t="shared" si="148"/>
        <v>0</v>
      </c>
      <c r="P746">
        <f t="shared" si="149"/>
        <v>0</v>
      </c>
      <c r="Q746">
        <f t="shared" si="150"/>
        <v>0</v>
      </c>
      <c r="R746">
        <v>1</v>
      </c>
      <c r="S746">
        <v>0</v>
      </c>
      <c r="T746">
        <v>0</v>
      </c>
      <c r="U746">
        <v>0</v>
      </c>
      <c r="V746">
        <v>0</v>
      </c>
      <c r="W746">
        <v>0</v>
      </c>
      <c r="X746">
        <v>0</v>
      </c>
      <c r="Y746">
        <v>0</v>
      </c>
      <c r="Z746">
        <v>1</v>
      </c>
      <c r="AA746">
        <v>0</v>
      </c>
      <c r="AB746">
        <v>1</v>
      </c>
      <c r="AC746">
        <v>0</v>
      </c>
      <c r="AD746">
        <v>0</v>
      </c>
      <c r="AE746">
        <v>0</v>
      </c>
      <c r="AF746">
        <v>0</v>
      </c>
      <c r="AG746">
        <v>0</v>
      </c>
      <c r="AH746">
        <v>1</v>
      </c>
      <c r="AI746">
        <v>0</v>
      </c>
      <c r="AJ746">
        <v>0</v>
      </c>
      <c r="AK746">
        <v>0</v>
      </c>
      <c r="AL746">
        <v>0</v>
      </c>
      <c r="AM746">
        <v>0</v>
      </c>
      <c r="AN746">
        <v>0</v>
      </c>
      <c r="AO746">
        <v>0</v>
      </c>
      <c r="AP746">
        <v>0</v>
      </c>
      <c r="AQ746">
        <v>0</v>
      </c>
      <c r="AR746">
        <v>0</v>
      </c>
      <c r="AS746">
        <f t="shared" si="151"/>
        <v>3</v>
      </c>
      <c r="AT746">
        <f t="shared" si="152"/>
        <v>4</v>
      </c>
      <c r="AU746" s="3" t="s">
        <v>2628</v>
      </c>
      <c r="AV746">
        <f t="shared" si="153"/>
        <v>1</v>
      </c>
      <c r="AW746">
        <f t="shared" si="154"/>
        <v>0</v>
      </c>
      <c r="AX746">
        <f t="shared" si="155"/>
        <v>0</v>
      </c>
      <c r="AY746">
        <v>7</v>
      </c>
      <c r="AZ746" t="s">
        <v>60</v>
      </c>
      <c r="BA746" t="s">
        <v>61</v>
      </c>
      <c r="BB746" t="s">
        <v>8</v>
      </c>
    </row>
    <row r="747" ht="84" spans="1:54">
      <c r="A747" t="s">
        <v>2629</v>
      </c>
      <c r="B747" t="s">
        <v>2118</v>
      </c>
      <c r="C747" t="s">
        <v>56</v>
      </c>
      <c r="D747">
        <v>63</v>
      </c>
      <c r="E747">
        <v>7</v>
      </c>
      <c r="F747">
        <v>78</v>
      </c>
      <c r="G747" t="s">
        <v>491</v>
      </c>
      <c r="H747" s="3" t="s">
        <v>2630</v>
      </c>
      <c r="I747" s="3" t="s">
        <v>2631</v>
      </c>
      <c r="J747">
        <f t="shared" si="143"/>
        <v>1</v>
      </c>
      <c r="K747">
        <f t="shared" si="144"/>
        <v>1</v>
      </c>
      <c r="L747">
        <f t="shared" si="145"/>
        <v>1</v>
      </c>
      <c r="M747">
        <f t="shared" si="146"/>
        <v>0</v>
      </c>
      <c r="N747">
        <f t="shared" si="147"/>
        <v>0</v>
      </c>
      <c r="O747">
        <f t="shared" si="148"/>
        <v>0</v>
      </c>
      <c r="P747">
        <f t="shared" si="149"/>
        <v>0</v>
      </c>
      <c r="Q747">
        <f t="shared" si="150"/>
        <v>0</v>
      </c>
      <c r="R747">
        <v>1</v>
      </c>
      <c r="S747">
        <v>0</v>
      </c>
      <c r="T747">
        <v>0</v>
      </c>
      <c r="U747">
        <v>0</v>
      </c>
      <c r="V747">
        <v>1</v>
      </c>
      <c r="W747">
        <v>1</v>
      </c>
      <c r="X747">
        <v>0</v>
      </c>
      <c r="Y747">
        <v>0</v>
      </c>
      <c r="Z747">
        <v>0</v>
      </c>
      <c r="AA747">
        <v>0</v>
      </c>
      <c r="AB747">
        <v>1</v>
      </c>
      <c r="AC747">
        <v>1</v>
      </c>
      <c r="AD747">
        <v>0</v>
      </c>
      <c r="AE747">
        <v>0</v>
      </c>
      <c r="AF747">
        <v>0</v>
      </c>
      <c r="AG747">
        <v>0</v>
      </c>
      <c r="AH747">
        <v>0</v>
      </c>
      <c r="AI747">
        <v>0</v>
      </c>
      <c r="AJ747">
        <v>0</v>
      </c>
      <c r="AK747">
        <v>0</v>
      </c>
      <c r="AL747">
        <v>0</v>
      </c>
      <c r="AM747">
        <v>0</v>
      </c>
      <c r="AN747">
        <v>0</v>
      </c>
      <c r="AO747">
        <v>0</v>
      </c>
      <c r="AP747">
        <v>0</v>
      </c>
      <c r="AQ747">
        <v>0</v>
      </c>
      <c r="AR747">
        <v>0</v>
      </c>
      <c r="AS747">
        <f t="shared" si="151"/>
        <v>3</v>
      </c>
      <c r="AT747">
        <f t="shared" si="152"/>
        <v>5</v>
      </c>
      <c r="AU747" s="3" t="s">
        <v>2632</v>
      </c>
      <c r="AV747">
        <f t="shared" si="153"/>
        <v>1</v>
      </c>
      <c r="AW747">
        <f t="shared" si="154"/>
        <v>0</v>
      </c>
      <c r="AX747">
        <f t="shared" si="155"/>
        <v>0</v>
      </c>
      <c r="AY747">
        <v>0.5</v>
      </c>
      <c r="AZ747" t="s">
        <v>60</v>
      </c>
      <c r="BA747" t="s">
        <v>61</v>
      </c>
      <c r="BB747" t="s">
        <v>8</v>
      </c>
    </row>
    <row r="748" ht="51" spans="1:54">
      <c r="A748" t="s">
        <v>2633</v>
      </c>
      <c r="B748" t="s">
        <v>2118</v>
      </c>
      <c r="C748" t="s">
        <v>56</v>
      </c>
      <c r="D748">
        <v>2</v>
      </c>
      <c r="E748">
        <v>0</v>
      </c>
      <c r="F748">
        <v>21.9</v>
      </c>
      <c r="G748" t="s">
        <v>491</v>
      </c>
      <c r="H748" s="3" t="s">
        <v>2634</v>
      </c>
      <c r="I748" s="3" t="s">
        <v>2635</v>
      </c>
      <c r="J748">
        <f t="shared" si="143"/>
        <v>0</v>
      </c>
      <c r="K748">
        <f t="shared" si="144"/>
        <v>0</v>
      </c>
      <c r="L748">
        <f t="shared" si="145"/>
        <v>0</v>
      </c>
      <c r="M748">
        <f t="shared" si="146"/>
        <v>0</v>
      </c>
      <c r="N748">
        <f t="shared" si="147"/>
        <v>1</v>
      </c>
      <c r="O748">
        <f t="shared" si="148"/>
        <v>0</v>
      </c>
      <c r="P748">
        <f t="shared" si="149"/>
        <v>0</v>
      </c>
      <c r="Q748">
        <f t="shared" si="150"/>
        <v>0</v>
      </c>
      <c r="R748">
        <v>0</v>
      </c>
      <c r="S748">
        <v>0</v>
      </c>
      <c r="T748">
        <v>0</v>
      </c>
      <c r="U748">
        <v>0</v>
      </c>
      <c r="V748">
        <v>0</v>
      </c>
      <c r="W748">
        <v>0</v>
      </c>
      <c r="X748">
        <v>0</v>
      </c>
      <c r="Y748">
        <v>0</v>
      </c>
      <c r="Z748">
        <v>0</v>
      </c>
      <c r="AA748">
        <v>0</v>
      </c>
      <c r="AB748">
        <v>0</v>
      </c>
      <c r="AC748">
        <v>0</v>
      </c>
      <c r="AD748">
        <v>0</v>
      </c>
      <c r="AE748">
        <v>0</v>
      </c>
      <c r="AF748">
        <v>0</v>
      </c>
      <c r="AG748">
        <v>0</v>
      </c>
      <c r="AH748">
        <v>1</v>
      </c>
      <c r="AI748">
        <v>0</v>
      </c>
      <c r="AJ748">
        <v>0</v>
      </c>
      <c r="AK748">
        <v>0</v>
      </c>
      <c r="AL748">
        <v>0</v>
      </c>
      <c r="AM748">
        <v>0</v>
      </c>
      <c r="AN748">
        <v>0</v>
      </c>
      <c r="AO748">
        <v>0</v>
      </c>
      <c r="AP748">
        <v>0</v>
      </c>
      <c r="AQ748">
        <v>0</v>
      </c>
      <c r="AR748">
        <v>0</v>
      </c>
      <c r="AS748">
        <f t="shared" si="151"/>
        <v>1</v>
      </c>
      <c r="AT748">
        <f t="shared" si="152"/>
        <v>1</v>
      </c>
      <c r="AU748" s="3" t="s">
        <v>129</v>
      </c>
      <c r="AV748">
        <f t="shared" si="153"/>
        <v>1</v>
      </c>
      <c r="AW748">
        <f t="shared" si="154"/>
        <v>0</v>
      </c>
      <c r="AX748">
        <f t="shared" si="155"/>
        <v>0</v>
      </c>
      <c r="AY748">
        <v>2.5</v>
      </c>
      <c r="AZ748" t="s">
        <v>60</v>
      </c>
      <c r="BA748" t="s">
        <v>61</v>
      </c>
      <c r="BB748" t="s">
        <v>8</v>
      </c>
    </row>
    <row r="749" ht="84" spans="1:54">
      <c r="A749" t="s">
        <v>2636</v>
      </c>
      <c r="B749" t="s">
        <v>2118</v>
      </c>
      <c r="C749" t="s">
        <v>56</v>
      </c>
      <c r="D749">
        <v>0</v>
      </c>
      <c r="E749">
        <v>0</v>
      </c>
      <c r="F749">
        <v>67.7</v>
      </c>
      <c r="G749" t="s">
        <v>495</v>
      </c>
      <c r="H749" s="3" t="s">
        <v>2637</v>
      </c>
      <c r="I749" s="3" t="s">
        <v>2638</v>
      </c>
      <c r="J749">
        <f t="shared" si="143"/>
        <v>0</v>
      </c>
      <c r="K749">
        <f t="shared" si="144"/>
        <v>1</v>
      </c>
      <c r="L749">
        <f t="shared" si="145"/>
        <v>0</v>
      </c>
      <c r="M749">
        <f t="shared" si="146"/>
        <v>1</v>
      </c>
      <c r="N749">
        <f t="shared" si="147"/>
        <v>1</v>
      </c>
      <c r="O749">
        <f t="shared" si="148"/>
        <v>0</v>
      </c>
      <c r="P749">
        <f t="shared" si="149"/>
        <v>0</v>
      </c>
      <c r="Q749">
        <f t="shared" si="150"/>
        <v>0</v>
      </c>
      <c r="R749">
        <v>0</v>
      </c>
      <c r="S749">
        <v>0</v>
      </c>
      <c r="T749">
        <v>0</v>
      </c>
      <c r="U749">
        <v>1</v>
      </c>
      <c r="V749">
        <v>1</v>
      </c>
      <c r="W749">
        <v>0</v>
      </c>
      <c r="X749">
        <v>0</v>
      </c>
      <c r="Y749">
        <v>0</v>
      </c>
      <c r="Z749">
        <v>0</v>
      </c>
      <c r="AA749">
        <v>0</v>
      </c>
      <c r="AB749">
        <v>0</v>
      </c>
      <c r="AC749">
        <v>0</v>
      </c>
      <c r="AD749">
        <v>1</v>
      </c>
      <c r="AE749">
        <v>0</v>
      </c>
      <c r="AF749">
        <v>0</v>
      </c>
      <c r="AG749">
        <v>0</v>
      </c>
      <c r="AH749">
        <v>1</v>
      </c>
      <c r="AI749">
        <v>0</v>
      </c>
      <c r="AJ749">
        <v>0</v>
      </c>
      <c r="AK749">
        <v>0</v>
      </c>
      <c r="AL749">
        <v>0</v>
      </c>
      <c r="AM749">
        <v>0</v>
      </c>
      <c r="AN749">
        <v>0</v>
      </c>
      <c r="AO749">
        <v>0</v>
      </c>
      <c r="AP749">
        <v>0</v>
      </c>
      <c r="AQ749">
        <v>0</v>
      </c>
      <c r="AR749">
        <v>0</v>
      </c>
      <c r="AS749">
        <f t="shared" si="151"/>
        <v>3</v>
      </c>
      <c r="AT749">
        <f t="shared" si="152"/>
        <v>4</v>
      </c>
      <c r="AU749" s="3" t="s">
        <v>2639</v>
      </c>
      <c r="AV749">
        <f t="shared" si="153"/>
        <v>1</v>
      </c>
      <c r="AW749">
        <f t="shared" si="154"/>
        <v>0</v>
      </c>
      <c r="AX749">
        <f t="shared" si="155"/>
        <v>0</v>
      </c>
      <c r="AY749">
        <v>5</v>
      </c>
      <c r="AZ749" t="s">
        <v>60</v>
      </c>
      <c r="BA749" t="s">
        <v>61</v>
      </c>
      <c r="BB749" t="s">
        <v>8</v>
      </c>
    </row>
    <row r="750" ht="409.5" spans="1:54">
      <c r="A750" t="s">
        <v>2640</v>
      </c>
      <c r="B750" t="s">
        <v>2118</v>
      </c>
      <c r="C750" t="s">
        <v>116</v>
      </c>
      <c r="D750">
        <v>4</v>
      </c>
      <c r="E750">
        <v>0</v>
      </c>
      <c r="F750">
        <v>33.9</v>
      </c>
      <c r="G750" t="s">
        <v>495</v>
      </c>
      <c r="H750" s="3" t="s">
        <v>2641</v>
      </c>
      <c r="I750" s="3" t="s">
        <v>2642</v>
      </c>
      <c r="J750">
        <f t="shared" si="143"/>
        <v>0</v>
      </c>
      <c r="K750">
        <f t="shared" si="144"/>
        <v>0</v>
      </c>
      <c r="L750">
        <f t="shared" si="145"/>
        <v>0</v>
      </c>
      <c r="M750">
        <f t="shared" si="146"/>
        <v>1</v>
      </c>
      <c r="N750">
        <f t="shared" si="147"/>
        <v>0</v>
      </c>
      <c r="O750">
        <f t="shared" si="148"/>
        <v>0</v>
      </c>
      <c r="P750">
        <f t="shared" si="149"/>
        <v>0</v>
      </c>
      <c r="Q750">
        <f t="shared" si="150"/>
        <v>0</v>
      </c>
      <c r="R750">
        <v>0</v>
      </c>
      <c r="S750">
        <v>0</v>
      </c>
      <c r="T750">
        <v>0</v>
      </c>
      <c r="U750">
        <v>0</v>
      </c>
      <c r="V750">
        <v>0</v>
      </c>
      <c r="W750">
        <v>0</v>
      </c>
      <c r="X750">
        <v>0</v>
      </c>
      <c r="Y750">
        <v>0</v>
      </c>
      <c r="Z750">
        <v>0</v>
      </c>
      <c r="AA750">
        <v>0</v>
      </c>
      <c r="AB750">
        <v>0</v>
      </c>
      <c r="AC750">
        <v>0</v>
      </c>
      <c r="AD750">
        <v>0</v>
      </c>
      <c r="AE750">
        <v>1</v>
      </c>
      <c r="AF750">
        <v>1</v>
      </c>
      <c r="AG750">
        <v>0</v>
      </c>
      <c r="AH750">
        <v>0</v>
      </c>
      <c r="AI750">
        <v>0</v>
      </c>
      <c r="AJ750">
        <v>0</v>
      </c>
      <c r="AK750">
        <v>0</v>
      </c>
      <c r="AL750">
        <v>0</v>
      </c>
      <c r="AM750">
        <v>0</v>
      </c>
      <c r="AN750">
        <v>0</v>
      </c>
      <c r="AO750">
        <v>0</v>
      </c>
      <c r="AP750">
        <v>0</v>
      </c>
      <c r="AQ750">
        <v>0</v>
      </c>
      <c r="AR750">
        <v>0</v>
      </c>
      <c r="AS750">
        <f t="shared" si="151"/>
        <v>1</v>
      </c>
      <c r="AT750">
        <f t="shared" si="152"/>
        <v>2</v>
      </c>
      <c r="AU750" s="3" t="s">
        <v>2643</v>
      </c>
      <c r="AV750">
        <f t="shared" si="153"/>
        <v>1</v>
      </c>
      <c r="AW750">
        <f t="shared" si="154"/>
        <v>0</v>
      </c>
      <c r="AX750">
        <f t="shared" si="155"/>
        <v>0</v>
      </c>
      <c r="AY750">
        <v>-2</v>
      </c>
      <c r="AZ750" t="s">
        <v>133</v>
      </c>
      <c r="BA750" t="s">
        <v>134</v>
      </c>
      <c r="BB750" t="s">
        <v>8</v>
      </c>
    </row>
    <row r="751" ht="185" spans="1:54">
      <c r="A751" t="s">
        <v>2644</v>
      </c>
      <c r="B751" t="s">
        <v>2118</v>
      </c>
      <c r="C751" t="s">
        <v>56</v>
      </c>
      <c r="D751">
        <v>0</v>
      </c>
      <c r="E751">
        <v>0</v>
      </c>
      <c r="F751">
        <v>88.1</v>
      </c>
      <c r="G751" t="s">
        <v>1717</v>
      </c>
      <c r="H751" s="3" t="s">
        <v>2645</v>
      </c>
      <c r="I751" s="3" t="s">
        <v>2646</v>
      </c>
      <c r="J751">
        <f t="shared" si="143"/>
        <v>1</v>
      </c>
      <c r="K751">
        <f t="shared" si="144"/>
        <v>1</v>
      </c>
      <c r="L751">
        <f t="shared" si="145"/>
        <v>0</v>
      </c>
      <c r="M751">
        <f t="shared" si="146"/>
        <v>1</v>
      </c>
      <c r="N751">
        <f t="shared" si="147"/>
        <v>1</v>
      </c>
      <c r="O751">
        <f t="shared" si="148"/>
        <v>1</v>
      </c>
      <c r="P751">
        <f t="shared" si="149"/>
        <v>0</v>
      </c>
      <c r="Q751">
        <f t="shared" si="150"/>
        <v>0</v>
      </c>
      <c r="R751">
        <v>1</v>
      </c>
      <c r="S751">
        <v>0</v>
      </c>
      <c r="T751">
        <v>0</v>
      </c>
      <c r="U751">
        <v>1</v>
      </c>
      <c r="V751">
        <v>1</v>
      </c>
      <c r="W751">
        <v>1</v>
      </c>
      <c r="X751">
        <v>0</v>
      </c>
      <c r="Y751">
        <v>0</v>
      </c>
      <c r="Z751">
        <v>0</v>
      </c>
      <c r="AA751">
        <v>0</v>
      </c>
      <c r="AB751">
        <v>0</v>
      </c>
      <c r="AC751">
        <v>0</v>
      </c>
      <c r="AD751">
        <v>1</v>
      </c>
      <c r="AE751">
        <v>0</v>
      </c>
      <c r="AF751">
        <v>0</v>
      </c>
      <c r="AG751">
        <v>0</v>
      </c>
      <c r="AH751">
        <v>1</v>
      </c>
      <c r="AI751">
        <v>1</v>
      </c>
      <c r="AJ751">
        <v>0</v>
      </c>
      <c r="AK751">
        <v>0</v>
      </c>
      <c r="AL751">
        <v>0</v>
      </c>
      <c r="AM751">
        <v>0</v>
      </c>
      <c r="AN751">
        <v>0</v>
      </c>
      <c r="AO751">
        <v>0</v>
      </c>
      <c r="AP751">
        <v>0</v>
      </c>
      <c r="AQ751">
        <v>0</v>
      </c>
      <c r="AR751">
        <v>0</v>
      </c>
      <c r="AS751">
        <f t="shared" si="151"/>
        <v>5</v>
      </c>
      <c r="AT751">
        <f t="shared" si="152"/>
        <v>7</v>
      </c>
      <c r="AU751" s="3" t="s">
        <v>2647</v>
      </c>
      <c r="AV751">
        <f t="shared" si="153"/>
        <v>1</v>
      </c>
      <c r="AW751">
        <f t="shared" si="154"/>
        <v>0</v>
      </c>
      <c r="AX751">
        <f t="shared" si="155"/>
        <v>0</v>
      </c>
      <c r="AY751">
        <v>22.5</v>
      </c>
      <c r="AZ751" t="s">
        <v>60</v>
      </c>
      <c r="BA751" t="s">
        <v>61</v>
      </c>
      <c r="BB751" t="s">
        <v>8</v>
      </c>
    </row>
    <row r="752" ht="135" spans="1:54">
      <c r="A752" t="s">
        <v>2648</v>
      </c>
      <c r="B752" t="s">
        <v>2118</v>
      </c>
      <c r="C752" t="s">
        <v>56</v>
      </c>
      <c r="D752">
        <v>0</v>
      </c>
      <c r="E752">
        <v>1</v>
      </c>
      <c r="F752">
        <v>66</v>
      </c>
      <c r="G752" t="s">
        <v>1717</v>
      </c>
      <c r="H752" s="3" t="s">
        <v>2649</v>
      </c>
      <c r="I752" s="3" t="s">
        <v>2650</v>
      </c>
      <c r="J752">
        <f t="shared" si="143"/>
        <v>0</v>
      </c>
      <c r="K752">
        <f t="shared" si="144"/>
        <v>1</v>
      </c>
      <c r="L752">
        <f t="shared" si="145"/>
        <v>1</v>
      </c>
      <c r="M752">
        <f t="shared" si="146"/>
        <v>0</v>
      </c>
      <c r="N752">
        <f t="shared" si="147"/>
        <v>1</v>
      </c>
      <c r="O752">
        <f t="shared" si="148"/>
        <v>0</v>
      </c>
      <c r="P752">
        <f t="shared" si="149"/>
        <v>0</v>
      </c>
      <c r="Q752">
        <f t="shared" si="150"/>
        <v>0</v>
      </c>
      <c r="R752">
        <v>0</v>
      </c>
      <c r="S752">
        <v>0</v>
      </c>
      <c r="T752">
        <v>0</v>
      </c>
      <c r="U752">
        <v>1</v>
      </c>
      <c r="V752">
        <v>1</v>
      </c>
      <c r="W752">
        <v>1</v>
      </c>
      <c r="X752">
        <v>0</v>
      </c>
      <c r="Y752">
        <v>0</v>
      </c>
      <c r="Z752">
        <v>1</v>
      </c>
      <c r="AA752">
        <v>0</v>
      </c>
      <c r="AB752">
        <v>1</v>
      </c>
      <c r="AC752">
        <v>1</v>
      </c>
      <c r="AD752">
        <v>0</v>
      </c>
      <c r="AE752">
        <v>0</v>
      </c>
      <c r="AF752">
        <v>0</v>
      </c>
      <c r="AG752">
        <v>0</v>
      </c>
      <c r="AH752">
        <v>1</v>
      </c>
      <c r="AI752">
        <v>0</v>
      </c>
      <c r="AJ752">
        <v>0</v>
      </c>
      <c r="AK752">
        <v>0</v>
      </c>
      <c r="AL752">
        <v>0</v>
      </c>
      <c r="AM752">
        <v>0</v>
      </c>
      <c r="AN752">
        <v>0</v>
      </c>
      <c r="AO752">
        <v>0</v>
      </c>
      <c r="AP752">
        <v>0</v>
      </c>
      <c r="AQ752">
        <v>0</v>
      </c>
      <c r="AR752">
        <v>0</v>
      </c>
      <c r="AS752">
        <f t="shared" si="151"/>
        <v>3</v>
      </c>
      <c r="AT752">
        <f t="shared" si="152"/>
        <v>7</v>
      </c>
      <c r="AU752" s="3" t="s">
        <v>2651</v>
      </c>
      <c r="AV752">
        <f t="shared" si="153"/>
        <v>1</v>
      </c>
      <c r="AW752">
        <f t="shared" si="154"/>
        <v>0</v>
      </c>
      <c r="AX752">
        <f t="shared" si="155"/>
        <v>0</v>
      </c>
      <c r="AY752">
        <v>12</v>
      </c>
      <c r="AZ752" t="s">
        <v>60</v>
      </c>
      <c r="BA752" t="s">
        <v>61</v>
      </c>
      <c r="BB752" t="s">
        <v>8</v>
      </c>
    </row>
    <row r="753" ht="101" spans="1:54">
      <c r="A753" t="s">
        <v>2652</v>
      </c>
      <c r="B753" t="s">
        <v>2118</v>
      </c>
      <c r="C753" t="s">
        <v>56</v>
      </c>
      <c r="D753">
        <v>17</v>
      </c>
      <c r="E753">
        <v>1</v>
      </c>
      <c r="F753">
        <v>105.6</v>
      </c>
      <c r="G753" t="s">
        <v>2653</v>
      </c>
      <c r="H753" s="3" t="s">
        <v>2654</v>
      </c>
      <c r="I753" s="3" t="s">
        <v>2655</v>
      </c>
      <c r="J753">
        <f t="shared" si="143"/>
        <v>0</v>
      </c>
      <c r="K753">
        <f t="shared" si="144"/>
        <v>1</v>
      </c>
      <c r="L753">
        <f t="shared" si="145"/>
        <v>1</v>
      </c>
      <c r="M753">
        <f t="shared" si="146"/>
        <v>0</v>
      </c>
      <c r="N753">
        <f t="shared" si="147"/>
        <v>1</v>
      </c>
      <c r="O753">
        <f t="shared" si="148"/>
        <v>1</v>
      </c>
      <c r="P753">
        <f t="shared" si="149"/>
        <v>1</v>
      </c>
      <c r="Q753">
        <f t="shared" si="150"/>
        <v>0</v>
      </c>
      <c r="R753">
        <v>0</v>
      </c>
      <c r="S753">
        <v>0</v>
      </c>
      <c r="T753">
        <v>0</v>
      </c>
      <c r="U753">
        <v>0</v>
      </c>
      <c r="V753">
        <v>1</v>
      </c>
      <c r="W753">
        <v>0</v>
      </c>
      <c r="X753">
        <v>0</v>
      </c>
      <c r="Y753">
        <v>0</v>
      </c>
      <c r="Z753">
        <v>1</v>
      </c>
      <c r="AA753">
        <v>0</v>
      </c>
      <c r="AB753">
        <v>0</v>
      </c>
      <c r="AC753">
        <v>0</v>
      </c>
      <c r="AD753">
        <v>0</v>
      </c>
      <c r="AE753">
        <v>0</v>
      </c>
      <c r="AF753">
        <v>0</v>
      </c>
      <c r="AG753">
        <v>0</v>
      </c>
      <c r="AH753">
        <v>1</v>
      </c>
      <c r="AI753">
        <v>1</v>
      </c>
      <c r="AJ753">
        <v>0</v>
      </c>
      <c r="AK753">
        <v>0</v>
      </c>
      <c r="AL753">
        <v>0</v>
      </c>
      <c r="AM753">
        <v>0</v>
      </c>
      <c r="AN753">
        <v>0</v>
      </c>
      <c r="AO753">
        <v>0</v>
      </c>
      <c r="AP753">
        <v>1</v>
      </c>
      <c r="AQ753">
        <v>0</v>
      </c>
      <c r="AR753">
        <v>0</v>
      </c>
      <c r="AS753">
        <f t="shared" si="151"/>
        <v>5</v>
      </c>
      <c r="AT753">
        <f t="shared" si="152"/>
        <v>5</v>
      </c>
      <c r="AU753" s="3" t="s">
        <v>2656</v>
      </c>
      <c r="AV753">
        <f t="shared" si="153"/>
        <v>1</v>
      </c>
      <c r="AW753">
        <f t="shared" si="154"/>
        <v>0</v>
      </c>
      <c r="AX753">
        <f t="shared" si="155"/>
        <v>0</v>
      </c>
      <c r="AY753">
        <v>8.5</v>
      </c>
      <c r="AZ753" t="s">
        <v>60</v>
      </c>
      <c r="BA753" t="s">
        <v>61</v>
      </c>
      <c r="BB753" t="s">
        <v>8</v>
      </c>
    </row>
    <row r="754" ht="51" spans="1:54">
      <c r="A754" t="s">
        <v>2657</v>
      </c>
      <c r="B754" t="s">
        <v>2118</v>
      </c>
      <c r="C754" t="s">
        <v>56</v>
      </c>
      <c r="D754">
        <v>0</v>
      </c>
      <c r="E754">
        <v>0</v>
      </c>
      <c r="F754">
        <v>180.5</v>
      </c>
      <c r="G754" t="s">
        <v>1724</v>
      </c>
      <c r="H754" s="3" t="s">
        <v>2658</v>
      </c>
      <c r="I754" s="3" t="s">
        <v>2659</v>
      </c>
      <c r="J754">
        <f t="shared" si="143"/>
        <v>1</v>
      </c>
      <c r="K754">
        <f t="shared" si="144"/>
        <v>1</v>
      </c>
      <c r="L754">
        <f t="shared" si="145"/>
        <v>0</v>
      </c>
      <c r="M754">
        <f t="shared" si="146"/>
        <v>0</v>
      </c>
      <c r="N754">
        <f t="shared" si="147"/>
        <v>0</v>
      </c>
      <c r="O754">
        <f t="shared" si="148"/>
        <v>0</v>
      </c>
      <c r="P754">
        <f t="shared" si="149"/>
        <v>0</v>
      </c>
      <c r="Q754">
        <f t="shared" si="150"/>
        <v>0</v>
      </c>
      <c r="R754">
        <v>1</v>
      </c>
      <c r="S754">
        <v>0</v>
      </c>
      <c r="T754">
        <v>0</v>
      </c>
      <c r="U754">
        <v>1</v>
      </c>
      <c r="V754">
        <v>0</v>
      </c>
      <c r="W754">
        <v>1</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f t="shared" si="151"/>
        <v>2</v>
      </c>
      <c r="AT754">
        <f t="shared" si="152"/>
        <v>3</v>
      </c>
      <c r="AU754" s="3" t="s">
        <v>2660</v>
      </c>
      <c r="AV754">
        <f t="shared" si="153"/>
        <v>1</v>
      </c>
      <c r="AW754">
        <f t="shared" si="154"/>
        <v>0</v>
      </c>
      <c r="AX754">
        <f t="shared" si="155"/>
        <v>0</v>
      </c>
      <c r="AY754">
        <v>0</v>
      </c>
      <c r="AZ754" t="s">
        <v>147</v>
      </c>
      <c r="BA754" t="s">
        <v>148</v>
      </c>
      <c r="BB754" t="s">
        <v>8</v>
      </c>
    </row>
    <row r="755" ht="51" spans="1:54">
      <c r="A755" t="s">
        <v>2661</v>
      </c>
      <c r="B755" t="s">
        <v>2118</v>
      </c>
      <c r="C755" t="s">
        <v>56</v>
      </c>
      <c r="D755">
        <v>0</v>
      </c>
      <c r="E755">
        <v>0</v>
      </c>
      <c r="F755">
        <v>53.4</v>
      </c>
      <c r="G755" t="s">
        <v>219</v>
      </c>
      <c r="H755" s="3" t="s">
        <v>2662</v>
      </c>
      <c r="I755" s="3" t="s">
        <v>2663</v>
      </c>
      <c r="J755">
        <f t="shared" si="143"/>
        <v>0</v>
      </c>
      <c r="K755">
        <f t="shared" si="144"/>
        <v>0</v>
      </c>
      <c r="L755">
        <f t="shared" si="145"/>
        <v>0</v>
      </c>
      <c r="M755">
        <f t="shared" si="146"/>
        <v>0</v>
      </c>
      <c r="N755">
        <f t="shared" si="147"/>
        <v>0</v>
      </c>
      <c r="O755">
        <f t="shared" si="148"/>
        <v>0</v>
      </c>
      <c r="P755">
        <f t="shared" si="149"/>
        <v>0</v>
      </c>
      <c r="Q755">
        <f t="shared" si="150"/>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c r="AR755">
        <v>0</v>
      </c>
      <c r="AS755">
        <f t="shared" si="151"/>
        <v>0</v>
      </c>
      <c r="AT755">
        <f t="shared" si="152"/>
        <v>0</v>
      </c>
      <c r="AU755" s="3" t="s">
        <v>118</v>
      </c>
      <c r="AV755">
        <f t="shared" si="153"/>
        <v>0</v>
      </c>
      <c r="AW755">
        <f t="shared" si="154"/>
        <v>1</v>
      </c>
      <c r="AX755">
        <f t="shared" si="155"/>
        <v>0</v>
      </c>
      <c r="AY755">
        <v>0.5</v>
      </c>
      <c r="AZ755" t="s">
        <v>60</v>
      </c>
      <c r="BA755" t="s">
        <v>61</v>
      </c>
      <c r="BB755" t="s">
        <v>8</v>
      </c>
    </row>
    <row r="756" ht="101" spans="1:54">
      <c r="A756" t="s">
        <v>2664</v>
      </c>
      <c r="B756" t="s">
        <v>2118</v>
      </c>
      <c r="C756" t="s">
        <v>56</v>
      </c>
      <c r="D756">
        <v>3</v>
      </c>
      <c r="E756">
        <v>0</v>
      </c>
      <c r="F756">
        <v>55.5</v>
      </c>
      <c r="G756" t="s">
        <v>219</v>
      </c>
      <c r="H756" s="3" t="s">
        <v>2665</v>
      </c>
      <c r="I756" s="3" t="s">
        <v>2666</v>
      </c>
      <c r="J756">
        <f t="shared" si="143"/>
        <v>1</v>
      </c>
      <c r="K756">
        <f t="shared" si="144"/>
        <v>1</v>
      </c>
      <c r="L756">
        <f t="shared" si="145"/>
        <v>1</v>
      </c>
      <c r="M756">
        <f t="shared" si="146"/>
        <v>0</v>
      </c>
      <c r="N756">
        <f t="shared" si="147"/>
        <v>1</v>
      </c>
      <c r="O756">
        <f t="shared" si="148"/>
        <v>1</v>
      </c>
      <c r="P756">
        <f t="shared" si="149"/>
        <v>0</v>
      </c>
      <c r="Q756">
        <f t="shared" si="150"/>
        <v>0</v>
      </c>
      <c r="R756">
        <v>1</v>
      </c>
      <c r="S756">
        <v>0</v>
      </c>
      <c r="T756">
        <v>1</v>
      </c>
      <c r="U756">
        <v>0</v>
      </c>
      <c r="V756">
        <v>0</v>
      </c>
      <c r="W756">
        <v>1</v>
      </c>
      <c r="X756">
        <v>0</v>
      </c>
      <c r="Y756">
        <v>0</v>
      </c>
      <c r="Z756">
        <v>0</v>
      </c>
      <c r="AA756">
        <v>0</v>
      </c>
      <c r="AB756">
        <v>1</v>
      </c>
      <c r="AC756">
        <v>0</v>
      </c>
      <c r="AD756">
        <v>0</v>
      </c>
      <c r="AE756">
        <v>0</v>
      </c>
      <c r="AF756">
        <v>0</v>
      </c>
      <c r="AG756">
        <v>1</v>
      </c>
      <c r="AH756">
        <v>0</v>
      </c>
      <c r="AI756">
        <v>0</v>
      </c>
      <c r="AJ756">
        <v>0</v>
      </c>
      <c r="AK756">
        <v>1</v>
      </c>
      <c r="AL756">
        <v>0</v>
      </c>
      <c r="AM756">
        <v>0</v>
      </c>
      <c r="AN756">
        <v>0</v>
      </c>
      <c r="AO756">
        <v>0</v>
      </c>
      <c r="AP756">
        <v>0</v>
      </c>
      <c r="AQ756">
        <v>0</v>
      </c>
      <c r="AR756">
        <v>0</v>
      </c>
      <c r="AS756">
        <f t="shared" si="151"/>
        <v>5</v>
      </c>
      <c r="AT756">
        <f t="shared" si="152"/>
        <v>6</v>
      </c>
      <c r="AU756" s="3" t="s">
        <v>2667</v>
      </c>
      <c r="AV756">
        <f t="shared" si="153"/>
        <v>1</v>
      </c>
      <c r="AW756">
        <f t="shared" si="154"/>
        <v>0</v>
      </c>
      <c r="AX756">
        <f t="shared" si="155"/>
        <v>0</v>
      </c>
      <c r="AY756">
        <v>7.5</v>
      </c>
      <c r="AZ756" t="s">
        <v>60</v>
      </c>
      <c r="BA756" t="s">
        <v>61</v>
      </c>
      <c r="BB756" t="s">
        <v>8</v>
      </c>
    </row>
    <row r="757" ht="202" spans="1:54">
      <c r="A757" t="s">
        <v>2668</v>
      </c>
      <c r="B757" t="s">
        <v>2118</v>
      </c>
      <c r="C757" t="s">
        <v>56</v>
      </c>
      <c r="D757">
        <v>0</v>
      </c>
      <c r="E757">
        <v>0</v>
      </c>
      <c r="F757">
        <v>121.2</v>
      </c>
      <c r="G757" t="s">
        <v>219</v>
      </c>
      <c r="H757" s="3" t="s">
        <v>2669</v>
      </c>
      <c r="I757" s="3" t="s">
        <v>2670</v>
      </c>
      <c r="J757">
        <f t="shared" si="143"/>
        <v>1</v>
      </c>
      <c r="K757">
        <f t="shared" si="144"/>
        <v>0</v>
      </c>
      <c r="L757">
        <f t="shared" si="145"/>
        <v>1</v>
      </c>
      <c r="M757">
        <f t="shared" si="146"/>
        <v>1</v>
      </c>
      <c r="N757">
        <f t="shared" si="147"/>
        <v>0</v>
      </c>
      <c r="O757">
        <f t="shared" si="148"/>
        <v>0</v>
      </c>
      <c r="P757">
        <f t="shared" si="149"/>
        <v>1</v>
      </c>
      <c r="Q757">
        <f t="shared" si="150"/>
        <v>0</v>
      </c>
      <c r="R757">
        <v>0</v>
      </c>
      <c r="S757">
        <v>1</v>
      </c>
      <c r="T757">
        <v>0</v>
      </c>
      <c r="U757">
        <v>0</v>
      </c>
      <c r="V757">
        <v>0</v>
      </c>
      <c r="W757">
        <v>0</v>
      </c>
      <c r="X757">
        <v>0</v>
      </c>
      <c r="Y757">
        <v>0</v>
      </c>
      <c r="Z757">
        <v>1</v>
      </c>
      <c r="AA757">
        <v>0</v>
      </c>
      <c r="AB757">
        <v>0</v>
      </c>
      <c r="AC757">
        <v>1</v>
      </c>
      <c r="AD757">
        <v>0</v>
      </c>
      <c r="AE757">
        <v>0</v>
      </c>
      <c r="AF757">
        <v>1</v>
      </c>
      <c r="AG757">
        <v>0</v>
      </c>
      <c r="AH757">
        <v>0</v>
      </c>
      <c r="AI757">
        <v>0</v>
      </c>
      <c r="AJ757">
        <v>0</v>
      </c>
      <c r="AK757">
        <v>0</v>
      </c>
      <c r="AL757">
        <v>0</v>
      </c>
      <c r="AM757">
        <v>0</v>
      </c>
      <c r="AN757">
        <v>0</v>
      </c>
      <c r="AO757">
        <v>1</v>
      </c>
      <c r="AP757">
        <v>0</v>
      </c>
      <c r="AQ757">
        <v>0</v>
      </c>
      <c r="AR757">
        <v>0</v>
      </c>
      <c r="AS757">
        <f t="shared" si="151"/>
        <v>4</v>
      </c>
      <c r="AT757">
        <f t="shared" si="152"/>
        <v>5</v>
      </c>
      <c r="AU757" s="3" t="s">
        <v>2671</v>
      </c>
      <c r="AV757">
        <f t="shared" si="153"/>
        <v>1</v>
      </c>
      <c r="AW757">
        <f t="shared" si="154"/>
        <v>0</v>
      </c>
      <c r="AX757">
        <f t="shared" si="155"/>
        <v>0</v>
      </c>
      <c r="AY757">
        <v>5</v>
      </c>
      <c r="AZ757" t="s">
        <v>60</v>
      </c>
      <c r="BA757" t="s">
        <v>61</v>
      </c>
      <c r="BB757" t="s">
        <v>8</v>
      </c>
    </row>
    <row r="758" ht="135" spans="1:54">
      <c r="A758" t="s">
        <v>2672</v>
      </c>
      <c r="B758" t="s">
        <v>2118</v>
      </c>
      <c r="C758" t="s">
        <v>56</v>
      </c>
      <c r="D758">
        <v>19</v>
      </c>
      <c r="E758">
        <v>1</v>
      </c>
      <c r="F758">
        <v>60.4</v>
      </c>
      <c r="G758" t="s">
        <v>219</v>
      </c>
      <c r="H758" s="3" t="s">
        <v>2673</v>
      </c>
      <c r="I758" s="3" t="s">
        <v>2674</v>
      </c>
      <c r="J758">
        <f t="shared" si="143"/>
        <v>0</v>
      </c>
      <c r="K758">
        <f t="shared" si="144"/>
        <v>1</v>
      </c>
      <c r="L758">
        <f t="shared" si="145"/>
        <v>0</v>
      </c>
      <c r="M758">
        <f t="shared" si="146"/>
        <v>1</v>
      </c>
      <c r="N758">
        <f t="shared" si="147"/>
        <v>0</v>
      </c>
      <c r="O758">
        <f t="shared" si="148"/>
        <v>0</v>
      </c>
      <c r="P758">
        <f t="shared" si="149"/>
        <v>0</v>
      </c>
      <c r="Q758">
        <f t="shared" si="150"/>
        <v>0</v>
      </c>
      <c r="R758">
        <v>0</v>
      </c>
      <c r="S758">
        <v>0</v>
      </c>
      <c r="T758">
        <v>0</v>
      </c>
      <c r="U758">
        <v>0</v>
      </c>
      <c r="V758">
        <v>0</v>
      </c>
      <c r="W758">
        <v>1</v>
      </c>
      <c r="X758">
        <v>0</v>
      </c>
      <c r="Y758">
        <v>0</v>
      </c>
      <c r="Z758">
        <v>0</v>
      </c>
      <c r="AA758">
        <v>0</v>
      </c>
      <c r="AB758">
        <v>0</v>
      </c>
      <c r="AC758">
        <v>0</v>
      </c>
      <c r="AD758">
        <v>1</v>
      </c>
      <c r="AE758">
        <v>0</v>
      </c>
      <c r="AF758">
        <v>0</v>
      </c>
      <c r="AG758">
        <v>0</v>
      </c>
      <c r="AH758">
        <v>0</v>
      </c>
      <c r="AI758">
        <v>0</v>
      </c>
      <c r="AJ758">
        <v>0</v>
      </c>
      <c r="AK758">
        <v>0</v>
      </c>
      <c r="AL758">
        <v>0</v>
      </c>
      <c r="AM758">
        <v>0</v>
      </c>
      <c r="AN758">
        <v>0</v>
      </c>
      <c r="AO758">
        <v>0</v>
      </c>
      <c r="AP758">
        <v>0</v>
      </c>
      <c r="AQ758">
        <v>0</v>
      </c>
      <c r="AR758">
        <v>0</v>
      </c>
      <c r="AS758">
        <f t="shared" si="151"/>
        <v>2</v>
      </c>
      <c r="AT758">
        <f t="shared" si="152"/>
        <v>2</v>
      </c>
      <c r="AU758" s="3" t="s">
        <v>2675</v>
      </c>
      <c r="AV758">
        <f t="shared" si="153"/>
        <v>1</v>
      </c>
      <c r="AW758">
        <f t="shared" si="154"/>
        <v>0</v>
      </c>
      <c r="AX758">
        <f t="shared" si="155"/>
        <v>0</v>
      </c>
      <c r="AY758">
        <v>7</v>
      </c>
      <c r="AZ758" t="s">
        <v>60</v>
      </c>
      <c r="BA758" t="s">
        <v>61</v>
      </c>
      <c r="BB758" t="s">
        <v>8</v>
      </c>
    </row>
    <row r="759" ht="202" spans="1:54">
      <c r="A759" t="s">
        <v>2676</v>
      </c>
      <c r="B759" t="s">
        <v>2118</v>
      </c>
      <c r="C759" t="s">
        <v>116</v>
      </c>
      <c r="D759">
        <v>0</v>
      </c>
      <c r="E759">
        <v>0</v>
      </c>
      <c r="F759">
        <v>101</v>
      </c>
      <c r="G759" t="s">
        <v>219</v>
      </c>
      <c r="H759" s="3" t="s">
        <v>2677</v>
      </c>
      <c r="I759" s="3" t="s">
        <v>2678</v>
      </c>
      <c r="J759">
        <f t="shared" si="143"/>
        <v>1</v>
      </c>
      <c r="K759">
        <f t="shared" si="144"/>
        <v>1</v>
      </c>
      <c r="L759">
        <f t="shared" si="145"/>
        <v>1</v>
      </c>
      <c r="M759">
        <f t="shared" si="146"/>
        <v>0</v>
      </c>
      <c r="N759">
        <f t="shared" si="147"/>
        <v>1</v>
      </c>
      <c r="O759">
        <f t="shared" si="148"/>
        <v>1</v>
      </c>
      <c r="P759">
        <f t="shared" si="149"/>
        <v>0</v>
      </c>
      <c r="Q759">
        <f t="shared" si="150"/>
        <v>0</v>
      </c>
      <c r="R759">
        <v>1</v>
      </c>
      <c r="S759">
        <v>0</v>
      </c>
      <c r="T759">
        <v>0</v>
      </c>
      <c r="U759">
        <v>0</v>
      </c>
      <c r="V759">
        <v>1</v>
      </c>
      <c r="W759">
        <v>0</v>
      </c>
      <c r="X759">
        <v>0</v>
      </c>
      <c r="Y759">
        <v>0</v>
      </c>
      <c r="Z759">
        <v>0</v>
      </c>
      <c r="AA759">
        <v>1</v>
      </c>
      <c r="AB759">
        <v>0</v>
      </c>
      <c r="AC759">
        <v>0</v>
      </c>
      <c r="AD759">
        <v>0</v>
      </c>
      <c r="AE759">
        <v>0</v>
      </c>
      <c r="AF759">
        <v>0</v>
      </c>
      <c r="AG759">
        <v>0</v>
      </c>
      <c r="AH759">
        <v>1</v>
      </c>
      <c r="AI759">
        <v>1</v>
      </c>
      <c r="AJ759">
        <v>0</v>
      </c>
      <c r="AK759">
        <v>0</v>
      </c>
      <c r="AL759">
        <v>0</v>
      </c>
      <c r="AM759">
        <v>0</v>
      </c>
      <c r="AN759">
        <v>0</v>
      </c>
      <c r="AO759">
        <v>0</v>
      </c>
      <c r="AP759">
        <v>0</v>
      </c>
      <c r="AQ759">
        <v>0</v>
      </c>
      <c r="AR759">
        <v>0</v>
      </c>
      <c r="AS759">
        <f t="shared" si="151"/>
        <v>5</v>
      </c>
      <c r="AT759">
        <f t="shared" si="152"/>
        <v>5</v>
      </c>
      <c r="AU759" s="3" t="s">
        <v>2679</v>
      </c>
      <c r="AV759">
        <f t="shared" si="153"/>
        <v>1</v>
      </c>
      <c r="AW759">
        <f t="shared" si="154"/>
        <v>0</v>
      </c>
      <c r="AX759">
        <f t="shared" si="155"/>
        <v>0</v>
      </c>
      <c r="AY759">
        <v>-1</v>
      </c>
      <c r="AZ759" t="s">
        <v>133</v>
      </c>
      <c r="BA759" t="s">
        <v>134</v>
      </c>
      <c r="BB759" t="s">
        <v>8</v>
      </c>
    </row>
    <row r="760" ht="135" spans="1:54">
      <c r="A760" t="s">
        <v>2680</v>
      </c>
      <c r="B760" t="s">
        <v>2118</v>
      </c>
      <c r="C760" t="s">
        <v>56</v>
      </c>
      <c r="D760">
        <v>0</v>
      </c>
      <c r="E760">
        <v>0</v>
      </c>
      <c r="F760">
        <v>52.6</v>
      </c>
      <c r="G760" t="s">
        <v>219</v>
      </c>
      <c r="H760" s="3" t="s">
        <v>2681</v>
      </c>
      <c r="I760" s="3" t="s">
        <v>2682</v>
      </c>
      <c r="J760">
        <f t="shared" si="143"/>
        <v>0</v>
      </c>
      <c r="K760">
        <f t="shared" si="144"/>
        <v>1</v>
      </c>
      <c r="L760">
        <f t="shared" si="145"/>
        <v>0</v>
      </c>
      <c r="M760">
        <f t="shared" si="146"/>
        <v>0</v>
      </c>
      <c r="N760">
        <f t="shared" si="147"/>
        <v>0</v>
      </c>
      <c r="O760">
        <f t="shared" si="148"/>
        <v>0</v>
      </c>
      <c r="P760">
        <f t="shared" si="149"/>
        <v>0</v>
      </c>
      <c r="Q760">
        <f t="shared" si="150"/>
        <v>0</v>
      </c>
      <c r="R760">
        <v>0</v>
      </c>
      <c r="S760">
        <v>0</v>
      </c>
      <c r="T760">
        <v>0</v>
      </c>
      <c r="U760">
        <v>0</v>
      </c>
      <c r="V760">
        <v>1</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f t="shared" si="151"/>
        <v>1</v>
      </c>
      <c r="AT760">
        <f t="shared" si="152"/>
        <v>1</v>
      </c>
      <c r="AU760" s="3" t="s">
        <v>845</v>
      </c>
      <c r="AV760">
        <f t="shared" si="153"/>
        <v>1</v>
      </c>
      <c r="AW760">
        <f t="shared" si="154"/>
        <v>0</v>
      </c>
      <c r="AX760">
        <f t="shared" si="155"/>
        <v>0</v>
      </c>
      <c r="AY760">
        <v>-2.5</v>
      </c>
      <c r="AZ760" t="s">
        <v>133</v>
      </c>
      <c r="BA760" t="s">
        <v>134</v>
      </c>
      <c r="BB760" t="s">
        <v>8</v>
      </c>
    </row>
    <row r="761" ht="118" spans="1:54">
      <c r="A761" t="s">
        <v>2683</v>
      </c>
      <c r="B761" t="s">
        <v>2118</v>
      </c>
      <c r="C761" t="s">
        <v>56</v>
      </c>
      <c r="D761">
        <v>0</v>
      </c>
      <c r="E761">
        <v>0</v>
      </c>
      <c r="F761">
        <v>9.4</v>
      </c>
      <c r="G761" t="s">
        <v>219</v>
      </c>
      <c r="H761" s="3" t="s">
        <v>2684</v>
      </c>
      <c r="I761" s="3" t="s">
        <v>2685</v>
      </c>
      <c r="J761">
        <f t="shared" si="143"/>
        <v>1</v>
      </c>
      <c r="K761">
        <f t="shared" si="144"/>
        <v>1</v>
      </c>
      <c r="L761">
        <f t="shared" si="145"/>
        <v>1</v>
      </c>
      <c r="M761">
        <f t="shared" si="146"/>
        <v>0</v>
      </c>
      <c r="N761">
        <f t="shared" si="147"/>
        <v>1</v>
      </c>
      <c r="O761">
        <f t="shared" si="148"/>
        <v>0</v>
      </c>
      <c r="P761">
        <f t="shared" si="149"/>
        <v>0</v>
      </c>
      <c r="Q761">
        <f t="shared" si="150"/>
        <v>0</v>
      </c>
      <c r="R761">
        <v>1</v>
      </c>
      <c r="S761">
        <v>0</v>
      </c>
      <c r="T761">
        <v>0</v>
      </c>
      <c r="U761">
        <v>0</v>
      </c>
      <c r="V761">
        <v>1</v>
      </c>
      <c r="W761">
        <v>1</v>
      </c>
      <c r="X761">
        <v>0</v>
      </c>
      <c r="Y761">
        <v>0</v>
      </c>
      <c r="Z761">
        <v>1</v>
      </c>
      <c r="AA761">
        <v>0</v>
      </c>
      <c r="AB761">
        <v>0</v>
      </c>
      <c r="AC761">
        <v>0</v>
      </c>
      <c r="AD761">
        <v>0</v>
      </c>
      <c r="AE761">
        <v>0</v>
      </c>
      <c r="AF761">
        <v>0</v>
      </c>
      <c r="AG761">
        <v>1</v>
      </c>
      <c r="AH761">
        <v>1</v>
      </c>
      <c r="AI761">
        <v>0</v>
      </c>
      <c r="AJ761">
        <v>0</v>
      </c>
      <c r="AK761">
        <v>0</v>
      </c>
      <c r="AL761">
        <v>0</v>
      </c>
      <c r="AM761">
        <v>0</v>
      </c>
      <c r="AN761">
        <v>0</v>
      </c>
      <c r="AO761">
        <v>0</v>
      </c>
      <c r="AP761">
        <v>0</v>
      </c>
      <c r="AQ761">
        <v>0</v>
      </c>
      <c r="AR761">
        <v>0</v>
      </c>
      <c r="AS761">
        <f t="shared" si="151"/>
        <v>4</v>
      </c>
      <c r="AT761">
        <f t="shared" si="152"/>
        <v>6</v>
      </c>
      <c r="AU761" s="3" t="s">
        <v>2686</v>
      </c>
      <c r="AV761">
        <f t="shared" si="153"/>
        <v>1</v>
      </c>
      <c r="AW761">
        <f t="shared" si="154"/>
        <v>0</v>
      </c>
      <c r="AX761">
        <f t="shared" si="155"/>
        <v>0</v>
      </c>
      <c r="AY761">
        <v>1.5</v>
      </c>
      <c r="AZ761" t="s">
        <v>60</v>
      </c>
      <c r="BA761" t="s">
        <v>61</v>
      </c>
      <c r="BB761" t="s">
        <v>8</v>
      </c>
    </row>
    <row r="762" ht="51" spans="1:54">
      <c r="A762" t="s">
        <v>2687</v>
      </c>
      <c r="B762" t="s">
        <v>2118</v>
      </c>
      <c r="C762" t="s">
        <v>56</v>
      </c>
      <c r="D762">
        <v>2</v>
      </c>
      <c r="E762">
        <v>0</v>
      </c>
      <c r="F762">
        <v>58</v>
      </c>
      <c r="G762" t="s">
        <v>219</v>
      </c>
      <c r="H762" s="3" t="s">
        <v>2688</v>
      </c>
      <c r="I762" s="3" t="s">
        <v>2689</v>
      </c>
      <c r="J762">
        <f t="shared" si="143"/>
        <v>0</v>
      </c>
      <c r="K762">
        <f t="shared" si="144"/>
        <v>1</v>
      </c>
      <c r="L762">
        <f t="shared" si="145"/>
        <v>0</v>
      </c>
      <c r="M762">
        <f t="shared" si="146"/>
        <v>0</v>
      </c>
      <c r="N762">
        <f t="shared" si="147"/>
        <v>1</v>
      </c>
      <c r="O762">
        <f t="shared" si="148"/>
        <v>0</v>
      </c>
      <c r="P762">
        <f t="shared" si="149"/>
        <v>0</v>
      </c>
      <c r="Q762">
        <f t="shared" si="150"/>
        <v>0</v>
      </c>
      <c r="R762">
        <v>0</v>
      </c>
      <c r="S762">
        <v>0</v>
      </c>
      <c r="T762">
        <v>0</v>
      </c>
      <c r="U762">
        <v>0</v>
      </c>
      <c r="V762">
        <v>1</v>
      </c>
      <c r="W762">
        <v>0</v>
      </c>
      <c r="X762">
        <v>0</v>
      </c>
      <c r="Y762">
        <v>0</v>
      </c>
      <c r="Z762">
        <v>0</v>
      </c>
      <c r="AA762">
        <v>0</v>
      </c>
      <c r="AB762">
        <v>0</v>
      </c>
      <c r="AC762">
        <v>0</v>
      </c>
      <c r="AD762">
        <v>0</v>
      </c>
      <c r="AE762">
        <v>0</v>
      </c>
      <c r="AF762">
        <v>0</v>
      </c>
      <c r="AG762">
        <v>0</v>
      </c>
      <c r="AH762">
        <v>1</v>
      </c>
      <c r="AI762">
        <v>0</v>
      </c>
      <c r="AJ762">
        <v>0</v>
      </c>
      <c r="AK762">
        <v>0</v>
      </c>
      <c r="AL762">
        <v>0</v>
      </c>
      <c r="AM762">
        <v>0</v>
      </c>
      <c r="AN762">
        <v>0</v>
      </c>
      <c r="AO762">
        <v>0</v>
      </c>
      <c r="AP762">
        <v>0</v>
      </c>
      <c r="AQ762">
        <v>0</v>
      </c>
      <c r="AR762">
        <v>0</v>
      </c>
      <c r="AS762">
        <f t="shared" si="151"/>
        <v>2</v>
      </c>
      <c r="AT762">
        <f t="shared" si="152"/>
        <v>2</v>
      </c>
      <c r="AU762" s="3" t="s">
        <v>1124</v>
      </c>
      <c r="AV762">
        <f t="shared" si="153"/>
        <v>1</v>
      </c>
      <c r="AW762">
        <f t="shared" si="154"/>
        <v>0</v>
      </c>
      <c r="AX762">
        <f t="shared" si="155"/>
        <v>0</v>
      </c>
      <c r="AY762">
        <v>3</v>
      </c>
      <c r="AZ762" t="s">
        <v>60</v>
      </c>
      <c r="BA762" t="s">
        <v>61</v>
      </c>
      <c r="BB762" t="s">
        <v>8</v>
      </c>
    </row>
    <row r="763" ht="135" spans="1:54">
      <c r="A763" t="s">
        <v>2690</v>
      </c>
      <c r="B763" t="s">
        <v>2118</v>
      </c>
      <c r="C763" t="s">
        <v>116</v>
      </c>
      <c r="D763">
        <v>0</v>
      </c>
      <c r="E763">
        <v>0</v>
      </c>
      <c r="F763">
        <v>126.2</v>
      </c>
      <c r="G763" t="s">
        <v>504</v>
      </c>
      <c r="H763" s="3" t="s">
        <v>2691</v>
      </c>
      <c r="I763" s="3" t="s">
        <v>2692</v>
      </c>
      <c r="J763">
        <f t="shared" si="143"/>
        <v>0</v>
      </c>
      <c r="K763">
        <f t="shared" si="144"/>
        <v>1</v>
      </c>
      <c r="L763">
        <f t="shared" si="145"/>
        <v>0</v>
      </c>
      <c r="M763">
        <f t="shared" si="146"/>
        <v>0</v>
      </c>
      <c r="N763">
        <f t="shared" si="147"/>
        <v>1</v>
      </c>
      <c r="O763">
        <f t="shared" si="148"/>
        <v>0</v>
      </c>
      <c r="P763">
        <f t="shared" si="149"/>
        <v>0</v>
      </c>
      <c r="Q763">
        <f t="shared" si="150"/>
        <v>0</v>
      </c>
      <c r="R763">
        <v>0</v>
      </c>
      <c r="S763">
        <v>0</v>
      </c>
      <c r="T763">
        <v>0</v>
      </c>
      <c r="U763">
        <v>0</v>
      </c>
      <c r="V763">
        <v>0</v>
      </c>
      <c r="W763">
        <v>1</v>
      </c>
      <c r="X763">
        <v>0</v>
      </c>
      <c r="Y763">
        <v>0</v>
      </c>
      <c r="Z763">
        <v>0</v>
      </c>
      <c r="AA763">
        <v>0</v>
      </c>
      <c r="AB763">
        <v>0</v>
      </c>
      <c r="AC763">
        <v>0</v>
      </c>
      <c r="AD763">
        <v>0</v>
      </c>
      <c r="AE763">
        <v>0</v>
      </c>
      <c r="AF763">
        <v>0</v>
      </c>
      <c r="AG763">
        <v>0</v>
      </c>
      <c r="AH763">
        <v>1</v>
      </c>
      <c r="AI763">
        <v>0</v>
      </c>
      <c r="AJ763">
        <v>0</v>
      </c>
      <c r="AK763">
        <v>0</v>
      </c>
      <c r="AL763">
        <v>0</v>
      </c>
      <c r="AM763">
        <v>0</v>
      </c>
      <c r="AN763">
        <v>0</v>
      </c>
      <c r="AO763">
        <v>0</v>
      </c>
      <c r="AP763">
        <v>0</v>
      </c>
      <c r="AQ763">
        <v>0</v>
      </c>
      <c r="AR763">
        <v>0</v>
      </c>
      <c r="AS763">
        <f t="shared" si="151"/>
        <v>2</v>
      </c>
      <c r="AT763">
        <f t="shared" si="152"/>
        <v>2</v>
      </c>
      <c r="AU763" s="3" t="s">
        <v>1780</v>
      </c>
      <c r="AV763">
        <f t="shared" si="153"/>
        <v>1</v>
      </c>
      <c r="AW763">
        <f t="shared" si="154"/>
        <v>0</v>
      </c>
      <c r="AX763">
        <f t="shared" si="155"/>
        <v>0</v>
      </c>
      <c r="AY763">
        <v>3</v>
      </c>
      <c r="AZ763" t="s">
        <v>60</v>
      </c>
      <c r="BA763" t="s">
        <v>61</v>
      </c>
      <c r="BB763" t="s">
        <v>8</v>
      </c>
    </row>
    <row r="764" ht="409.5" spans="1:54">
      <c r="A764" t="s">
        <v>2693</v>
      </c>
      <c r="B764" t="s">
        <v>2118</v>
      </c>
      <c r="C764" t="s">
        <v>56</v>
      </c>
      <c r="D764">
        <v>4</v>
      </c>
      <c r="E764">
        <v>0</v>
      </c>
      <c r="F764">
        <v>43.3</v>
      </c>
      <c r="G764" t="s">
        <v>504</v>
      </c>
      <c r="H764" s="3" t="s">
        <v>2694</v>
      </c>
      <c r="I764" s="3" t="s">
        <v>2695</v>
      </c>
      <c r="J764">
        <f t="shared" si="143"/>
        <v>0</v>
      </c>
      <c r="K764">
        <f t="shared" si="144"/>
        <v>0</v>
      </c>
      <c r="L764">
        <f t="shared" si="145"/>
        <v>0</v>
      </c>
      <c r="M764">
        <f t="shared" si="146"/>
        <v>1</v>
      </c>
      <c r="N764">
        <f t="shared" si="147"/>
        <v>1</v>
      </c>
      <c r="O764">
        <f t="shared" si="148"/>
        <v>0</v>
      </c>
      <c r="P764">
        <f t="shared" si="149"/>
        <v>0</v>
      </c>
      <c r="Q764">
        <f t="shared" si="150"/>
        <v>0</v>
      </c>
      <c r="R764">
        <v>0</v>
      </c>
      <c r="S764">
        <v>0</v>
      </c>
      <c r="T764">
        <v>0</v>
      </c>
      <c r="U764">
        <v>0</v>
      </c>
      <c r="V764">
        <v>0</v>
      </c>
      <c r="W764">
        <v>0</v>
      </c>
      <c r="X764">
        <v>0</v>
      </c>
      <c r="Y764">
        <v>0</v>
      </c>
      <c r="Z764">
        <v>0</v>
      </c>
      <c r="AA764">
        <v>0</v>
      </c>
      <c r="AB764">
        <v>0</v>
      </c>
      <c r="AC764">
        <v>0</v>
      </c>
      <c r="AD764">
        <v>1</v>
      </c>
      <c r="AE764">
        <v>0</v>
      </c>
      <c r="AF764">
        <v>1</v>
      </c>
      <c r="AG764">
        <v>1</v>
      </c>
      <c r="AH764">
        <v>0</v>
      </c>
      <c r="AI764">
        <v>0</v>
      </c>
      <c r="AJ764">
        <v>0</v>
      </c>
      <c r="AK764">
        <v>0</v>
      </c>
      <c r="AL764">
        <v>0</v>
      </c>
      <c r="AM764">
        <v>0</v>
      </c>
      <c r="AN764">
        <v>0</v>
      </c>
      <c r="AO764">
        <v>0</v>
      </c>
      <c r="AP764">
        <v>0</v>
      </c>
      <c r="AQ764">
        <v>0</v>
      </c>
      <c r="AR764">
        <v>0</v>
      </c>
      <c r="AS764">
        <f t="shared" si="151"/>
        <v>2</v>
      </c>
      <c r="AT764">
        <f t="shared" si="152"/>
        <v>3</v>
      </c>
      <c r="AU764" s="3" t="s">
        <v>2696</v>
      </c>
      <c r="AV764">
        <f t="shared" si="153"/>
        <v>1</v>
      </c>
      <c r="AW764">
        <f t="shared" si="154"/>
        <v>0</v>
      </c>
      <c r="AX764">
        <f t="shared" si="155"/>
        <v>0</v>
      </c>
      <c r="AY764">
        <v>8</v>
      </c>
      <c r="AZ764" t="s">
        <v>60</v>
      </c>
      <c r="BA764" t="s">
        <v>61</v>
      </c>
      <c r="BB764" t="s">
        <v>8</v>
      </c>
    </row>
    <row r="765" ht="51" spans="1:54">
      <c r="A765" t="s">
        <v>2697</v>
      </c>
      <c r="B765" t="s">
        <v>2118</v>
      </c>
      <c r="C765" t="s">
        <v>56</v>
      </c>
      <c r="D765">
        <v>2</v>
      </c>
      <c r="E765">
        <v>0</v>
      </c>
      <c r="F765">
        <v>46.6</v>
      </c>
      <c r="G765" t="s">
        <v>504</v>
      </c>
      <c r="H765" s="3" t="s">
        <v>2698</v>
      </c>
      <c r="I765" s="3" t="s">
        <v>2699</v>
      </c>
      <c r="J765">
        <f t="shared" si="143"/>
        <v>1</v>
      </c>
      <c r="K765">
        <f t="shared" si="144"/>
        <v>1</v>
      </c>
      <c r="L765">
        <f t="shared" si="145"/>
        <v>0</v>
      </c>
      <c r="M765">
        <f t="shared" si="146"/>
        <v>0</v>
      </c>
      <c r="N765">
        <f t="shared" si="147"/>
        <v>0</v>
      </c>
      <c r="O765">
        <f t="shared" si="148"/>
        <v>0</v>
      </c>
      <c r="P765">
        <f t="shared" si="149"/>
        <v>0</v>
      </c>
      <c r="Q765">
        <f t="shared" si="150"/>
        <v>0</v>
      </c>
      <c r="R765">
        <v>1</v>
      </c>
      <c r="S765">
        <v>1</v>
      </c>
      <c r="T765">
        <v>1</v>
      </c>
      <c r="U765">
        <v>0</v>
      </c>
      <c r="V765">
        <v>0</v>
      </c>
      <c r="W765">
        <v>1</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0</v>
      </c>
      <c r="AR765">
        <v>0</v>
      </c>
      <c r="AS765">
        <f t="shared" si="151"/>
        <v>2</v>
      </c>
      <c r="AT765">
        <f t="shared" si="152"/>
        <v>4</v>
      </c>
      <c r="AU765" s="3" t="s">
        <v>2700</v>
      </c>
      <c r="AV765">
        <f t="shared" si="153"/>
        <v>1</v>
      </c>
      <c r="AW765">
        <f t="shared" si="154"/>
        <v>0</v>
      </c>
      <c r="AX765">
        <f t="shared" si="155"/>
        <v>0</v>
      </c>
      <c r="AY765">
        <v>5</v>
      </c>
      <c r="AZ765" t="s">
        <v>60</v>
      </c>
      <c r="BA765" t="s">
        <v>61</v>
      </c>
      <c r="BB765" t="s">
        <v>8</v>
      </c>
    </row>
    <row r="766" ht="168" spans="1:54">
      <c r="A766" t="s">
        <v>2701</v>
      </c>
      <c r="B766" t="s">
        <v>2118</v>
      </c>
      <c r="C766" t="s">
        <v>116</v>
      </c>
      <c r="D766">
        <v>4</v>
      </c>
      <c r="E766">
        <v>0</v>
      </c>
      <c r="F766">
        <v>25.1</v>
      </c>
      <c r="G766" t="s">
        <v>504</v>
      </c>
      <c r="H766" s="3" t="s">
        <v>2702</v>
      </c>
      <c r="I766" s="3" t="s">
        <v>2703</v>
      </c>
      <c r="J766">
        <f t="shared" si="143"/>
        <v>0</v>
      </c>
      <c r="K766">
        <f t="shared" si="144"/>
        <v>1</v>
      </c>
      <c r="L766">
        <f t="shared" si="145"/>
        <v>1</v>
      </c>
      <c r="M766">
        <f t="shared" si="146"/>
        <v>0</v>
      </c>
      <c r="N766">
        <f t="shared" si="147"/>
        <v>0</v>
      </c>
      <c r="O766">
        <f t="shared" si="148"/>
        <v>0</v>
      </c>
      <c r="P766">
        <f t="shared" si="149"/>
        <v>0</v>
      </c>
      <c r="Q766">
        <f t="shared" si="150"/>
        <v>0</v>
      </c>
      <c r="R766">
        <v>0</v>
      </c>
      <c r="S766">
        <v>0</v>
      </c>
      <c r="T766">
        <v>0</v>
      </c>
      <c r="U766">
        <v>1</v>
      </c>
      <c r="V766">
        <v>1</v>
      </c>
      <c r="W766">
        <v>0</v>
      </c>
      <c r="X766">
        <v>0</v>
      </c>
      <c r="Y766">
        <v>0</v>
      </c>
      <c r="Z766">
        <v>0</v>
      </c>
      <c r="AA766">
        <v>0</v>
      </c>
      <c r="AB766">
        <v>0</v>
      </c>
      <c r="AC766">
        <v>1</v>
      </c>
      <c r="AD766">
        <v>0</v>
      </c>
      <c r="AE766">
        <v>0</v>
      </c>
      <c r="AF766">
        <v>0</v>
      </c>
      <c r="AG766">
        <v>0</v>
      </c>
      <c r="AH766">
        <v>0</v>
      </c>
      <c r="AI766">
        <v>0</v>
      </c>
      <c r="AJ766">
        <v>0</v>
      </c>
      <c r="AK766">
        <v>0</v>
      </c>
      <c r="AL766">
        <v>0</v>
      </c>
      <c r="AM766">
        <v>0</v>
      </c>
      <c r="AN766">
        <v>0</v>
      </c>
      <c r="AO766">
        <v>0</v>
      </c>
      <c r="AP766">
        <v>0</v>
      </c>
      <c r="AQ766">
        <v>0</v>
      </c>
      <c r="AR766">
        <v>0</v>
      </c>
      <c r="AS766">
        <f t="shared" si="151"/>
        <v>2</v>
      </c>
      <c r="AT766">
        <f t="shared" si="152"/>
        <v>3</v>
      </c>
      <c r="AU766" s="3" t="s">
        <v>2704</v>
      </c>
      <c r="AV766">
        <f t="shared" si="153"/>
        <v>1</v>
      </c>
      <c r="AW766">
        <f t="shared" si="154"/>
        <v>0</v>
      </c>
      <c r="AX766">
        <f t="shared" si="155"/>
        <v>0</v>
      </c>
      <c r="AY766">
        <v>2</v>
      </c>
      <c r="AZ766" t="s">
        <v>60</v>
      </c>
      <c r="BA766" t="s">
        <v>61</v>
      </c>
      <c r="BB766" t="s">
        <v>8</v>
      </c>
    </row>
    <row r="767" ht="84" spans="1:54">
      <c r="A767" t="s">
        <v>2705</v>
      </c>
      <c r="B767" t="s">
        <v>2118</v>
      </c>
      <c r="C767" t="s">
        <v>56</v>
      </c>
      <c r="D767">
        <v>5</v>
      </c>
      <c r="E767">
        <v>0</v>
      </c>
      <c r="F767">
        <v>75.7</v>
      </c>
      <c r="G767" t="s">
        <v>504</v>
      </c>
      <c r="H767" s="3" t="s">
        <v>2706</v>
      </c>
      <c r="I767" s="3" t="s">
        <v>2707</v>
      </c>
      <c r="J767">
        <f t="shared" si="143"/>
        <v>0</v>
      </c>
      <c r="K767">
        <f t="shared" si="144"/>
        <v>1</v>
      </c>
      <c r="L767">
        <f t="shared" si="145"/>
        <v>0</v>
      </c>
      <c r="M767">
        <f t="shared" si="146"/>
        <v>0</v>
      </c>
      <c r="N767">
        <f t="shared" si="147"/>
        <v>1</v>
      </c>
      <c r="O767">
        <f t="shared" si="148"/>
        <v>0</v>
      </c>
      <c r="P767">
        <f t="shared" si="149"/>
        <v>1</v>
      </c>
      <c r="Q767">
        <f t="shared" si="150"/>
        <v>0</v>
      </c>
      <c r="R767">
        <v>0</v>
      </c>
      <c r="S767">
        <v>0</v>
      </c>
      <c r="T767">
        <v>0</v>
      </c>
      <c r="U767">
        <v>0</v>
      </c>
      <c r="V767">
        <v>0</v>
      </c>
      <c r="W767">
        <v>1</v>
      </c>
      <c r="X767">
        <v>0</v>
      </c>
      <c r="Y767">
        <v>0</v>
      </c>
      <c r="Z767">
        <v>0</v>
      </c>
      <c r="AA767">
        <v>0</v>
      </c>
      <c r="AB767">
        <v>0</v>
      </c>
      <c r="AC767">
        <v>0</v>
      </c>
      <c r="AD767">
        <v>0</v>
      </c>
      <c r="AE767">
        <v>0</v>
      </c>
      <c r="AF767">
        <v>0</v>
      </c>
      <c r="AG767">
        <v>0</v>
      </c>
      <c r="AH767">
        <v>1</v>
      </c>
      <c r="AI767">
        <v>0</v>
      </c>
      <c r="AJ767">
        <v>0</v>
      </c>
      <c r="AK767">
        <v>0</v>
      </c>
      <c r="AL767">
        <v>0</v>
      </c>
      <c r="AM767">
        <v>0</v>
      </c>
      <c r="AN767">
        <v>0</v>
      </c>
      <c r="AO767">
        <v>0</v>
      </c>
      <c r="AP767">
        <v>1</v>
      </c>
      <c r="AQ767">
        <v>0</v>
      </c>
      <c r="AR767">
        <v>0</v>
      </c>
      <c r="AS767">
        <f t="shared" si="151"/>
        <v>3</v>
      </c>
      <c r="AT767">
        <f t="shared" si="152"/>
        <v>3</v>
      </c>
      <c r="AU767" s="3" t="s">
        <v>2708</v>
      </c>
      <c r="AV767">
        <f t="shared" si="153"/>
        <v>1</v>
      </c>
      <c r="AW767">
        <f t="shared" si="154"/>
        <v>0</v>
      </c>
      <c r="AX767">
        <f t="shared" si="155"/>
        <v>0</v>
      </c>
      <c r="AY767">
        <v>3.5</v>
      </c>
      <c r="AZ767" t="s">
        <v>60</v>
      </c>
      <c r="BA767" t="s">
        <v>61</v>
      </c>
      <c r="BB767" t="s">
        <v>8</v>
      </c>
    </row>
    <row r="768" ht="219" spans="1:54">
      <c r="A768" t="s">
        <v>2709</v>
      </c>
      <c r="B768" t="s">
        <v>2118</v>
      </c>
      <c r="C768" t="s">
        <v>116</v>
      </c>
      <c r="D768">
        <v>15</v>
      </c>
      <c r="E768">
        <v>0</v>
      </c>
      <c r="F768">
        <v>16.5</v>
      </c>
      <c r="G768" t="s">
        <v>504</v>
      </c>
      <c r="H768" s="3" t="s">
        <v>2710</v>
      </c>
      <c r="I768" s="3" t="s">
        <v>2711</v>
      </c>
      <c r="J768">
        <f t="shared" si="143"/>
        <v>0</v>
      </c>
      <c r="K768">
        <f t="shared" si="144"/>
        <v>1</v>
      </c>
      <c r="L768">
        <f t="shared" si="145"/>
        <v>1</v>
      </c>
      <c r="M768">
        <f t="shared" si="146"/>
        <v>0</v>
      </c>
      <c r="N768">
        <f t="shared" si="147"/>
        <v>0</v>
      </c>
      <c r="O768">
        <f t="shared" si="148"/>
        <v>0</v>
      </c>
      <c r="P768">
        <f t="shared" si="149"/>
        <v>0</v>
      </c>
      <c r="Q768">
        <f t="shared" si="150"/>
        <v>0</v>
      </c>
      <c r="R768">
        <v>0</v>
      </c>
      <c r="S768">
        <v>0</v>
      </c>
      <c r="T768">
        <v>0</v>
      </c>
      <c r="U768">
        <v>0</v>
      </c>
      <c r="V768">
        <v>1</v>
      </c>
      <c r="W768">
        <v>0</v>
      </c>
      <c r="X768">
        <v>0</v>
      </c>
      <c r="Y768">
        <v>0</v>
      </c>
      <c r="Z768">
        <v>1</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f t="shared" si="151"/>
        <v>2</v>
      </c>
      <c r="AT768">
        <f t="shared" si="152"/>
        <v>2</v>
      </c>
      <c r="AU768" s="3" t="s">
        <v>2712</v>
      </c>
      <c r="AV768">
        <f t="shared" si="153"/>
        <v>1</v>
      </c>
      <c r="AW768">
        <f t="shared" si="154"/>
        <v>0</v>
      </c>
      <c r="AX768">
        <f t="shared" si="155"/>
        <v>0</v>
      </c>
      <c r="AY768">
        <v>-2</v>
      </c>
      <c r="AZ768" t="s">
        <v>133</v>
      </c>
      <c r="BA768" t="s">
        <v>134</v>
      </c>
      <c r="BB768" t="s">
        <v>8</v>
      </c>
    </row>
    <row r="769" ht="68" spans="1:54">
      <c r="A769" t="s">
        <v>2713</v>
      </c>
      <c r="B769" t="s">
        <v>2118</v>
      </c>
      <c r="C769" t="s">
        <v>116</v>
      </c>
      <c r="D769">
        <v>2</v>
      </c>
      <c r="E769">
        <v>0</v>
      </c>
      <c r="F769">
        <v>6.5</v>
      </c>
      <c r="G769" t="s">
        <v>511</v>
      </c>
      <c r="H769" s="3" t="s">
        <v>2714</v>
      </c>
      <c r="I769" s="3" t="s">
        <v>2715</v>
      </c>
      <c r="J769">
        <f t="shared" si="143"/>
        <v>1</v>
      </c>
      <c r="K769">
        <f t="shared" si="144"/>
        <v>1</v>
      </c>
      <c r="L769">
        <f t="shared" si="145"/>
        <v>0</v>
      </c>
      <c r="M769">
        <f t="shared" si="146"/>
        <v>0</v>
      </c>
      <c r="N769">
        <f t="shared" si="147"/>
        <v>0</v>
      </c>
      <c r="O769">
        <f t="shared" si="148"/>
        <v>0</v>
      </c>
      <c r="P769">
        <f t="shared" si="149"/>
        <v>0</v>
      </c>
      <c r="Q769">
        <f t="shared" si="150"/>
        <v>0</v>
      </c>
      <c r="R769">
        <v>1</v>
      </c>
      <c r="S769">
        <v>0</v>
      </c>
      <c r="T769">
        <v>0</v>
      </c>
      <c r="U769">
        <v>1</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f t="shared" si="151"/>
        <v>2</v>
      </c>
      <c r="AT769">
        <f t="shared" si="152"/>
        <v>2</v>
      </c>
      <c r="AU769" s="3" t="s">
        <v>1584</v>
      </c>
      <c r="AV769">
        <f t="shared" si="153"/>
        <v>1</v>
      </c>
      <c r="AW769">
        <f t="shared" si="154"/>
        <v>0</v>
      </c>
      <c r="AX769">
        <f t="shared" si="155"/>
        <v>0</v>
      </c>
      <c r="AY769">
        <v>-3</v>
      </c>
      <c r="AZ769" t="s">
        <v>133</v>
      </c>
      <c r="BA769" t="s">
        <v>134</v>
      </c>
      <c r="BB769" t="s">
        <v>8</v>
      </c>
    </row>
    <row r="770" ht="409.5" spans="1:54">
      <c r="A770" t="s">
        <v>2716</v>
      </c>
      <c r="B770" t="s">
        <v>2118</v>
      </c>
      <c r="C770" t="s">
        <v>56</v>
      </c>
      <c r="D770">
        <v>0</v>
      </c>
      <c r="E770">
        <v>0</v>
      </c>
      <c r="F770">
        <v>51</v>
      </c>
      <c r="G770" t="s">
        <v>515</v>
      </c>
      <c r="H770" s="3" t="s">
        <v>2717</v>
      </c>
      <c r="I770" s="3" t="s">
        <v>2718</v>
      </c>
      <c r="J770">
        <f t="shared" ref="J770:J833" si="156">IF(SUM(R770:T770)&gt;0,1,0)</f>
        <v>1</v>
      </c>
      <c r="K770">
        <f t="shared" ref="K770:K833" si="157">IF(SUM(U770:Y770)&gt;0,1,0)</f>
        <v>1</v>
      </c>
      <c r="L770">
        <f t="shared" ref="L770:L833" si="158">IF(SUM(Z770:AC770)&gt;0,1,0)</f>
        <v>1</v>
      </c>
      <c r="M770">
        <f t="shared" ref="M770:M833" si="159">IF(SUM(AD770:AF770)&gt;0,1,0)</f>
        <v>0</v>
      </c>
      <c r="N770">
        <f t="shared" ref="N770:N833" si="160">IF(SUM(AG770:AH770)&gt;0,1,0)</f>
        <v>1</v>
      </c>
      <c r="O770">
        <f t="shared" ref="O770:O833" si="161">IF(SUM(AI770:AL770)&gt;0,1,0)</f>
        <v>1</v>
      </c>
      <c r="P770">
        <f t="shared" ref="P770:P833" si="162">IF(SUM(AM770:AQ770)&gt;0,1,0)</f>
        <v>0</v>
      </c>
      <c r="Q770">
        <f t="shared" ref="Q770:Q833" si="163">IF(AR770&gt;0,1,0)</f>
        <v>0</v>
      </c>
      <c r="R770">
        <v>1</v>
      </c>
      <c r="S770">
        <v>0</v>
      </c>
      <c r="T770">
        <v>1</v>
      </c>
      <c r="U770">
        <v>1</v>
      </c>
      <c r="V770">
        <v>1</v>
      </c>
      <c r="W770">
        <v>1</v>
      </c>
      <c r="X770">
        <v>0</v>
      </c>
      <c r="Y770">
        <v>1</v>
      </c>
      <c r="Z770">
        <v>1</v>
      </c>
      <c r="AA770">
        <v>1</v>
      </c>
      <c r="AB770">
        <v>0</v>
      </c>
      <c r="AC770">
        <v>1</v>
      </c>
      <c r="AD770">
        <v>0</v>
      </c>
      <c r="AE770">
        <v>0</v>
      </c>
      <c r="AF770">
        <v>0</v>
      </c>
      <c r="AG770">
        <v>0</v>
      </c>
      <c r="AH770">
        <v>1</v>
      </c>
      <c r="AI770">
        <v>1</v>
      </c>
      <c r="AJ770">
        <v>1</v>
      </c>
      <c r="AK770">
        <v>0</v>
      </c>
      <c r="AL770">
        <v>0</v>
      </c>
      <c r="AM770">
        <v>0</v>
      </c>
      <c r="AN770">
        <v>0</v>
      </c>
      <c r="AO770">
        <v>0</v>
      </c>
      <c r="AP770">
        <v>0</v>
      </c>
      <c r="AQ770">
        <v>0</v>
      </c>
      <c r="AR770">
        <v>0</v>
      </c>
      <c r="AS770">
        <f t="shared" ref="AS770:AS833" si="164">SUM(J770:Q770)</f>
        <v>5</v>
      </c>
      <c r="AT770">
        <f t="shared" ref="AT770:AT833" si="165">SUM(R770:AR770)</f>
        <v>12</v>
      </c>
      <c r="AU770" s="3" t="s">
        <v>2719</v>
      </c>
      <c r="AV770">
        <f t="shared" ref="AV770:AV833" si="166">IF(AT770&gt;0,1,0)</f>
        <v>1</v>
      </c>
      <c r="AW770">
        <f t="shared" ref="AW770:AW833" si="167">IF(AT770=0,1,0)</f>
        <v>0</v>
      </c>
      <c r="AX770">
        <f t="shared" ref="AX770:AX833" si="168">IF(AT770&gt;=8,1,0)</f>
        <v>1</v>
      </c>
      <c r="AY770">
        <v>19.5</v>
      </c>
      <c r="AZ770" t="s">
        <v>60</v>
      </c>
      <c r="BA770" t="s">
        <v>61</v>
      </c>
      <c r="BB770" t="s">
        <v>8</v>
      </c>
    </row>
    <row r="771" ht="51" spans="1:54">
      <c r="A771" t="s">
        <v>2720</v>
      </c>
      <c r="B771" t="s">
        <v>2118</v>
      </c>
      <c r="C771" t="s">
        <v>56</v>
      </c>
      <c r="D771">
        <v>3</v>
      </c>
      <c r="E771">
        <v>0</v>
      </c>
      <c r="F771">
        <v>45.8</v>
      </c>
      <c r="G771" t="s">
        <v>515</v>
      </c>
      <c r="H771" s="3" t="s">
        <v>2721</v>
      </c>
      <c r="I771" s="3" t="s">
        <v>2722</v>
      </c>
      <c r="J771">
        <f t="shared" si="156"/>
        <v>1</v>
      </c>
      <c r="K771">
        <f t="shared" si="157"/>
        <v>0</v>
      </c>
      <c r="L771">
        <f t="shared" si="158"/>
        <v>0</v>
      </c>
      <c r="M771">
        <f t="shared" si="159"/>
        <v>0</v>
      </c>
      <c r="N771">
        <f t="shared" si="160"/>
        <v>0</v>
      </c>
      <c r="O771">
        <f t="shared" si="161"/>
        <v>0</v>
      </c>
      <c r="P771">
        <f t="shared" si="162"/>
        <v>0</v>
      </c>
      <c r="Q771">
        <f t="shared" si="163"/>
        <v>0</v>
      </c>
      <c r="R771">
        <v>0</v>
      </c>
      <c r="S771">
        <v>1</v>
      </c>
      <c r="T771">
        <v>1</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c r="AP771">
        <v>0</v>
      </c>
      <c r="AQ771">
        <v>0</v>
      </c>
      <c r="AR771">
        <v>0</v>
      </c>
      <c r="AS771">
        <f t="shared" si="164"/>
        <v>1</v>
      </c>
      <c r="AT771">
        <f t="shared" si="165"/>
        <v>2</v>
      </c>
      <c r="AU771" s="3" t="s">
        <v>2723</v>
      </c>
      <c r="AV771">
        <f t="shared" si="166"/>
        <v>1</v>
      </c>
      <c r="AW771">
        <f t="shared" si="167"/>
        <v>0</v>
      </c>
      <c r="AX771">
        <f t="shared" si="168"/>
        <v>0</v>
      </c>
      <c r="AY771">
        <v>5</v>
      </c>
      <c r="AZ771" t="s">
        <v>60</v>
      </c>
      <c r="BA771" t="s">
        <v>61</v>
      </c>
      <c r="BB771" t="s">
        <v>8</v>
      </c>
    </row>
    <row r="772" ht="51" spans="1:54">
      <c r="A772" t="s">
        <v>2724</v>
      </c>
      <c r="B772" t="s">
        <v>2118</v>
      </c>
      <c r="C772" t="s">
        <v>56</v>
      </c>
      <c r="D772">
        <v>0</v>
      </c>
      <c r="E772">
        <v>0</v>
      </c>
      <c r="F772">
        <v>73.3</v>
      </c>
      <c r="G772" t="s">
        <v>515</v>
      </c>
      <c r="H772" s="3" t="s">
        <v>2725</v>
      </c>
      <c r="I772" s="3" t="s">
        <v>2726</v>
      </c>
      <c r="J772">
        <f t="shared" si="156"/>
        <v>0</v>
      </c>
      <c r="K772">
        <f t="shared" si="157"/>
        <v>1</v>
      </c>
      <c r="L772">
        <f t="shared" si="158"/>
        <v>0</v>
      </c>
      <c r="M772">
        <f t="shared" si="159"/>
        <v>0</v>
      </c>
      <c r="N772">
        <f t="shared" si="160"/>
        <v>0</v>
      </c>
      <c r="O772">
        <f t="shared" si="161"/>
        <v>0</v>
      </c>
      <c r="P772">
        <f t="shared" si="162"/>
        <v>0</v>
      </c>
      <c r="Q772">
        <f t="shared" si="163"/>
        <v>0</v>
      </c>
      <c r="R772">
        <v>0</v>
      </c>
      <c r="S772">
        <v>0</v>
      </c>
      <c r="T772">
        <v>0</v>
      </c>
      <c r="U772">
        <v>0</v>
      </c>
      <c r="V772">
        <v>0</v>
      </c>
      <c r="W772">
        <v>1</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f t="shared" si="164"/>
        <v>1</v>
      </c>
      <c r="AT772">
        <f t="shared" si="165"/>
        <v>1</v>
      </c>
      <c r="AU772" s="3" t="s">
        <v>271</v>
      </c>
      <c r="AV772">
        <f t="shared" si="166"/>
        <v>1</v>
      </c>
      <c r="AW772">
        <f t="shared" si="167"/>
        <v>0</v>
      </c>
      <c r="AX772">
        <f t="shared" si="168"/>
        <v>0</v>
      </c>
      <c r="AY772">
        <v>1</v>
      </c>
      <c r="AZ772" t="s">
        <v>60</v>
      </c>
      <c r="BA772" t="s">
        <v>61</v>
      </c>
      <c r="BB772" t="s">
        <v>8</v>
      </c>
    </row>
    <row r="773" ht="51" spans="1:54">
      <c r="A773" t="s">
        <v>2727</v>
      </c>
      <c r="B773" t="s">
        <v>2118</v>
      </c>
      <c r="C773" t="s">
        <v>56</v>
      </c>
      <c r="D773">
        <v>9</v>
      </c>
      <c r="E773">
        <v>0</v>
      </c>
      <c r="F773">
        <v>54.9</v>
      </c>
      <c r="G773" t="s">
        <v>2728</v>
      </c>
      <c r="H773" s="3" t="s">
        <v>2729</v>
      </c>
      <c r="I773" s="3" t="s">
        <v>2730</v>
      </c>
      <c r="J773">
        <f t="shared" si="156"/>
        <v>0</v>
      </c>
      <c r="K773">
        <f t="shared" si="157"/>
        <v>0</v>
      </c>
      <c r="L773">
        <f t="shared" si="158"/>
        <v>0</v>
      </c>
      <c r="M773">
        <f t="shared" si="159"/>
        <v>0</v>
      </c>
      <c r="N773">
        <f t="shared" si="160"/>
        <v>0</v>
      </c>
      <c r="O773">
        <f t="shared" si="161"/>
        <v>0</v>
      </c>
      <c r="P773">
        <f t="shared" si="162"/>
        <v>0</v>
      </c>
      <c r="Q773">
        <f t="shared" si="163"/>
        <v>0</v>
      </c>
      <c r="R773">
        <v>0</v>
      </c>
      <c r="S773">
        <v>0</v>
      </c>
      <c r="T773">
        <v>0</v>
      </c>
      <c r="U773">
        <v>0</v>
      </c>
      <c r="V773">
        <v>0</v>
      </c>
      <c r="W773">
        <v>0</v>
      </c>
      <c r="X773">
        <v>0</v>
      </c>
      <c r="Y773">
        <v>0</v>
      </c>
      <c r="Z773">
        <v>0</v>
      </c>
      <c r="AA773">
        <v>0</v>
      </c>
      <c r="AB773">
        <v>0</v>
      </c>
      <c r="AC773">
        <v>0</v>
      </c>
      <c r="AD773">
        <v>0</v>
      </c>
      <c r="AE773">
        <v>0</v>
      </c>
      <c r="AF773">
        <v>0</v>
      </c>
      <c r="AG773">
        <v>0</v>
      </c>
      <c r="AH773">
        <v>0</v>
      </c>
      <c r="AI773">
        <v>0</v>
      </c>
      <c r="AJ773">
        <v>0</v>
      </c>
      <c r="AK773">
        <v>0</v>
      </c>
      <c r="AL773">
        <v>0</v>
      </c>
      <c r="AM773">
        <v>0</v>
      </c>
      <c r="AN773">
        <v>0</v>
      </c>
      <c r="AO773">
        <v>0</v>
      </c>
      <c r="AP773">
        <v>0</v>
      </c>
      <c r="AQ773">
        <v>0</v>
      </c>
      <c r="AR773">
        <v>0</v>
      </c>
      <c r="AS773">
        <f t="shared" si="164"/>
        <v>0</v>
      </c>
      <c r="AT773">
        <f t="shared" si="165"/>
        <v>0</v>
      </c>
      <c r="AU773" s="3" t="s">
        <v>118</v>
      </c>
      <c r="AV773">
        <f t="shared" si="166"/>
        <v>0</v>
      </c>
      <c r="AW773">
        <f t="shared" si="167"/>
        <v>1</v>
      </c>
      <c r="AX773">
        <f t="shared" si="168"/>
        <v>0</v>
      </c>
      <c r="AY773">
        <v>-0.5</v>
      </c>
      <c r="AZ773" t="s">
        <v>133</v>
      </c>
      <c r="BA773" t="s">
        <v>134</v>
      </c>
      <c r="BB773" t="s">
        <v>8</v>
      </c>
    </row>
    <row r="774" ht="219" spans="1:54">
      <c r="A774" t="s">
        <v>2731</v>
      </c>
      <c r="B774" t="s">
        <v>2118</v>
      </c>
      <c r="C774" t="s">
        <v>116</v>
      </c>
      <c r="D774">
        <v>0</v>
      </c>
      <c r="E774">
        <v>0</v>
      </c>
      <c r="F774">
        <v>9.3</v>
      </c>
      <c r="G774" t="s">
        <v>530</v>
      </c>
      <c r="H774" s="3" t="s">
        <v>2732</v>
      </c>
      <c r="I774" s="3" t="s">
        <v>2733</v>
      </c>
      <c r="J774">
        <f t="shared" si="156"/>
        <v>0</v>
      </c>
      <c r="K774">
        <f t="shared" si="157"/>
        <v>1</v>
      </c>
      <c r="L774">
        <f t="shared" si="158"/>
        <v>0</v>
      </c>
      <c r="M774">
        <f t="shared" si="159"/>
        <v>0</v>
      </c>
      <c r="N774">
        <f t="shared" si="160"/>
        <v>1</v>
      </c>
      <c r="O774">
        <f t="shared" si="161"/>
        <v>0</v>
      </c>
      <c r="P774">
        <f t="shared" si="162"/>
        <v>0</v>
      </c>
      <c r="Q774">
        <f t="shared" si="163"/>
        <v>0</v>
      </c>
      <c r="R774">
        <v>0</v>
      </c>
      <c r="S774">
        <v>0</v>
      </c>
      <c r="T774">
        <v>0</v>
      </c>
      <c r="U774">
        <v>1</v>
      </c>
      <c r="V774">
        <v>1</v>
      </c>
      <c r="W774">
        <v>1</v>
      </c>
      <c r="X774">
        <v>0</v>
      </c>
      <c r="Y774">
        <v>1</v>
      </c>
      <c r="Z774">
        <v>0</v>
      </c>
      <c r="AA774">
        <v>0</v>
      </c>
      <c r="AB774">
        <v>0</v>
      </c>
      <c r="AC774">
        <v>0</v>
      </c>
      <c r="AD774">
        <v>0</v>
      </c>
      <c r="AE774">
        <v>0</v>
      </c>
      <c r="AF774">
        <v>0</v>
      </c>
      <c r="AG774">
        <v>0</v>
      </c>
      <c r="AH774">
        <v>1</v>
      </c>
      <c r="AI774">
        <v>0</v>
      </c>
      <c r="AJ774">
        <v>0</v>
      </c>
      <c r="AK774">
        <v>0</v>
      </c>
      <c r="AL774">
        <v>0</v>
      </c>
      <c r="AM774">
        <v>0</v>
      </c>
      <c r="AN774">
        <v>0</v>
      </c>
      <c r="AO774">
        <v>0</v>
      </c>
      <c r="AP774">
        <v>0</v>
      </c>
      <c r="AQ774">
        <v>0</v>
      </c>
      <c r="AR774">
        <v>0</v>
      </c>
      <c r="AS774">
        <f t="shared" si="164"/>
        <v>2</v>
      </c>
      <c r="AT774">
        <f t="shared" si="165"/>
        <v>5</v>
      </c>
      <c r="AU774" s="3" t="s">
        <v>2734</v>
      </c>
      <c r="AV774">
        <f t="shared" si="166"/>
        <v>1</v>
      </c>
      <c r="AW774">
        <f t="shared" si="167"/>
        <v>0</v>
      </c>
      <c r="AX774">
        <f t="shared" si="168"/>
        <v>0</v>
      </c>
      <c r="AY774">
        <v>-1</v>
      </c>
      <c r="AZ774" t="s">
        <v>133</v>
      </c>
      <c r="BA774" t="s">
        <v>134</v>
      </c>
      <c r="BB774" t="s">
        <v>8</v>
      </c>
    </row>
    <row r="775" ht="84" spans="1:54">
      <c r="A775" t="s">
        <v>2735</v>
      </c>
      <c r="B775" t="s">
        <v>2118</v>
      </c>
      <c r="C775" t="s">
        <v>56</v>
      </c>
      <c r="D775">
        <v>0</v>
      </c>
      <c r="E775">
        <v>0</v>
      </c>
      <c r="F775">
        <v>50.7</v>
      </c>
      <c r="G775" t="s">
        <v>530</v>
      </c>
      <c r="H775" s="3" t="s">
        <v>2736</v>
      </c>
      <c r="I775" s="3" t="s">
        <v>2737</v>
      </c>
      <c r="J775">
        <f t="shared" si="156"/>
        <v>1</v>
      </c>
      <c r="K775">
        <f t="shared" si="157"/>
        <v>1</v>
      </c>
      <c r="L775">
        <f t="shared" si="158"/>
        <v>0</v>
      </c>
      <c r="M775">
        <f t="shared" si="159"/>
        <v>0</v>
      </c>
      <c r="N775">
        <f t="shared" si="160"/>
        <v>1</v>
      </c>
      <c r="O775">
        <f t="shared" si="161"/>
        <v>0</v>
      </c>
      <c r="P775">
        <f t="shared" si="162"/>
        <v>0</v>
      </c>
      <c r="Q775">
        <f t="shared" si="163"/>
        <v>0</v>
      </c>
      <c r="R775">
        <v>0</v>
      </c>
      <c r="S775">
        <v>0</v>
      </c>
      <c r="T775">
        <v>1</v>
      </c>
      <c r="U775">
        <v>0</v>
      </c>
      <c r="V775">
        <v>1</v>
      </c>
      <c r="W775">
        <v>0</v>
      </c>
      <c r="X775">
        <v>0</v>
      </c>
      <c r="Y775">
        <v>0</v>
      </c>
      <c r="Z775">
        <v>0</v>
      </c>
      <c r="AA775">
        <v>0</v>
      </c>
      <c r="AB775">
        <v>0</v>
      </c>
      <c r="AC775">
        <v>0</v>
      </c>
      <c r="AD775">
        <v>0</v>
      </c>
      <c r="AE775">
        <v>0</v>
      </c>
      <c r="AF775">
        <v>0</v>
      </c>
      <c r="AG775">
        <v>1</v>
      </c>
      <c r="AH775">
        <v>1</v>
      </c>
      <c r="AI775">
        <v>0</v>
      </c>
      <c r="AJ775">
        <v>0</v>
      </c>
      <c r="AK775">
        <v>0</v>
      </c>
      <c r="AL775">
        <v>0</v>
      </c>
      <c r="AM775">
        <v>0</v>
      </c>
      <c r="AN775">
        <v>0</v>
      </c>
      <c r="AO775">
        <v>0</v>
      </c>
      <c r="AP775">
        <v>0</v>
      </c>
      <c r="AQ775">
        <v>0</v>
      </c>
      <c r="AR775">
        <v>0</v>
      </c>
      <c r="AS775">
        <f t="shared" si="164"/>
        <v>3</v>
      </c>
      <c r="AT775">
        <f t="shared" si="165"/>
        <v>4</v>
      </c>
      <c r="AU775" s="3" t="s">
        <v>1161</v>
      </c>
      <c r="AV775">
        <f t="shared" si="166"/>
        <v>1</v>
      </c>
      <c r="AW775">
        <f t="shared" si="167"/>
        <v>0</v>
      </c>
      <c r="AX775">
        <f t="shared" si="168"/>
        <v>0</v>
      </c>
      <c r="AY775">
        <v>2.5</v>
      </c>
      <c r="AZ775" t="s">
        <v>60</v>
      </c>
      <c r="BA775" t="s">
        <v>61</v>
      </c>
      <c r="BB775" t="s">
        <v>8</v>
      </c>
    </row>
    <row r="776" ht="320" spans="1:54">
      <c r="A776" t="s">
        <v>2738</v>
      </c>
      <c r="B776" t="s">
        <v>2118</v>
      </c>
      <c r="C776" t="s">
        <v>56</v>
      </c>
      <c r="D776">
        <v>38</v>
      </c>
      <c r="E776">
        <v>0</v>
      </c>
      <c r="F776">
        <v>72.3</v>
      </c>
      <c r="G776" t="s">
        <v>530</v>
      </c>
      <c r="H776" s="3" t="s">
        <v>2739</v>
      </c>
      <c r="I776" s="3" t="s">
        <v>2740</v>
      </c>
      <c r="J776">
        <f t="shared" si="156"/>
        <v>1</v>
      </c>
      <c r="K776">
        <f t="shared" si="157"/>
        <v>1</v>
      </c>
      <c r="L776">
        <f t="shared" si="158"/>
        <v>1</v>
      </c>
      <c r="M776">
        <f t="shared" si="159"/>
        <v>0</v>
      </c>
      <c r="N776">
        <f t="shared" si="160"/>
        <v>0</v>
      </c>
      <c r="O776">
        <f t="shared" si="161"/>
        <v>1</v>
      </c>
      <c r="P776">
        <f t="shared" si="162"/>
        <v>0</v>
      </c>
      <c r="Q776">
        <f t="shared" si="163"/>
        <v>0</v>
      </c>
      <c r="R776">
        <v>0</v>
      </c>
      <c r="S776">
        <v>0</v>
      </c>
      <c r="T776">
        <v>1</v>
      </c>
      <c r="U776">
        <v>1</v>
      </c>
      <c r="V776">
        <v>1</v>
      </c>
      <c r="W776">
        <v>0</v>
      </c>
      <c r="X776">
        <v>0</v>
      </c>
      <c r="Y776">
        <v>0</v>
      </c>
      <c r="Z776">
        <v>1</v>
      </c>
      <c r="AA776">
        <v>0</v>
      </c>
      <c r="AB776">
        <v>0</v>
      </c>
      <c r="AC776">
        <v>0</v>
      </c>
      <c r="AD776">
        <v>0</v>
      </c>
      <c r="AE776">
        <v>0</v>
      </c>
      <c r="AF776">
        <v>0</v>
      </c>
      <c r="AG776">
        <v>0</v>
      </c>
      <c r="AH776">
        <v>0</v>
      </c>
      <c r="AI776">
        <v>0</v>
      </c>
      <c r="AJ776">
        <v>0</v>
      </c>
      <c r="AK776">
        <v>1</v>
      </c>
      <c r="AL776">
        <v>0</v>
      </c>
      <c r="AM776">
        <v>0</v>
      </c>
      <c r="AN776">
        <v>0</v>
      </c>
      <c r="AO776">
        <v>0</v>
      </c>
      <c r="AP776">
        <v>0</v>
      </c>
      <c r="AQ776">
        <v>0</v>
      </c>
      <c r="AR776">
        <v>0</v>
      </c>
      <c r="AS776">
        <f t="shared" si="164"/>
        <v>4</v>
      </c>
      <c r="AT776">
        <f t="shared" si="165"/>
        <v>5</v>
      </c>
      <c r="AU776" s="3" t="s">
        <v>2741</v>
      </c>
      <c r="AV776">
        <f t="shared" si="166"/>
        <v>1</v>
      </c>
      <c r="AW776">
        <f t="shared" si="167"/>
        <v>0</v>
      </c>
      <c r="AX776">
        <f t="shared" si="168"/>
        <v>0</v>
      </c>
      <c r="AY776">
        <v>2</v>
      </c>
      <c r="AZ776" t="s">
        <v>60</v>
      </c>
      <c r="BA776" t="s">
        <v>61</v>
      </c>
      <c r="BB776" t="s">
        <v>8</v>
      </c>
    </row>
    <row r="777" ht="118" spans="1:54">
      <c r="A777" t="s">
        <v>2742</v>
      </c>
      <c r="B777" t="s">
        <v>2118</v>
      </c>
      <c r="C777" t="s">
        <v>56</v>
      </c>
      <c r="D777">
        <v>0</v>
      </c>
      <c r="E777">
        <v>0</v>
      </c>
      <c r="F777">
        <v>59.3</v>
      </c>
      <c r="G777" t="s">
        <v>530</v>
      </c>
      <c r="H777" s="3" t="s">
        <v>2743</v>
      </c>
      <c r="I777" s="3" t="s">
        <v>2744</v>
      </c>
      <c r="J777">
        <f t="shared" si="156"/>
        <v>0</v>
      </c>
      <c r="K777">
        <f t="shared" si="157"/>
        <v>0</v>
      </c>
      <c r="L777">
        <f t="shared" si="158"/>
        <v>0</v>
      </c>
      <c r="M777">
        <f t="shared" si="159"/>
        <v>1</v>
      </c>
      <c r="N777">
        <f t="shared" si="160"/>
        <v>1</v>
      </c>
      <c r="O777">
        <f t="shared" si="161"/>
        <v>0</v>
      </c>
      <c r="P777">
        <f t="shared" si="162"/>
        <v>0</v>
      </c>
      <c r="Q777">
        <f t="shared" si="163"/>
        <v>0</v>
      </c>
      <c r="R777">
        <v>0</v>
      </c>
      <c r="S777">
        <v>0</v>
      </c>
      <c r="T777">
        <v>0</v>
      </c>
      <c r="U777">
        <v>0</v>
      </c>
      <c r="V777">
        <v>0</v>
      </c>
      <c r="W777">
        <v>0</v>
      </c>
      <c r="X777">
        <v>0</v>
      </c>
      <c r="Y777">
        <v>0</v>
      </c>
      <c r="Z777">
        <v>0</v>
      </c>
      <c r="AA777">
        <v>0</v>
      </c>
      <c r="AB777">
        <v>0</v>
      </c>
      <c r="AC777">
        <v>0</v>
      </c>
      <c r="AD777">
        <v>0</v>
      </c>
      <c r="AE777">
        <v>0</v>
      </c>
      <c r="AF777">
        <v>1</v>
      </c>
      <c r="AG777">
        <v>0</v>
      </c>
      <c r="AH777">
        <v>1</v>
      </c>
      <c r="AI777">
        <v>0</v>
      </c>
      <c r="AJ777">
        <v>0</v>
      </c>
      <c r="AK777">
        <v>0</v>
      </c>
      <c r="AL777">
        <v>0</v>
      </c>
      <c r="AM777">
        <v>0</v>
      </c>
      <c r="AN777">
        <v>0</v>
      </c>
      <c r="AO777">
        <v>0</v>
      </c>
      <c r="AP777">
        <v>0</v>
      </c>
      <c r="AQ777">
        <v>0</v>
      </c>
      <c r="AR777">
        <v>0</v>
      </c>
      <c r="AS777">
        <f t="shared" si="164"/>
        <v>2</v>
      </c>
      <c r="AT777">
        <f t="shared" si="165"/>
        <v>2</v>
      </c>
      <c r="AU777" s="3" t="s">
        <v>2745</v>
      </c>
      <c r="AV777">
        <f t="shared" si="166"/>
        <v>1</v>
      </c>
      <c r="AW777">
        <f t="shared" si="167"/>
        <v>0</v>
      </c>
      <c r="AX777">
        <f t="shared" si="168"/>
        <v>0</v>
      </c>
      <c r="AY777">
        <v>5.5</v>
      </c>
      <c r="AZ777" t="s">
        <v>60</v>
      </c>
      <c r="BA777" t="s">
        <v>61</v>
      </c>
      <c r="BB777" t="s">
        <v>8</v>
      </c>
    </row>
    <row r="778" ht="51" spans="1:54">
      <c r="A778" t="s">
        <v>2746</v>
      </c>
      <c r="B778" t="s">
        <v>2118</v>
      </c>
      <c r="C778" t="s">
        <v>56</v>
      </c>
      <c r="D778">
        <v>0</v>
      </c>
      <c r="E778">
        <v>0</v>
      </c>
      <c r="F778">
        <v>42.7</v>
      </c>
      <c r="G778" t="s">
        <v>1755</v>
      </c>
      <c r="H778" s="3" t="s">
        <v>2747</v>
      </c>
      <c r="I778" s="3" t="s">
        <v>2748</v>
      </c>
      <c r="J778">
        <f t="shared" si="156"/>
        <v>0</v>
      </c>
      <c r="K778">
        <f t="shared" si="157"/>
        <v>1</v>
      </c>
      <c r="L778">
        <f t="shared" si="158"/>
        <v>0</v>
      </c>
      <c r="M778">
        <f t="shared" si="159"/>
        <v>0</v>
      </c>
      <c r="N778">
        <f t="shared" si="160"/>
        <v>0</v>
      </c>
      <c r="O778">
        <f t="shared" si="161"/>
        <v>1</v>
      </c>
      <c r="P778">
        <f t="shared" si="162"/>
        <v>0</v>
      </c>
      <c r="Q778">
        <f t="shared" si="163"/>
        <v>0</v>
      </c>
      <c r="R778">
        <v>0</v>
      </c>
      <c r="S778">
        <v>0</v>
      </c>
      <c r="T778">
        <v>0</v>
      </c>
      <c r="U778">
        <v>0</v>
      </c>
      <c r="V778">
        <v>1</v>
      </c>
      <c r="W778">
        <v>0</v>
      </c>
      <c r="X778">
        <v>0</v>
      </c>
      <c r="Y778">
        <v>0</v>
      </c>
      <c r="Z778">
        <v>0</v>
      </c>
      <c r="AA778">
        <v>0</v>
      </c>
      <c r="AB778">
        <v>0</v>
      </c>
      <c r="AC778">
        <v>0</v>
      </c>
      <c r="AD778">
        <v>0</v>
      </c>
      <c r="AE778">
        <v>0</v>
      </c>
      <c r="AF778">
        <v>0</v>
      </c>
      <c r="AG778">
        <v>0</v>
      </c>
      <c r="AH778">
        <v>0</v>
      </c>
      <c r="AI778">
        <v>1</v>
      </c>
      <c r="AJ778">
        <v>0</v>
      </c>
      <c r="AK778">
        <v>0</v>
      </c>
      <c r="AL778">
        <v>0</v>
      </c>
      <c r="AM778">
        <v>0</v>
      </c>
      <c r="AN778">
        <v>0</v>
      </c>
      <c r="AO778">
        <v>0</v>
      </c>
      <c r="AP778">
        <v>0</v>
      </c>
      <c r="AQ778">
        <v>0</v>
      </c>
      <c r="AR778">
        <v>0</v>
      </c>
      <c r="AS778">
        <f t="shared" si="164"/>
        <v>2</v>
      </c>
      <c r="AT778">
        <f t="shared" si="165"/>
        <v>2</v>
      </c>
      <c r="AU778" s="3" t="s">
        <v>82</v>
      </c>
      <c r="AV778">
        <f t="shared" si="166"/>
        <v>1</v>
      </c>
      <c r="AW778">
        <f t="shared" si="167"/>
        <v>0</v>
      </c>
      <c r="AX778">
        <f t="shared" si="168"/>
        <v>0</v>
      </c>
      <c r="AY778">
        <v>2</v>
      </c>
      <c r="AZ778" t="s">
        <v>60</v>
      </c>
      <c r="BA778" t="s">
        <v>61</v>
      </c>
      <c r="BB778" t="s">
        <v>8</v>
      </c>
    </row>
    <row r="779" ht="51" spans="1:54">
      <c r="A779" t="s">
        <v>2749</v>
      </c>
      <c r="B779" t="s">
        <v>2118</v>
      </c>
      <c r="C779" t="s">
        <v>56</v>
      </c>
      <c r="D779">
        <v>0</v>
      </c>
      <c r="E779">
        <v>0</v>
      </c>
      <c r="F779">
        <v>38.6</v>
      </c>
      <c r="G779" t="s">
        <v>539</v>
      </c>
      <c r="H779" s="3" t="s">
        <v>2750</v>
      </c>
      <c r="I779" s="3" t="s">
        <v>2751</v>
      </c>
      <c r="J779">
        <f t="shared" si="156"/>
        <v>1</v>
      </c>
      <c r="K779">
        <f t="shared" si="157"/>
        <v>0</v>
      </c>
      <c r="L779">
        <f t="shared" si="158"/>
        <v>1</v>
      </c>
      <c r="M779">
        <f t="shared" si="159"/>
        <v>0</v>
      </c>
      <c r="N779">
        <f t="shared" si="160"/>
        <v>0</v>
      </c>
      <c r="O779">
        <f t="shared" si="161"/>
        <v>0</v>
      </c>
      <c r="P779">
        <f t="shared" si="162"/>
        <v>1</v>
      </c>
      <c r="Q779">
        <f t="shared" si="163"/>
        <v>1</v>
      </c>
      <c r="R779">
        <v>0</v>
      </c>
      <c r="S779">
        <v>0</v>
      </c>
      <c r="T779">
        <v>1</v>
      </c>
      <c r="U779">
        <v>0</v>
      </c>
      <c r="V779">
        <v>0</v>
      </c>
      <c r="W779">
        <v>0</v>
      </c>
      <c r="X779">
        <v>0</v>
      </c>
      <c r="Y779">
        <v>0</v>
      </c>
      <c r="Z779">
        <v>0</v>
      </c>
      <c r="AA779">
        <v>0</v>
      </c>
      <c r="AB779">
        <v>0</v>
      </c>
      <c r="AC779">
        <v>1</v>
      </c>
      <c r="AD779">
        <v>0</v>
      </c>
      <c r="AE779">
        <v>0</v>
      </c>
      <c r="AF779">
        <v>0</v>
      </c>
      <c r="AG779">
        <v>0</v>
      </c>
      <c r="AH779">
        <v>0</v>
      </c>
      <c r="AI779">
        <v>0</v>
      </c>
      <c r="AJ779">
        <v>0</v>
      </c>
      <c r="AK779">
        <v>0</v>
      </c>
      <c r="AL779">
        <v>0</v>
      </c>
      <c r="AM779">
        <v>1</v>
      </c>
      <c r="AN779">
        <v>0</v>
      </c>
      <c r="AO779">
        <v>0</v>
      </c>
      <c r="AP779">
        <v>0</v>
      </c>
      <c r="AQ779">
        <v>0</v>
      </c>
      <c r="AR779">
        <v>1</v>
      </c>
      <c r="AS779">
        <f t="shared" si="164"/>
        <v>4</v>
      </c>
      <c r="AT779">
        <f t="shared" si="165"/>
        <v>4</v>
      </c>
      <c r="AU779" s="3" t="s">
        <v>2608</v>
      </c>
      <c r="AV779">
        <f t="shared" si="166"/>
        <v>1</v>
      </c>
      <c r="AW779">
        <f t="shared" si="167"/>
        <v>0</v>
      </c>
      <c r="AX779">
        <f t="shared" si="168"/>
        <v>0</v>
      </c>
      <c r="AY779">
        <v>-2</v>
      </c>
      <c r="AZ779" t="s">
        <v>133</v>
      </c>
      <c r="BA779" t="s">
        <v>134</v>
      </c>
      <c r="BB779" t="s">
        <v>8</v>
      </c>
    </row>
    <row r="780" ht="34" spans="1:54">
      <c r="A780" t="s">
        <v>2752</v>
      </c>
      <c r="B780" t="s">
        <v>2118</v>
      </c>
      <c r="C780" t="s">
        <v>116</v>
      </c>
      <c r="D780">
        <v>0</v>
      </c>
      <c r="E780">
        <v>0</v>
      </c>
      <c r="F780">
        <v>60.6</v>
      </c>
      <c r="G780" t="s">
        <v>539</v>
      </c>
      <c r="H780" s="3" t="s">
        <v>2753</v>
      </c>
      <c r="I780" s="3" t="s">
        <v>2754</v>
      </c>
      <c r="J780">
        <f t="shared" si="156"/>
        <v>0</v>
      </c>
      <c r="K780">
        <f t="shared" si="157"/>
        <v>0</v>
      </c>
      <c r="L780">
        <f t="shared" si="158"/>
        <v>1</v>
      </c>
      <c r="M780">
        <f t="shared" si="159"/>
        <v>0</v>
      </c>
      <c r="N780">
        <f t="shared" si="160"/>
        <v>0</v>
      </c>
      <c r="O780">
        <f t="shared" si="161"/>
        <v>0</v>
      </c>
      <c r="P780">
        <f t="shared" si="162"/>
        <v>0</v>
      </c>
      <c r="Q780">
        <f t="shared" si="163"/>
        <v>0</v>
      </c>
      <c r="R780">
        <v>0</v>
      </c>
      <c r="S780">
        <v>0</v>
      </c>
      <c r="T780">
        <v>0</v>
      </c>
      <c r="U780">
        <v>0</v>
      </c>
      <c r="V780">
        <v>0</v>
      </c>
      <c r="W780">
        <v>0</v>
      </c>
      <c r="X780">
        <v>0</v>
      </c>
      <c r="Y780">
        <v>0</v>
      </c>
      <c r="Z780">
        <v>1</v>
      </c>
      <c r="AA780">
        <v>0</v>
      </c>
      <c r="AB780">
        <v>0</v>
      </c>
      <c r="AC780">
        <v>0</v>
      </c>
      <c r="AD780">
        <v>0</v>
      </c>
      <c r="AE780">
        <v>0</v>
      </c>
      <c r="AF780">
        <v>0</v>
      </c>
      <c r="AG780">
        <v>0</v>
      </c>
      <c r="AH780">
        <v>0</v>
      </c>
      <c r="AI780">
        <v>0</v>
      </c>
      <c r="AJ780">
        <v>0</v>
      </c>
      <c r="AK780">
        <v>0</v>
      </c>
      <c r="AL780">
        <v>0</v>
      </c>
      <c r="AM780">
        <v>0</v>
      </c>
      <c r="AN780">
        <v>0</v>
      </c>
      <c r="AO780">
        <v>0</v>
      </c>
      <c r="AP780">
        <v>0</v>
      </c>
      <c r="AQ780">
        <v>0</v>
      </c>
      <c r="AR780">
        <v>0</v>
      </c>
      <c r="AS780">
        <f t="shared" si="164"/>
        <v>1</v>
      </c>
      <c r="AT780">
        <f t="shared" si="165"/>
        <v>1</v>
      </c>
      <c r="AU780" s="3" t="s">
        <v>146</v>
      </c>
      <c r="AV780">
        <f t="shared" si="166"/>
        <v>1</v>
      </c>
      <c r="AW780">
        <f t="shared" si="167"/>
        <v>0</v>
      </c>
      <c r="AX780">
        <f t="shared" si="168"/>
        <v>0</v>
      </c>
      <c r="AY780">
        <v>-2.5</v>
      </c>
      <c r="AZ780" t="s">
        <v>133</v>
      </c>
      <c r="BA780" t="s">
        <v>134</v>
      </c>
      <c r="BB780" t="s">
        <v>8</v>
      </c>
    </row>
    <row r="781" ht="118" spans="1:54">
      <c r="A781" t="s">
        <v>2755</v>
      </c>
      <c r="B781" t="s">
        <v>2118</v>
      </c>
      <c r="C781" t="s">
        <v>56</v>
      </c>
      <c r="D781">
        <v>0</v>
      </c>
      <c r="E781">
        <v>0</v>
      </c>
      <c r="F781">
        <v>15.8</v>
      </c>
      <c r="G781" t="s">
        <v>1777</v>
      </c>
      <c r="H781" s="3" t="s">
        <v>2756</v>
      </c>
      <c r="I781" s="3" t="s">
        <v>2757</v>
      </c>
      <c r="J781">
        <f t="shared" si="156"/>
        <v>0</v>
      </c>
      <c r="K781">
        <f t="shared" si="157"/>
        <v>1</v>
      </c>
      <c r="L781">
        <f t="shared" si="158"/>
        <v>0</v>
      </c>
      <c r="M781">
        <f t="shared" si="159"/>
        <v>0</v>
      </c>
      <c r="N781">
        <f t="shared" si="160"/>
        <v>0</v>
      </c>
      <c r="O781">
        <f t="shared" si="161"/>
        <v>0</v>
      </c>
      <c r="P781">
        <f t="shared" si="162"/>
        <v>0</v>
      </c>
      <c r="Q781">
        <f t="shared" si="163"/>
        <v>0</v>
      </c>
      <c r="R781">
        <v>0</v>
      </c>
      <c r="S781">
        <v>0</v>
      </c>
      <c r="T781">
        <v>0</v>
      </c>
      <c r="U781">
        <v>1</v>
      </c>
      <c r="V781">
        <v>0</v>
      </c>
      <c r="W781">
        <v>0</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0</v>
      </c>
      <c r="AQ781">
        <v>0</v>
      </c>
      <c r="AR781">
        <v>0</v>
      </c>
      <c r="AS781">
        <f t="shared" si="164"/>
        <v>1</v>
      </c>
      <c r="AT781">
        <f t="shared" si="165"/>
        <v>1</v>
      </c>
      <c r="AU781" s="3" t="s">
        <v>123</v>
      </c>
      <c r="AV781">
        <f t="shared" si="166"/>
        <v>1</v>
      </c>
      <c r="AW781">
        <f t="shared" si="167"/>
        <v>0</v>
      </c>
      <c r="AX781">
        <f t="shared" si="168"/>
        <v>0</v>
      </c>
      <c r="AY781">
        <v>6</v>
      </c>
      <c r="AZ781" t="s">
        <v>60</v>
      </c>
      <c r="BA781" t="s">
        <v>61</v>
      </c>
      <c r="BB781" t="s">
        <v>8</v>
      </c>
    </row>
    <row r="782" ht="51" spans="1:54">
      <c r="A782" t="s">
        <v>2758</v>
      </c>
      <c r="B782" t="s">
        <v>2118</v>
      </c>
      <c r="C782" t="s">
        <v>56</v>
      </c>
      <c r="D782">
        <v>0</v>
      </c>
      <c r="E782">
        <v>0</v>
      </c>
      <c r="F782">
        <v>45.3</v>
      </c>
      <c r="G782" t="s">
        <v>1777</v>
      </c>
      <c r="H782" s="3" t="s">
        <v>2759</v>
      </c>
      <c r="I782" s="3" t="s">
        <v>2760</v>
      </c>
      <c r="J782">
        <f t="shared" si="156"/>
        <v>0</v>
      </c>
      <c r="K782">
        <f t="shared" si="157"/>
        <v>1</v>
      </c>
      <c r="L782">
        <f t="shared" si="158"/>
        <v>0</v>
      </c>
      <c r="M782">
        <f t="shared" si="159"/>
        <v>0</v>
      </c>
      <c r="N782">
        <f t="shared" si="160"/>
        <v>1</v>
      </c>
      <c r="O782">
        <f t="shared" si="161"/>
        <v>1</v>
      </c>
      <c r="P782">
        <f t="shared" si="162"/>
        <v>0</v>
      </c>
      <c r="Q782">
        <f t="shared" si="163"/>
        <v>0</v>
      </c>
      <c r="R782">
        <v>0</v>
      </c>
      <c r="S782">
        <v>0</v>
      </c>
      <c r="T782">
        <v>0</v>
      </c>
      <c r="U782">
        <v>0</v>
      </c>
      <c r="V782">
        <v>0</v>
      </c>
      <c r="W782">
        <v>1</v>
      </c>
      <c r="X782">
        <v>0</v>
      </c>
      <c r="Y782">
        <v>0</v>
      </c>
      <c r="Z782">
        <v>0</v>
      </c>
      <c r="AA782">
        <v>0</v>
      </c>
      <c r="AB782">
        <v>0</v>
      </c>
      <c r="AC782">
        <v>0</v>
      </c>
      <c r="AD782">
        <v>0</v>
      </c>
      <c r="AE782">
        <v>0</v>
      </c>
      <c r="AF782">
        <v>0</v>
      </c>
      <c r="AG782">
        <v>0</v>
      </c>
      <c r="AH782">
        <v>1</v>
      </c>
      <c r="AI782">
        <v>1</v>
      </c>
      <c r="AJ782">
        <v>0</v>
      </c>
      <c r="AK782">
        <v>0</v>
      </c>
      <c r="AL782">
        <v>0</v>
      </c>
      <c r="AM782">
        <v>0</v>
      </c>
      <c r="AN782">
        <v>0</v>
      </c>
      <c r="AO782">
        <v>0</v>
      </c>
      <c r="AP782">
        <v>0</v>
      </c>
      <c r="AQ782">
        <v>0</v>
      </c>
      <c r="AR782">
        <v>0</v>
      </c>
      <c r="AS782">
        <f t="shared" si="164"/>
        <v>3</v>
      </c>
      <c r="AT782">
        <f t="shared" si="165"/>
        <v>3</v>
      </c>
      <c r="AU782" s="3" t="s">
        <v>2761</v>
      </c>
      <c r="AV782">
        <f t="shared" si="166"/>
        <v>1</v>
      </c>
      <c r="AW782">
        <f t="shared" si="167"/>
        <v>0</v>
      </c>
      <c r="AX782">
        <f t="shared" si="168"/>
        <v>0</v>
      </c>
      <c r="AY782">
        <v>1</v>
      </c>
      <c r="AZ782" t="s">
        <v>60</v>
      </c>
      <c r="BA782" t="s">
        <v>61</v>
      </c>
      <c r="BB782" t="s">
        <v>8</v>
      </c>
    </row>
    <row r="783" ht="101" spans="1:54">
      <c r="A783" t="s">
        <v>2762</v>
      </c>
      <c r="B783" t="s">
        <v>2118</v>
      </c>
      <c r="C783" t="s">
        <v>56</v>
      </c>
      <c r="D783">
        <v>0</v>
      </c>
      <c r="E783">
        <v>0</v>
      </c>
      <c r="F783">
        <v>95.7</v>
      </c>
      <c r="G783" t="s">
        <v>1777</v>
      </c>
      <c r="H783" s="3" t="s">
        <v>2763</v>
      </c>
      <c r="I783" s="3" t="s">
        <v>2764</v>
      </c>
      <c r="J783">
        <f t="shared" si="156"/>
        <v>1</v>
      </c>
      <c r="K783">
        <f t="shared" si="157"/>
        <v>1</v>
      </c>
      <c r="L783">
        <f t="shared" si="158"/>
        <v>0</v>
      </c>
      <c r="M783">
        <f t="shared" si="159"/>
        <v>0</v>
      </c>
      <c r="N783">
        <f t="shared" si="160"/>
        <v>1</v>
      </c>
      <c r="O783">
        <f t="shared" si="161"/>
        <v>1</v>
      </c>
      <c r="P783">
        <f t="shared" si="162"/>
        <v>0</v>
      </c>
      <c r="Q783">
        <f t="shared" si="163"/>
        <v>0</v>
      </c>
      <c r="R783">
        <v>0</v>
      </c>
      <c r="S783">
        <v>0</v>
      </c>
      <c r="T783">
        <v>1</v>
      </c>
      <c r="U783">
        <v>0</v>
      </c>
      <c r="V783">
        <v>1</v>
      </c>
      <c r="W783">
        <v>0</v>
      </c>
      <c r="X783">
        <v>0</v>
      </c>
      <c r="Y783">
        <v>0</v>
      </c>
      <c r="Z783">
        <v>0</v>
      </c>
      <c r="AA783">
        <v>0</v>
      </c>
      <c r="AB783">
        <v>0</v>
      </c>
      <c r="AC783">
        <v>0</v>
      </c>
      <c r="AD783">
        <v>0</v>
      </c>
      <c r="AE783">
        <v>0</v>
      </c>
      <c r="AF783">
        <v>0</v>
      </c>
      <c r="AG783">
        <v>0</v>
      </c>
      <c r="AH783">
        <v>1</v>
      </c>
      <c r="AI783">
        <v>0</v>
      </c>
      <c r="AJ783">
        <v>0</v>
      </c>
      <c r="AK783">
        <v>1</v>
      </c>
      <c r="AL783">
        <v>0</v>
      </c>
      <c r="AM783">
        <v>0</v>
      </c>
      <c r="AN783">
        <v>0</v>
      </c>
      <c r="AO783">
        <v>0</v>
      </c>
      <c r="AP783">
        <v>0</v>
      </c>
      <c r="AQ783">
        <v>0</v>
      </c>
      <c r="AR783">
        <v>0</v>
      </c>
      <c r="AS783">
        <f t="shared" si="164"/>
        <v>4</v>
      </c>
      <c r="AT783">
        <f t="shared" si="165"/>
        <v>4</v>
      </c>
      <c r="AU783" s="3" t="s">
        <v>1380</v>
      </c>
      <c r="AV783">
        <f t="shared" si="166"/>
        <v>1</v>
      </c>
      <c r="AW783">
        <f t="shared" si="167"/>
        <v>0</v>
      </c>
      <c r="AX783">
        <f t="shared" si="168"/>
        <v>0</v>
      </c>
      <c r="AY783">
        <v>3.5</v>
      </c>
      <c r="AZ783" t="s">
        <v>60</v>
      </c>
      <c r="BA783" t="s">
        <v>61</v>
      </c>
      <c r="BB783" t="s">
        <v>8</v>
      </c>
    </row>
    <row r="784" ht="101" spans="1:54">
      <c r="A784" t="s">
        <v>2765</v>
      </c>
      <c r="B784" t="s">
        <v>2118</v>
      </c>
      <c r="C784" t="s">
        <v>116</v>
      </c>
      <c r="D784">
        <v>3</v>
      </c>
      <c r="E784">
        <v>0</v>
      </c>
      <c r="F784">
        <v>41.2</v>
      </c>
      <c r="G784" t="s">
        <v>1777</v>
      </c>
      <c r="H784" s="3" t="s">
        <v>2766</v>
      </c>
      <c r="I784" s="3" t="s">
        <v>2767</v>
      </c>
      <c r="J784">
        <f t="shared" si="156"/>
        <v>1</v>
      </c>
      <c r="K784">
        <f t="shared" si="157"/>
        <v>1</v>
      </c>
      <c r="L784">
        <f t="shared" si="158"/>
        <v>0</v>
      </c>
      <c r="M784">
        <f t="shared" si="159"/>
        <v>0</v>
      </c>
      <c r="N784">
        <f t="shared" si="160"/>
        <v>1</v>
      </c>
      <c r="O784">
        <f t="shared" si="161"/>
        <v>0</v>
      </c>
      <c r="P784">
        <f t="shared" si="162"/>
        <v>0</v>
      </c>
      <c r="Q784">
        <f t="shared" si="163"/>
        <v>0</v>
      </c>
      <c r="R784">
        <v>1</v>
      </c>
      <c r="S784">
        <v>0</v>
      </c>
      <c r="T784">
        <v>0</v>
      </c>
      <c r="U784">
        <v>0</v>
      </c>
      <c r="V784">
        <v>1</v>
      </c>
      <c r="W784">
        <v>0</v>
      </c>
      <c r="X784">
        <v>0</v>
      </c>
      <c r="Y784">
        <v>0</v>
      </c>
      <c r="Z784">
        <v>0</v>
      </c>
      <c r="AA784">
        <v>0</v>
      </c>
      <c r="AB784">
        <v>0</v>
      </c>
      <c r="AC784">
        <v>0</v>
      </c>
      <c r="AD784">
        <v>0</v>
      </c>
      <c r="AE784">
        <v>0</v>
      </c>
      <c r="AF784">
        <v>0</v>
      </c>
      <c r="AG784">
        <v>0</v>
      </c>
      <c r="AH784">
        <v>1</v>
      </c>
      <c r="AI784">
        <v>0</v>
      </c>
      <c r="AJ784">
        <v>0</v>
      </c>
      <c r="AK784">
        <v>0</v>
      </c>
      <c r="AL784">
        <v>0</v>
      </c>
      <c r="AM784">
        <v>0</v>
      </c>
      <c r="AN784">
        <v>0</v>
      </c>
      <c r="AO784">
        <v>0</v>
      </c>
      <c r="AP784">
        <v>0</v>
      </c>
      <c r="AQ784">
        <v>0</v>
      </c>
      <c r="AR784">
        <v>0</v>
      </c>
      <c r="AS784">
        <f t="shared" si="164"/>
        <v>3</v>
      </c>
      <c r="AT784">
        <f t="shared" si="165"/>
        <v>3</v>
      </c>
      <c r="AU784" s="3" t="s">
        <v>2497</v>
      </c>
      <c r="AV784">
        <f t="shared" si="166"/>
        <v>1</v>
      </c>
      <c r="AW784">
        <f t="shared" si="167"/>
        <v>0</v>
      </c>
      <c r="AX784">
        <f t="shared" si="168"/>
        <v>0</v>
      </c>
      <c r="AY784">
        <v>-2</v>
      </c>
      <c r="AZ784" t="s">
        <v>133</v>
      </c>
      <c r="BA784" t="s">
        <v>134</v>
      </c>
      <c r="BB784" t="s">
        <v>8</v>
      </c>
    </row>
    <row r="785" ht="409.5" spans="1:54">
      <c r="A785" t="s">
        <v>2768</v>
      </c>
      <c r="B785" t="s">
        <v>2118</v>
      </c>
      <c r="C785" t="s">
        <v>56</v>
      </c>
      <c r="D785">
        <v>0</v>
      </c>
      <c r="E785">
        <v>0</v>
      </c>
      <c r="F785">
        <v>99.2</v>
      </c>
      <c r="G785" t="s">
        <v>1782</v>
      </c>
      <c r="H785" s="3" t="s">
        <v>2769</v>
      </c>
      <c r="I785" s="3" t="s">
        <v>2770</v>
      </c>
      <c r="J785">
        <f t="shared" si="156"/>
        <v>1</v>
      </c>
      <c r="K785">
        <f t="shared" si="157"/>
        <v>1</v>
      </c>
      <c r="L785">
        <f t="shared" si="158"/>
        <v>0</v>
      </c>
      <c r="M785">
        <f t="shared" si="159"/>
        <v>0</v>
      </c>
      <c r="N785">
        <f t="shared" si="160"/>
        <v>0</v>
      </c>
      <c r="O785">
        <f t="shared" si="161"/>
        <v>0</v>
      </c>
      <c r="P785">
        <f t="shared" si="162"/>
        <v>0</v>
      </c>
      <c r="Q785">
        <f t="shared" si="163"/>
        <v>0</v>
      </c>
      <c r="R785">
        <v>1</v>
      </c>
      <c r="S785">
        <v>1</v>
      </c>
      <c r="T785">
        <v>1</v>
      </c>
      <c r="U785">
        <v>0</v>
      </c>
      <c r="V785">
        <v>1</v>
      </c>
      <c r="W785">
        <v>1</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f t="shared" si="164"/>
        <v>2</v>
      </c>
      <c r="AT785">
        <f t="shared" si="165"/>
        <v>5</v>
      </c>
      <c r="AU785" s="3" t="s">
        <v>2771</v>
      </c>
      <c r="AV785">
        <f t="shared" si="166"/>
        <v>1</v>
      </c>
      <c r="AW785">
        <f t="shared" si="167"/>
        <v>0</v>
      </c>
      <c r="AX785">
        <f t="shared" si="168"/>
        <v>0</v>
      </c>
      <c r="AY785">
        <v>10</v>
      </c>
      <c r="AZ785" t="s">
        <v>60</v>
      </c>
      <c r="BA785" t="s">
        <v>61</v>
      </c>
      <c r="BB785" t="s">
        <v>8</v>
      </c>
    </row>
    <row r="786" ht="51" spans="1:54">
      <c r="A786" t="s">
        <v>2772</v>
      </c>
      <c r="B786" t="s">
        <v>2118</v>
      </c>
      <c r="C786" t="s">
        <v>56</v>
      </c>
      <c r="D786">
        <v>2</v>
      </c>
      <c r="E786">
        <v>0</v>
      </c>
      <c r="F786">
        <v>34.5</v>
      </c>
      <c r="G786" t="s">
        <v>1782</v>
      </c>
      <c r="H786" s="3" t="s">
        <v>2773</v>
      </c>
      <c r="I786" s="3" t="s">
        <v>2774</v>
      </c>
      <c r="J786">
        <f t="shared" si="156"/>
        <v>0</v>
      </c>
      <c r="K786">
        <f t="shared" si="157"/>
        <v>1</v>
      </c>
      <c r="L786">
        <f t="shared" si="158"/>
        <v>0</v>
      </c>
      <c r="M786">
        <f t="shared" si="159"/>
        <v>0</v>
      </c>
      <c r="N786">
        <f t="shared" si="160"/>
        <v>0</v>
      </c>
      <c r="O786">
        <f t="shared" si="161"/>
        <v>0</v>
      </c>
      <c r="P786">
        <f t="shared" si="162"/>
        <v>1</v>
      </c>
      <c r="Q786">
        <f t="shared" si="163"/>
        <v>0</v>
      </c>
      <c r="R786">
        <v>0</v>
      </c>
      <c r="S786">
        <v>0</v>
      </c>
      <c r="T786">
        <v>0</v>
      </c>
      <c r="U786">
        <v>0</v>
      </c>
      <c r="V786">
        <v>1</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1</v>
      </c>
      <c r="AQ786">
        <v>0</v>
      </c>
      <c r="AR786">
        <v>0</v>
      </c>
      <c r="AS786">
        <f t="shared" si="164"/>
        <v>2</v>
      </c>
      <c r="AT786">
        <f t="shared" si="165"/>
        <v>2</v>
      </c>
      <c r="AU786" s="3" t="s">
        <v>2775</v>
      </c>
      <c r="AV786">
        <f t="shared" si="166"/>
        <v>1</v>
      </c>
      <c r="AW786">
        <f t="shared" si="167"/>
        <v>0</v>
      </c>
      <c r="AX786">
        <f t="shared" si="168"/>
        <v>0</v>
      </c>
      <c r="AY786">
        <v>3.5</v>
      </c>
      <c r="AZ786" t="s">
        <v>60</v>
      </c>
      <c r="BA786" t="s">
        <v>61</v>
      </c>
      <c r="BB786" t="s">
        <v>8</v>
      </c>
    </row>
    <row r="787" ht="409.5" spans="1:54">
      <c r="A787" t="s">
        <v>2776</v>
      </c>
      <c r="B787" t="s">
        <v>2118</v>
      </c>
      <c r="C787" t="s">
        <v>56</v>
      </c>
      <c r="D787">
        <v>0</v>
      </c>
      <c r="E787">
        <v>0</v>
      </c>
      <c r="F787">
        <v>38.8</v>
      </c>
      <c r="G787" t="s">
        <v>542</v>
      </c>
      <c r="H787" s="3" t="s">
        <v>2777</v>
      </c>
      <c r="I787" s="3" t="s">
        <v>2778</v>
      </c>
      <c r="J787">
        <f t="shared" si="156"/>
        <v>0</v>
      </c>
      <c r="K787">
        <f t="shared" si="157"/>
        <v>0</v>
      </c>
      <c r="L787">
        <f t="shared" si="158"/>
        <v>1</v>
      </c>
      <c r="M787">
        <f t="shared" si="159"/>
        <v>0</v>
      </c>
      <c r="N787">
        <f t="shared" si="160"/>
        <v>0</v>
      </c>
      <c r="O787">
        <f t="shared" si="161"/>
        <v>0</v>
      </c>
      <c r="P787">
        <f t="shared" si="162"/>
        <v>0</v>
      </c>
      <c r="Q787">
        <f t="shared" si="163"/>
        <v>0</v>
      </c>
      <c r="R787">
        <v>0</v>
      </c>
      <c r="S787">
        <v>0</v>
      </c>
      <c r="T787">
        <v>0</v>
      </c>
      <c r="U787">
        <v>0</v>
      </c>
      <c r="V787">
        <v>0</v>
      </c>
      <c r="W787">
        <v>0</v>
      </c>
      <c r="X787">
        <v>0</v>
      </c>
      <c r="Y787">
        <v>0</v>
      </c>
      <c r="Z787">
        <v>1</v>
      </c>
      <c r="AA787">
        <v>0</v>
      </c>
      <c r="AB787">
        <v>0</v>
      </c>
      <c r="AC787">
        <v>0</v>
      </c>
      <c r="AD787">
        <v>0</v>
      </c>
      <c r="AE787">
        <v>0</v>
      </c>
      <c r="AF787">
        <v>0</v>
      </c>
      <c r="AG787">
        <v>0</v>
      </c>
      <c r="AH787">
        <v>0</v>
      </c>
      <c r="AI787">
        <v>0</v>
      </c>
      <c r="AJ787">
        <v>0</v>
      </c>
      <c r="AK787">
        <v>0</v>
      </c>
      <c r="AL787">
        <v>0</v>
      </c>
      <c r="AM787">
        <v>0</v>
      </c>
      <c r="AN787">
        <v>0</v>
      </c>
      <c r="AO787">
        <v>0</v>
      </c>
      <c r="AP787">
        <v>0</v>
      </c>
      <c r="AQ787">
        <v>0</v>
      </c>
      <c r="AR787">
        <v>0</v>
      </c>
      <c r="AS787">
        <f t="shared" si="164"/>
        <v>1</v>
      </c>
      <c r="AT787">
        <f t="shared" si="165"/>
        <v>1</v>
      </c>
      <c r="AU787" s="3" t="s">
        <v>146</v>
      </c>
      <c r="AV787">
        <f t="shared" si="166"/>
        <v>1</v>
      </c>
      <c r="AW787">
        <f t="shared" si="167"/>
        <v>0</v>
      </c>
      <c r="AX787">
        <f t="shared" si="168"/>
        <v>0</v>
      </c>
      <c r="AY787">
        <v>-1</v>
      </c>
      <c r="AZ787" t="s">
        <v>133</v>
      </c>
      <c r="BA787" t="s">
        <v>134</v>
      </c>
      <c r="BB787" t="s">
        <v>8</v>
      </c>
    </row>
    <row r="788" ht="51" spans="1:54">
      <c r="A788" t="s">
        <v>2779</v>
      </c>
      <c r="B788" t="s">
        <v>2118</v>
      </c>
      <c r="C788" t="s">
        <v>116</v>
      </c>
      <c r="D788">
        <v>0</v>
      </c>
      <c r="E788">
        <v>0</v>
      </c>
      <c r="F788">
        <v>25.8</v>
      </c>
      <c r="G788" t="s">
        <v>542</v>
      </c>
      <c r="H788" s="3" t="s">
        <v>2780</v>
      </c>
      <c r="I788" s="3" t="s">
        <v>2781</v>
      </c>
      <c r="J788">
        <f t="shared" si="156"/>
        <v>0</v>
      </c>
      <c r="K788">
        <f t="shared" si="157"/>
        <v>0</v>
      </c>
      <c r="L788">
        <f t="shared" si="158"/>
        <v>1</v>
      </c>
      <c r="M788">
        <f t="shared" si="159"/>
        <v>0</v>
      </c>
      <c r="N788">
        <f t="shared" si="160"/>
        <v>0</v>
      </c>
      <c r="O788">
        <f t="shared" si="161"/>
        <v>0</v>
      </c>
      <c r="P788">
        <f t="shared" si="162"/>
        <v>0</v>
      </c>
      <c r="Q788">
        <f t="shared" si="163"/>
        <v>0</v>
      </c>
      <c r="R788">
        <v>0</v>
      </c>
      <c r="S788">
        <v>0</v>
      </c>
      <c r="T788">
        <v>0</v>
      </c>
      <c r="U788">
        <v>0</v>
      </c>
      <c r="V788">
        <v>0</v>
      </c>
      <c r="W788">
        <v>0</v>
      </c>
      <c r="X788">
        <v>0</v>
      </c>
      <c r="Y788">
        <v>0</v>
      </c>
      <c r="Z788">
        <v>1</v>
      </c>
      <c r="AA788">
        <v>0</v>
      </c>
      <c r="AB788">
        <v>0</v>
      </c>
      <c r="AC788">
        <v>1</v>
      </c>
      <c r="AD788">
        <v>0</v>
      </c>
      <c r="AE788">
        <v>0</v>
      </c>
      <c r="AF788">
        <v>0</v>
      </c>
      <c r="AG788">
        <v>0</v>
      </c>
      <c r="AH788">
        <v>0</v>
      </c>
      <c r="AI788">
        <v>0</v>
      </c>
      <c r="AJ788">
        <v>0</v>
      </c>
      <c r="AK788">
        <v>0</v>
      </c>
      <c r="AL788">
        <v>0</v>
      </c>
      <c r="AM788">
        <v>0</v>
      </c>
      <c r="AN788">
        <v>0</v>
      </c>
      <c r="AO788">
        <v>0</v>
      </c>
      <c r="AP788">
        <v>0</v>
      </c>
      <c r="AQ788">
        <v>0</v>
      </c>
      <c r="AR788">
        <v>0</v>
      </c>
      <c r="AS788">
        <f t="shared" si="164"/>
        <v>1</v>
      </c>
      <c r="AT788">
        <f t="shared" si="165"/>
        <v>2</v>
      </c>
      <c r="AU788" s="3" t="s">
        <v>2171</v>
      </c>
      <c r="AV788">
        <f t="shared" si="166"/>
        <v>1</v>
      </c>
      <c r="AW788">
        <f t="shared" si="167"/>
        <v>0</v>
      </c>
      <c r="AX788">
        <f t="shared" si="168"/>
        <v>0</v>
      </c>
      <c r="AY788">
        <v>-3</v>
      </c>
      <c r="AZ788" t="s">
        <v>133</v>
      </c>
      <c r="BA788" t="s">
        <v>134</v>
      </c>
      <c r="BB788" t="s">
        <v>8</v>
      </c>
    </row>
    <row r="789" ht="135" spans="1:54">
      <c r="A789" t="s">
        <v>2782</v>
      </c>
      <c r="B789" t="s">
        <v>2118</v>
      </c>
      <c r="C789" t="s">
        <v>56</v>
      </c>
      <c r="D789">
        <v>0</v>
      </c>
      <c r="E789">
        <v>0</v>
      </c>
      <c r="F789">
        <v>43.4</v>
      </c>
      <c r="G789" t="s">
        <v>542</v>
      </c>
      <c r="H789" s="3" t="s">
        <v>2783</v>
      </c>
      <c r="I789" s="3" t="s">
        <v>2784</v>
      </c>
      <c r="J789">
        <f t="shared" si="156"/>
        <v>1</v>
      </c>
      <c r="K789">
        <f t="shared" si="157"/>
        <v>1</v>
      </c>
      <c r="L789">
        <f t="shared" si="158"/>
        <v>0</v>
      </c>
      <c r="M789">
        <f t="shared" si="159"/>
        <v>0</v>
      </c>
      <c r="N789">
        <f t="shared" si="160"/>
        <v>1</v>
      </c>
      <c r="O789">
        <f t="shared" si="161"/>
        <v>0</v>
      </c>
      <c r="P789">
        <f t="shared" si="162"/>
        <v>0</v>
      </c>
      <c r="Q789">
        <f t="shared" si="163"/>
        <v>0</v>
      </c>
      <c r="R789">
        <v>1</v>
      </c>
      <c r="S789">
        <v>0</v>
      </c>
      <c r="T789">
        <v>0</v>
      </c>
      <c r="U789">
        <v>1</v>
      </c>
      <c r="V789">
        <v>0</v>
      </c>
      <c r="W789">
        <v>0</v>
      </c>
      <c r="X789">
        <v>0</v>
      </c>
      <c r="Y789">
        <v>0</v>
      </c>
      <c r="Z789">
        <v>0</v>
      </c>
      <c r="AA789">
        <v>0</v>
      </c>
      <c r="AB789">
        <v>0</v>
      </c>
      <c r="AC789">
        <v>0</v>
      </c>
      <c r="AD789">
        <v>0</v>
      </c>
      <c r="AE789">
        <v>0</v>
      </c>
      <c r="AF789">
        <v>0</v>
      </c>
      <c r="AG789">
        <v>1</v>
      </c>
      <c r="AH789">
        <v>1</v>
      </c>
      <c r="AI789">
        <v>0</v>
      </c>
      <c r="AJ789">
        <v>0</v>
      </c>
      <c r="AK789">
        <v>0</v>
      </c>
      <c r="AL789">
        <v>0</v>
      </c>
      <c r="AM789">
        <v>0</v>
      </c>
      <c r="AN789">
        <v>0</v>
      </c>
      <c r="AO789">
        <v>0</v>
      </c>
      <c r="AP789">
        <v>0</v>
      </c>
      <c r="AQ789">
        <v>0</v>
      </c>
      <c r="AR789">
        <v>0</v>
      </c>
      <c r="AS789">
        <f t="shared" si="164"/>
        <v>3</v>
      </c>
      <c r="AT789">
        <f t="shared" si="165"/>
        <v>4</v>
      </c>
      <c r="AU789" s="3" t="s">
        <v>2785</v>
      </c>
      <c r="AV789">
        <f t="shared" si="166"/>
        <v>1</v>
      </c>
      <c r="AW789">
        <f t="shared" si="167"/>
        <v>0</v>
      </c>
      <c r="AX789">
        <f t="shared" si="168"/>
        <v>0</v>
      </c>
      <c r="AY789">
        <v>4.5</v>
      </c>
      <c r="AZ789" t="s">
        <v>60</v>
      </c>
      <c r="BA789" t="s">
        <v>61</v>
      </c>
      <c r="BB789" t="s">
        <v>8</v>
      </c>
    </row>
    <row r="790" ht="185" spans="1:54">
      <c r="A790" t="s">
        <v>2786</v>
      </c>
      <c r="B790" t="s">
        <v>2118</v>
      </c>
      <c r="C790" t="s">
        <v>56</v>
      </c>
      <c r="D790">
        <v>12</v>
      </c>
      <c r="E790">
        <v>0</v>
      </c>
      <c r="F790">
        <v>30.3</v>
      </c>
      <c r="G790" t="s">
        <v>1800</v>
      </c>
      <c r="H790" s="3" t="s">
        <v>2787</v>
      </c>
      <c r="I790" s="3" t="s">
        <v>2788</v>
      </c>
      <c r="J790">
        <f t="shared" si="156"/>
        <v>0</v>
      </c>
      <c r="K790">
        <f t="shared" si="157"/>
        <v>1</v>
      </c>
      <c r="L790">
        <f t="shared" si="158"/>
        <v>0</v>
      </c>
      <c r="M790">
        <f t="shared" si="159"/>
        <v>0</v>
      </c>
      <c r="N790">
        <f t="shared" si="160"/>
        <v>1</v>
      </c>
      <c r="O790">
        <f t="shared" si="161"/>
        <v>0</v>
      </c>
      <c r="P790">
        <f t="shared" si="162"/>
        <v>0</v>
      </c>
      <c r="Q790">
        <f t="shared" si="163"/>
        <v>1</v>
      </c>
      <c r="R790">
        <v>0</v>
      </c>
      <c r="S790">
        <v>0</v>
      </c>
      <c r="T790">
        <v>0</v>
      </c>
      <c r="U790">
        <v>0</v>
      </c>
      <c r="V790">
        <v>0</v>
      </c>
      <c r="W790">
        <v>1</v>
      </c>
      <c r="X790">
        <v>0</v>
      </c>
      <c r="Y790">
        <v>0</v>
      </c>
      <c r="Z790">
        <v>0</v>
      </c>
      <c r="AA790">
        <v>0</v>
      </c>
      <c r="AB790">
        <v>0</v>
      </c>
      <c r="AC790">
        <v>0</v>
      </c>
      <c r="AD790">
        <v>0</v>
      </c>
      <c r="AE790">
        <v>0</v>
      </c>
      <c r="AF790">
        <v>0</v>
      </c>
      <c r="AG790">
        <v>0</v>
      </c>
      <c r="AH790">
        <v>1</v>
      </c>
      <c r="AI790">
        <v>0</v>
      </c>
      <c r="AJ790">
        <v>0</v>
      </c>
      <c r="AK790">
        <v>0</v>
      </c>
      <c r="AL790">
        <v>0</v>
      </c>
      <c r="AM790">
        <v>0</v>
      </c>
      <c r="AN790">
        <v>0</v>
      </c>
      <c r="AO790">
        <v>0</v>
      </c>
      <c r="AP790">
        <v>0</v>
      </c>
      <c r="AQ790">
        <v>0</v>
      </c>
      <c r="AR790">
        <v>1</v>
      </c>
      <c r="AS790">
        <f t="shared" si="164"/>
        <v>3</v>
      </c>
      <c r="AT790">
        <f t="shared" si="165"/>
        <v>3</v>
      </c>
      <c r="AU790" s="3" t="s">
        <v>2789</v>
      </c>
      <c r="AV790">
        <f t="shared" si="166"/>
        <v>1</v>
      </c>
      <c r="AW790">
        <f t="shared" si="167"/>
        <v>0</v>
      </c>
      <c r="AX790">
        <f t="shared" si="168"/>
        <v>0</v>
      </c>
      <c r="AY790">
        <v>9</v>
      </c>
      <c r="AZ790" t="s">
        <v>60</v>
      </c>
      <c r="BA790" t="s">
        <v>61</v>
      </c>
      <c r="BB790" t="s">
        <v>8</v>
      </c>
    </row>
    <row r="791" ht="286" spans="1:54">
      <c r="A791" t="s">
        <v>2790</v>
      </c>
      <c r="B791" t="s">
        <v>2118</v>
      </c>
      <c r="C791" t="s">
        <v>56</v>
      </c>
      <c r="D791">
        <v>8</v>
      </c>
      <c r="E791">
        <v>1</v>
      </c>
      <c r="F791">
        <v>81</v>
      </c>
      <c r="G791" t="s">
        <v>545</v>
      </c>
      <c r="H791" s="3" t="s">
        <v>2791</v>
      </c>
      <c r="I791" s="3" t="s">
        <v>2792</v>
      </c>
      <c r="J791">
        <f t="shared" si="156"/>
        <v>0</v>
      </c>
      <c r="K791">
        <f t="shared" si="157"/>
        <v>1</v>
      </c>
      <c r="L791">
        <f t="shared" si="158"/>
        <v>0</v>
      </c>
      <c r="M791">
        <f t="shared" si="159"/>
        <v>0</v>
      </c>
      <c r="N791">
        <f t="shared" si="160"/>
        <v>1</v>
      </c>
      <c r="O791">
        <f t="shared" si="161"/>
        <v>1</v>
      </c>
      <c r="P791">
        <f t="shared" si="162"/>
        <v>0</v>
      </c>
      <c r="Q791">
        <f t="shared" si="163"/>
        <v>0</v>
      </c>
      <c r="R791">
        <v>0</v>
      </c>
      <c r="S791">
        <v>0</v>
      </c>
      <c r="T791">
        <v>0</v>
      </c>
      <c r="U791">
        <v>0</v>
      </c>
      <c r="V791">
        <v>0</v>
      </c>
      <c r="W791">
        <v>1</v>
      </c>
      <c r="X791">
        <v>0</v>
      </c>
      <c r="Y791">
        <v>0</v>
      </c>
      <c r="Z791">
        <v>0</v>
      </c>
      <c r="AA791">
        <v>0</v>
      </c>
      <c r="AB791">
        <v>0</v>
      </c>
      <c r="AC791">
        <v>0</v>
      </c>
      <c r="AD791">
        <v>0</v>
      </c>
      <c r="AE791">
        <v>0</v>
      </c>
      <c r="AF791">
        <v>0</v>
      </c>
      <c r="AG791">
        <v>0</v>
      </c>
      <c r="AH791">
        <v>1</v>
      </c>
      <c r="AI791">
        <v>1</v>
      </c>
      <c r="AJ791">
        <v>0</v>
      </c>
      <c r="AK791">
        <v>0</v>
      </c>
      <c r="AL791">
        <v>0</v>
      </c>
      <c r="AM791">
        <v>0</v>
      </c>
      <c r="AN791">
        <v>0</v>
      </c>
      <c r="AO791">
        <v>0</v>
      </c>
      <c r="AP791">
        <v>0</v>
      </c>
      <c r="AQ791">
        <v>0</v>
      </c>
      <c r="AR791">
        <v>0</v>
      </c>
      <c r="AS791">
        <f t="shared" si="164"/>
        <v>3</v>
      </c>
      <c r="AT791">
        <f t="shared" si="165"/>
        <v>3</v>
      </c>
      <c r="AU791" s="3" t="s">
        <v>2761</v>
      </c>
      <c r="AV791">
        <f t="shared" si="166"/>
        <v>1</v>
      </c>
      <c r="AW791">
        <f t="shared" si="167"/>
        <v>0</v>
      </c>
      <c r="AX791">
        <f t="shared" si="168"/>
        <v>0</v>
      </c>
      <c r="AY791">
        <v>4.5</v>
      </c>
      <c r="AZ791" t="s">
        <v>60</v>
      </c>
      <c r="BA791" t="s">
        <v>61</v>
      </c>
      <c r="BB791" t="s">
        <v>8</v>
      </c>
    </row>
    <row r="792" ht="101" spans="1:54">
      <c r="A792" t="s">
        <v>2793</v>
      </c>
      <c r="B792" t="s">
        <v>2118</v>
      </c>
      <c r="C792" t="s">
        <v>116</v>
      </c>
      <c r="D792">
        <v>0</v>
      </c>
      <c r="E792">
        <v>0</v>
      </c>
      <c r="F792">
        <v>79.3</v>
      </c>
      <c r="G792" t="s">
        <v>545</v>
      </c>
      <c r="H792" s="3" t="s">
        <v>2794</v>
      </c>
      <c r="I792" s="3" t="s">
        <v>2795</v>
      </c>
      <c r="J792">
        <f t="shared" si="156"/>
        <v>0</v>
      </c>
      <c r="K792">
        <f t="shared" si="157"/>
        <v>0</v>
      </c>
      <c r="L792">
        <f t="shared" si="158"/>
        <v>0</v>
      </c>
      <c r="M792">
        <f t="shared" si="159"/>
        <v>0</v>
      </c>
      <c r="N792">
        <f t="shared" si="160"/>
        <v>0</v>
      </c>
      <c r="O792">
        <f t="shared" si="161"/>
        <v>0</v>
      </c>
      <c r="P792">
        <f t="shared" si="162"/>
        <v>0</v>
      </c>
      <c r="Q792">
        <f t="shared" si="163"/>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0</v>
      </c>
      <c r="AO792">
        <v>0</v>
      </c>
      <c r="AP792">
        <v>0</v>
      </c>
      <c r="AQ792">
        <v>0</v>
      </c>
      <c r="AR792">
        <v>0</v>
      </c>
      <c r="AS792">
        <f t="shared" si="164"/>
        <v>0</v>
      </c>
      <c r="AT792">
        <f t="shared" si="165"/>
        <v>0</v>
      </c>
      <c r="AU792" s="3" t="s">
        <v>118</v>
      </c>
      <c r="AV792">
        <f t="shared" si="166"/>
        <v>0</v>
      </c>
      <c r="AW792">
        <f t="shared" si="167"/>
        <v>1</v>
      </c>
      <c r="AX792">
        <f t="shared" si="168"/>
        <v>0</v>
      </c>
      <c r="AY792">
        <v>-1</v>
      </c>
      <c r="AZ792" t="s">
        <v>133</v>
      </c>
      <c r="BA792" t="s">
        <v>134</v>
      </c>
      <c r="BB792" t="s">
        <v>8</v>
      </c>
    </row>
    <row r="793" ht="152" spans="1:54">
      <c r="A793" t="s">
        <v>2796</v>
      </c>
      <c r="B793" t="s">
        <v>2118</v>
      </c>
      <c r="C793" t="s">
        <v>56</v>
      </c>
      <c r="D793">
        <v>0</v>
      </c>
      <c r="E793">
        <v>0</v>
      </c>
      <c r="F793">
        <v>38.8</v>
      </c>
      <c r="G793" t="s">
        <v>545</v>
      </c>
      <c r="H793" s="3" t="s">
        <v>2797</v>
      </c>
      <c r="I793" s="3" t="s">
        <v>2798</v>
      </c>
      <c r="J793">
        <f t="shared" si="156"/>
        <v>0</v>
      </c>
      <c r="K793">
        <f t="shared" si="157"/>
        <v>1</v>
      </c>
      <c r="L793">
        <f t="shared" si="158"/>
        <v>1</v>
      </c>
      <c r="M793">
        <f t="shared" si="159"/>
        <v>0</v>
      </c>
      <c r="N793">
        <f t="shared" si="160"/>
        <v>1</v>
      </c>
      <c r="O793">
        <f t="shared" si="161"/>
        <v>0</v>
      </c>
      <c r="P793">
        <f t="shared" si="162"/>
        <v>0</v>
      </c>
      <c r="Q793">
        <f t="shared" si="163"/>
        <v>0</v>
      </c>
      <c r="R793">
        <v>0</v>
      </c>
      <c r="S793">
        <v>0</v>
      </c>
      <c r="T793">
        <v>0</v>
      </c>
      <c r="U793">
        <v>1</v>
      </c>
      <c r="V793">
        <v>1</v>
      </c>
      <c r="W793">
        <v>1</v>
      </c>
      <c r="X793">
        <v>0</v>
      </c>
      <c r="Y793">
        <v>0</v>
      </c>
      <c r="Z793">
        <v>0</v>
      </c>
      <c r="AA793">
        <v>1</v>
      </c>
      <c r="AB793">
        <v>0</v>
      </c>
      <c r="AC793">
        <v>0</v>
      </c>
      <c r="AD793">
        <v>0</v>
      </c>
      <c r="AE793">
        <v>0</v>
      </c>
      <c r="AF793">
        <v>0</v>
      </c>
      <c r="AG793">
        <v>0</v>
      </c>
      <c r="AH793">
        <v>1</v>
      </c>
      <c r="AI793">
        <v>0</v>
      </c>
      <c r="AJ793">
        <v>0</v>
      </c>
      <c r="AK793">
        <v>0</v>
      </c>
      <c r="AL793">
        <v>0</v>
      </c>
      <c r="AM793">
        <v>0</v>
      </c>
      <c r="AN793">
        <v>0</v>
      </c>
      <c r="AO793">
        <v>0</v>
      </c>
      <c r="AP793">
        <v>0</v>
      </c>
      <c r="AQ793">
        <v>0</v>
      </c>
      <c r="AR793">
        <v>0</v>
      </c>
      <c r="AS793">
        <f t="shared" si="164"/>
        <v>3</v>
      </c>
      <c r="AT793">
        <f t="shared" si="165"/>
        <v>5</v>
      </c>
      <c r="AU793" s="3" t="s">
        <v>2799</v>
      </c>
      <c r="AV793">
        <f t="shared" si="166"/>
        <v>1</v>
      </c>
      <c r="AW793">
        <f t="shared" si="167"/>
        <v>0</v>
      </c>
      <c r="AX793">
        <f t="shared" si="168"/>
        <v>0</v>
      </c>
      <c r="AY793">
        <v>4.5</v>
      </c>
      <c r="AZ793" t="s">
        <v>60</v>
      </c>
      <c r="BA793" t="s">
        <v>61</v>
      </c>
      <c r="BB793" t="s">
        <v>8</v>
      </c>
    </row>
    <row r="794" ht="34" spans="1:54">
      <c r="A794" t="s">
        <v>2800</v>
      </c>
      <c r="B794" t="s">
        <v>2118</v>
      </c>
      <c r="C794" t="s">
        <v>116</v>
      </c>
      <c r="D794">
        <v>0</v>
      </c>
      <c r="E794">
        <v>0</v>
      </c>
      <c r="F794">
        <v>133.8</v>
      </c>
      <c r="G794" t="s">
        <v>545</v>
      </c>
      <c r="H794" s="3" t="s">
        <v>2801</v>
      </c>
      <c r="I794" s="3" t="s">
        <v>2802</v>
      </c>
      <c r="J794">
        <f t="shared" si="156"/>
        <v>0</v>
      </c>
      <c r="K794">
        <f t="shared" si="157"/>
        <v>1</v>
      </c>
      <c r="L794">
        <f t="shared" si="158"/>
        <v>0</v>
      </c>
      <c r="M794">
        <f t="shared" si="159"/>
        <v>0</v>
      </c>
      <c r="N794">
        <f t="shared" si="160"/>
        <v>0</v>
      </c>
      <c r="O794">
        <f t="shared" si="161"/>
        <v>0</v>
      </c>
      <c r="P794">
        <f t="shared" si="162"/>
        <v>0</v>
      </c>
      <c r="Q794">
        <f t="shared" si="163"/>
        <v>0</v>
      </c>
      <c r="R794">
        <v>0</v>
      </c>
      <c r="S794">
        <v>0</v>
      </c>
      <c r="T794">
        <v>0</v>
      </c>
      <c r="U794">
        <v>0</v>
      </c>
      <c r="V794">
        <v>0</v>
      </c>
      <c r="W794">
        <v>1</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f t="shared" si="164"/>
        <v>1</v>
      </c>
      <c r="AT794">
        <f t="shared" si="165"/>
        <v>1</v>
      </c>
      <c r="AU794" s="3" t="s">
        <v>271</v>
      </c>
      <c r="AV794">
        <f t="shared" si="166"/>
        <v>1</v>
      </c>
      <c r="AW794">
        <f t="shared" si="167"/>
        <v>0</v>
      </c>
      <c r="AX794">
        <f t="shared" si="168"/>
        <v>0</v>
      </c>
      <c r="AY794">
        <v>0</v>
      </c>
      <c r="AZ794" t="s">
        <v>147</v>
      </c>
      <c r="BA794" t="s">
        <v>148</v>
      </c>
      <c r="BB794" t="s">
        <v>8</v>
      </c>
    </row>
    <row r="795" ht="68" spans="1:54">
      <c r="A795" t="s">
        <v>2803</v>
      </c>
      <c r="B795" t="s">
        <v>2118</v>
      </c>
      <c r="C795" t="s">
        <v>56</v>
      </c>
      <c r="D795">
        <v>0</v>
      </c>
      <c r="E795">
        <v>0</v>
      </c>
      <c r="F795">
        <v>225.2</v>
      </c>
      <c r="G795" t="s">
        <v>1816</v>
      </c>
      <c r="H795" s="3" t="s">
        <v>2804</v>
      </c>
      <c r="I795" s="3" t="s">
        <v>2805</v>
      </c>
      <c r="J795">
        <f t="shared" si="156"/>
        <v>0</v>
      </c>
      <c r="K795">
        <f t="shared" si="157"/>
        <v>0</v>
      </c>
      <c r="L795">
        <f t="shared" si="158"/>
        <v>0</v>
      </c>
      <c r="M795">
        <f t="shared" si="159"/>
        <v>0</v>
      </c>
      <c r="N795">
        <f t="shared" si="160"/>
        <v>1</v>
      </c>
      <c r="O795">
        <f t="shared" si="161"/>
        <v>1</v>
      </c>
      <c r="P795">
        <f t="shared" si="162"/>
        <v>0</v>
      </c>
      <c r="Q795">
        <f t="shared" si="163"/>
        <v>0</v>
      </c>
      <c r="R795">
        <v>0</v>
      </c>
      <c r="S795">
        <v>0</v>
      </c>
      <c r="T795">
        <v>0</v>
      </c>
      <c r="U795">
        <v>0</v>
      </c>
      <c r="V795">
        <v>0</v>
      </c>
      <c r="W795">
        <v>0</v>
      </c>
      <c r="X795">
        <v>0</v>
      </c>
      <c r="Y795">
        <v>0</v>
      </c>
      <c r="Z795">
        <v>0</v>
      </c>
      <c r="AA795">
        <v>0</v>
      </c>
      <c r="AB795">
        <v>0</v>
      </c>
      <c r="AC795">
        <v>0</v>
      </c>
      <c r="AD795">
        <v>0</v>
      </c>
      <c r="AE795">
        <v>0</v>
      </c>
      <c r="AF795">
        <v>0</v>
      </c>
      <c r="AG795">
        <v>0</v>
      </c>
      <c r="AH795">
        <v>1</v>
      </c>
      <c r="AI795">
        <v>1</v>
      </c>
      <c r="AJ795">
        <v>0</v>
      </c>
      <c r="AK795">
        <v>0</v>
      </c>
      <c r="AL795">
        <v>1</v>
      </c>
      <c r="AM795">
        <v>0</v>
      </c>
      <c r="AN795">
        <v>0</v>
      </c>
      <c r="AO795">
        <v>0</v>
      </c>
      <c r="AP795">
        <v>0</v>
      </c>
      <c r="AQ795">
        <v>0</v>
      </c>
      <c r="AR795">
        <v>0</v>
      </c>
      <c r="AS795">
        <f t="shared" si="164"/>
        <v>2</v>
      </c>
      <c r="AT795">
        <f t="shared" si="165"/>
        <v>3</v>
      </c>
      <c r="AU795" s="3" t="s">
        <v>224</v>
      </c>
      <c r="AV795">
        <f t="shared" si="166"/>
        <v>1</v>
      </c>
      <c r="AW795">
        <f t="shared" si="167"/>
        <v>0</v>
      </c>
      <c r="AX795">
        <f t="shared" si="168"/>
        <v>0</v>
      </c>
      <c r="AY795">
        <v>8.5</v>
      </c>
      <c r="AZ795" t="s">
        <v>60</v>
      </c>
      <c r="BA795" t="s">
        <v>61</v>
      </c>
      <c r="BB795" t="s">
        <v>8</v>
      </c>
    </row>
    <row r="796" ht="34" spans="1:54">
      <c r="A796" t="s">
        <v>2806</v>
      </c>
      <c r="B796" t="s">
        <v>2118</v>
      </c>
      <c r="C796" t="s">
        <v>116</v>
      </c>
      <c r="D796">
        <v>0</v>
      </c>
      <c r="E796">
        <v>0</v>
      </c>
      <c r="F796">
        <v>107.6</v>
      </c>
      <c r="G796" t="s">
        <v>1816</v>
      </c>
      <c r="H796" s="3" t="s">
        <v>2807</v>
      </c>
      <c r="I796" s="3" t="s">
        <v>2808</v>
      </c>
      <c r="J796">
        <f t="shared" si="156"/>
        <v>0</v>
      </c>
      <c r="K796">
        <f t="shared" si="157"/>
        <v>1</v>
      </c>
      <c r="L796">
        <f t="shared" si="158"/>
        <v>0</v>
      </c>
      <c r="M796">
        <f t="shared" si="159"/>
        <v>0</v>
      </c>
      <c r="N796">
        <f t="shared" si="160"/>
        <v>0</v>
      </c>
      <c r="O796">
        <f t="shared" si="161"/>
        <v>0</v>
      </c>
      <c r="P796">
        <f t="shared" si="162"/>
        <v>0</v>
      </c>
      <c r="Q796">
        <f t="shared" si="163"/>
        <v>0</v>
      </c>
      <c r="R796">
        <v>0</v>
      </c>
      <c r="S796">
        <v>0</v>
      </c>
      <c r="T796">
        <v>0</v>
      </c>
      <c r="U796">
        <v>0</v>
      </c>
      <c r="V796">
        <v>1</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c r="AS796">
        <f t="shared" si="164"/>
        <v>1</v>
      </c>
      <c r="AT796">
        <f t="shared" si="165"/>
        <v>1</v>
      </c>
      <c r="AU796" s="3" t="s">
        <v>845</v>
      </c>
      <c r="AV796">
        <f t="shared" si="166"/>
        <v>1</v>
      </c>
      <c r="AW796">
        <f t="shared" si="167"/>
        <v>0</v>
      </c>
      <c r="AX796">
        <f t="shared" si="168"/>
        <v>0</v>
      </c>
      <c r="AY796">
        <v>-2</v>
      </c>
      <c r="AZ796" t="s">
        <v>133</v>
      </c>
      <c r="BA796" t="s">
        <v>134</v>
      </c>
      <c r="BB796" t="s">
        <v>8</v>
      </c>
    </row>
    <row r="797" ht="51" spans="1:54">
      <c r="A797" t="s">
        <v>2809</v>
      </c>
      <c r="B797" t="s">
        <v>2118</v>
      </c>
      <c r="C797" t="s">
        <v>56</v>
      </c>
      <c r="D797">
        <v>7</v>
      </c>
      <c r="E797">
        <v>2</v>
      </c>
      <c r="F797">
        <v>91.4</v>
      </c>
      <c r="G797" t="s">
        <v>552</v>
      </c>
      <c r="H797" s="3" t="s">
        <v>2810</v>
      </c>
      <c r="I797" s="3" t="s">
        <v>2811</v>
      </c>
      <c r="J797">
        <f t="shared" si="156"/>
        <v>1</v>
      </c>
      <c r="K797">
        <f t="shared" si="157"/>
        <v>1</v>
      </c>
      <c r="L797">
        <f t="shared" si="158"/>
        <v>0</v>
      </c>
      <c r="M797">
        <f t="shared" si="159"/>
        <v>0</v>
      </c>
      <c r="N797">
        <f t="shared" si="160"/>
        <v>0</v>
      </c>
      <c r="O797">
        <f t="shared" si="161"/>
        <v>1</v>
      </c>
      <c r="P797">
        <f t="shared" si="162"/>
        <v>0</v>
      </c>
      <c r="Q797">
        <f t="shared" si="163"/>
        <v>0</v>
      </c>
      <c r="R797">
        <v>1</v>
      </c>
      <c r="S797">
        <v>0</v>
      </c>
      <c r="T797">
        <v>0</v>
      </c>
      <c r="U797">
        <v>0</v>
      </c>
      <c r="V797">
        <v>0</v>
      </c>
      <c r="W797">
        <v>1</v>
      </c>
      <c r="X797">
        <v>0</v>
      </c>
      <c r="Y797">
        <v>0</v>
      </c>
      <c r="Z797">
        <v>0</v>
      </c>
      <c r="AA797">
        <v>0</v>
      </c>
      <c r="AB797">
        <v>0</v>
      </c>
      <c r="AC797">
        <v>0</v>
      </c>
      <c r="AD797">
        <v>0</v>
      </c>
      <c r="AE797">
        <v>0</v>
      </c>
      <c r="AF797">
        <v>0</v>
      </c>
      <c r="AG797">
        <v>0</v>
      </c>
      <c r="AH797">
        <v>0</v>
      </c>
      <c r="AI797">
        <v>1</v>
      </c>
      <c r="AJ797">
        <v>0</v>
      </c>
      <c r="AK797">
        <v>0</v>
      </c>
      <c r="AL797">
        <v>0</v>
      </c>
      <c r="AM797">
        <v>0</v>
      </c>
      <c r="AN797">
        <v>0</v>
      </c>
      <c r="AO797">
        <v>0</v>
      </c>
      <c r="AP797">
        <v>0</v>
      </c>
      <c r="AQ797">
        <v>0</v>
      </c>
      <c r="AR797">
        <v>0</v>
      </c>
      <c r="AS797">
        <f t="shared" si="164"/>
        <v>3</v>
      </c>
      <c r="AT797">
        <f t="shared" si="165"/>
        <v>3</v>
      </c>
      <c r="AU797" s="3" t="s">
        <v>2812</v>
      </c>
      <c r="AV797">
        <f t="shared" si="166"/>
        <v>1</v>
      </c>
      <c r="AW797">
        <f t="shared" si="167"/>
        <v>0</v>
      </c>
      <c r="AX797">
        <f t="shared" si="168"/>
        <v>0</v>
      </c>
      <c r="AY797">
        <v>4.5</v>
      </c>
      <c r="AZ797" t="s">
        <v>60</v>
      </c>
      <c r="BA797" t="s">
        <v>61</v>
      </c>
      <c r="BB797" t="s">
        <v>8</v>
      </c>
    </row>
    <row r="798" ht="202" spans="1:54">
      <c r="A798" t="s">
        <v>2813</v>
      </c>
      <c r="B798" t="s">
        <v>2118</v>
      </c>
      <c r="C798" t="s">
        <v>56</v>
      </c>
      <c r="D798">
        <v>0</v>
      </c>
      <c r="E798">
        <v>1</v>
      </c>
      <c r="F798">
        <v>76.9</v>
      </c>
      <c r="G798" t="s">
        <v>552</v>
      </c>
      <c r="H798" s="3" t="s">
        <v>2814</v>
      </c>
      <c r="I798" s="3" t="s">
        <v>2815</v>
      </c>
      <c r="J798">
        <f t="shared" si="156"/>
        <v>1</v>
      </c>
      <c r="K798">
        <f t="shared" si="157"/>
        <v>1</v>
      </c>
      <c r="L798">
        <f t="shared" si="158"/>
        <v>1</v>
      </c>
      <c r="M798">
        <f t="shared" si="159"/>
        <v>0</v>
      </c>
      <c r="N798">
        <f t="shared" si="160"/>
        <v>1</v>
      </c>
      <c r="O798">
        <f t="shared" si="161"/>
        <v>1</v>
      </c>
      <c r="P798">
        <f t="shared" si="162"/>
        <v>0</v>
      </c>
      <c r="Q798">
        <f t="shared" si="163"/>
        <v>0</v>
      </c>
      <c r="R798">
        <v>0</v>
      </c>
      <c r="S798">
        <v>0</v>
      </c>
      <c r="T798">
        <v>1</v>
      </c>
      <c r="U798">
        <v>0</v>
      </c>
      <c r="V798">
        <v>1</v>
      </c>
      <c r="W798">
        <v>0</v>
      </c>
      <c r="X798">
        <v>0</v>
      </c>
      <c r="Y798">
        <v>0</v>
      </c>
      <c r="Z798">
        <v>0</v>
      </c>
      <c r="AA798">
        <v>0</v>
      </c>
      <c r="AB798">
        <v>0</v>
      </c>
      <c r="AC798">
        <v>1</v>
      </c>
      <c r="AD798">
        <v>0</v>
      </c>
      <c r="AE798">
        <v>0</v>
      </c>
      <c r="AF798">
        <v>0</v>
      </c>
      <c r="AG798">
        <v>1</v>
      </c>
      <c r="AH798">
        <v>1</v>
      </c>
      <c r="AI798">
        <v>1</v>
      </c>
      <c r="AJ798">
        <v>0</v>
      </c>
      <c r="AK798">
        <v>0</v>
      </c>
      <c r="AL798">
        <v>1</v>
      </c>
      <c r="AM798">
        <v>0</v>
      </c>
      <c r="AN798">
        <v>0</v>
      </c>
      <c r="AO798">
        <v>0</v>
      </c>
      <c r="AP798">
        <v>0</v>
      </c>
      <c r="AQ798">
        <v>0</v>
      </c>
      <c r="AR798">
        <v>0</v>
      </c>
      <c r="AS798">
        <f t="shared" si="164"/>
        <v>5</v>
      </c>
      <c r="AT798">
        <f t="shared" si="165"/>
        <v>7</v>
      </c>
      <c r="AU798" s="3" t="s">
        <v>2816</v>
      </c>
      <c r="AV798">
        <f t="shared" si="166"/>
        <v>1</v>
      </c>
      <c r="AW798">
        <f t="shared" si="167"/>
        <v>0</v>
      </c>
      <c r="AX798">
        <f t="shared" si="168"/>
        <v>0</v>
      </c>
      <c r="AY798">
        <v>4</v>
      </c>
      <c r="AZ798" t="s">
        <v>60</v>
      </c>
      <c r="BA798" t="s">
        <v>61</v>
      </c>
      <c r="BB798" t="s">
        <v>8</v>
      </c>
    </row>
    <row r="799" ht="51" spans="1:54">
      <c r="A799" t="s">
        <v>2817</v>
      </c>
      <c r="B799" t="s">
        <v>2118</v>
      </c>
      <c r="C799" t="s">
        <v>56</v>
      </c>
      <c r="D799">
        <v>0</v>
      </c>
      <c r="E799">
        <v>0</v>
      </c>
      <c r="F799">
        <v>87.3</v>
      </c>
      <c r="G799" t="s">
        <v>552</v>
      </c>
      <c r="H799" s="3" t="s">
        <v>2818</v>
      </c>
      <c r="I799" s="3" t="s">
        <v>2819</v>
      </c>
      <c r="J799">
        <f t="shared" si="156"/>
        <v>0</v>
      </c>
      <c r="K799">
        <f t="shared" si="157"/>
        <v>0</v>
      </c>
      <c r="L799">
        <f t="shared" si="158"/>
        <v>0</v>
      </c>
      <c r="M799">
        <f t="shared" si="159"/>
        <v>0</v>
      </c>
      <c r="N799">
        <f t="shared" si="160"/>
        <v>1</v>
      </c>
      <c r="O799">
        <f t="shared" si="161"/>
        <v>0</v>
      </c>
      <c r="P799">
        <f t="shared" si="162"/>
        <v>0</v>
      </c>
      <c r="Q799">
        <f t="shared" si="163"/>
        <v>1</v>
      </c>
      <c r="R799">
        <v>0</v>
      </c>
      <c r="S799">
        <v>0</v>
      </c>
      <c r="T799">
        <v>0</v>
      </c>
      <c r="U799">
        <v>0</v>
      </c>
      <c r="V799">
        <v>0</v>
      </c>
      <c r="W799">
        <v>0</v>
      </c>
      <c r="X799">
        <v>0</v>
      </c>
      <c r="Y799">
        <v>0</v>
      </c>
      <c r="Z799">
        <v>0</v>
      </c>
      <c r="AA799">
        <v>0</v>
      </c>
      <c r="AB799">
        <v>0</v>
      </c>
      <c r="AC799">
        <v>0</v>
      </c>
      <c r="AD799">
        <v>0</v>
      </c>
      <c r="AE799">
        <v>0</v>
      </c>
      <c r="AF799">
        <v>0</v>
      </c>
      <c r="AG799">
        <v>1</v>
      </c>
      <c r="AH799">
        <v>0</v>
      </c>
      <c r="AI799">
        <v>0</v>
      </c>
      <c r="AJ799">
        <v>0</v>
      </c>
      <c r="AK799">
        <v>0</v>
      </c>
      <c r="AL799">
        <v>0</v>
      </c>
      <c r="AM799">
        <v>0</v>
      </c>
      <c r="AN799">
        <v>0</v>
      </c>
      <c r="AO799">
        <v>0</v>
      </c>
      <c r="AP799">
        <v>0</v>
      </c>
      <c r="AQ799">
        <v>0</v>
      </c>
      <c r="AR799">
        <v>1</v>
      </c>
      <c r="AS799">
        <f t="shared" si="164"/>
        <v>2</v>
      </c>
      <c r="AT799">
        <f t="shared" si="165"/>
        <v>2</v>
      </c>
      <c r="AU799" s="3" t="s">
        <v>852</v>
      </c>
      <c r="AV799">
        <f t="shared" si="166"/>
        <v>1</v>
      </c>
      <c r="AW799">
        <f t="shared" si="167"/>
        <v>0</v>
      </c>
      <c r="AX799">
        <f t="shared" si="168"/>
        <v>0</v>
      </c>
      <c r="AY799">
        <v>0.5</v>
      </c>
      <c r="AZ799" t="s">
        <v>60</v>
      </c>
      <c r="BA799" t="s">
        <v>61</v>
      </c>
      <c r="BB799" t="s">
        <v>8</v>
      </c>
    </row>
    <row r="800" ht="34" spans="1:54">
      <c r="A800" t="s">
        <v>2820</v>
      </c>
      <c r="B800" t="s">
        <v>2118</v>
      </c>
      <c r="C800" t="s">
        <v>56</v>
      </c>
      <c r="D800">
        <v>0</v>
      </c>
      <c r="E800">
        <v>0</v>
      </c>
      <c r="F800">
        <v>7.7</v>
      </c>
      <c r="G800" t="s">
        <v>559</v>
      </c>
      <c r="H800" s="3" t="s">
        <v>2821</v>
      </c>
      <c r="I800" s="3" t="s">
        <v>2822</v>
      </c>
      <c r="J800">
        <f t="shared" si="156"/>
        <v>1</v>
      </c>
      <c r="K800">
        <f t="shared" si="157"/>
        <v>1</v>
      </c>
      <c r="L800">
        <f t="shared" si="158"/>
        <v>0</v>
      </c>
      <c r="M800">
        <f t="shared" si="159"/>
        <v>0</v>
      </c>
      <c r="N800">
        <f t="shared" si="160"/>
        <v>0</v>
      </c>
      <c r="O800">
        <f t="shared" si="161"/>
        <v>0</v>
      </c>
      <c r="P800">
        <f t="shared" si="162"/>
        <v>0</v>
      </c>
      <c r="Q800">
        <f t="shared" si="163"/>
        <v>0</v>
      </c>
      <c r="R800">
        <v>1</v>
      </c>
      <c r="S800">
        <v>0</v>
      </c>
      <c r="T800">
        <v>0</v>
      </c>
      <c r="U800">
        <v>0</v>
      </c>
      <c r="V800">
        <v>0</v>
      </c>
      <c r="W800">
        <v>1</v>
      </c>
      <c r="X800">
        <v>0</v>
      </c>
      <c r="Y800">
        <v>0</v>
      </c>
      <c r="Z800">
        <v>0</v>
      </c>
      <c r="AA800">
        <v>0</v>
      </c>
      <c r="AB800">
        <v>0</v>
      </c>
      <c r="AC800">
        <v>0</v>
      </c>
      <c r="AD800">
        <v>0</v>
      </c>
      <c r="AE800">
        <v>0</v>
      </c>
      <c r="AF800">
        <v>0</v>
      </c>
      <c r="AG800">
        <v>0</v>
      </c>
      <c r="AH800">
        <v>0</v>
      </c>
      <c r="AI800">
        <v>0</v>
      </c>
      <c r="AJ800">
        <v>0</v>
      </c>
      <c r="AK800">
        <v>0</v>
      </c>
      <c r="AL800">
        <v>0</v>
      </c>
      <c r="AM800">
        <v>0</v>
      </c>
      <c r="AN800">
        <v>0</v>
      </c>
      <c r="AO800">
        <v>0</v>
      </c>
      <c r="AP800">
        <v>0</v>
      </c>
      <c r="AQ800">
        <v>0</v>
      </c>
      <c r="AR800">
        <v>0</v>
      </c>
      <c r="AS800">
        <f t="shared" si="164"/>
        <v>2</v>
      </c>
      <c r="AT800">
        <f t="shared" si="165"/>
        <v>2</v>
      </c>
      <c r="AU800" s="3" t="s">
        <v>2823</v>
      </c>
      <c r="AV800">
        <f t="shared" si="166"/>
        <v>1</v>
      </c>
      <c r="AW800">
        <f t="shared" si="167"/>
        <v>0</v>
      </c>
      <c r="AX800">
        <f t="shared" si="168"/>
        <v>0</v>
      </c>
      <c r="AY800">
        <v>3</v>
      </c>
      <c r="AZ800" t="s">
        <v>60</v>
      </c>
      <c r="BA800" t="s">
        <v>61</v>
      </c>
      <c r="BB800" t="s">
        <v>8</v>
      </c>
    </row>
    <row r="801" ht="34" spans="1:54">
      <c r="A801" t="s">
        <v>2824</v>
      </c>
      <c r="B801" t="s">
        <v>2118</v>
      </c>
      <c r="C801" t="s">
        <v>56</v>
      </c>
      <c r="D801">
        <v>0</v>
      </c>
      <c r="E801">
        <v>0</v>
      </c>
      <c r="F801">
        <v>42.4</v>
      </c>
      <c r="G801" t="s">
        <v>559</v>
      </c>
      <c r="H801" s="3" t="s">
        <v>2825</v>
      </c>
      <c r="I801" s="3" t="s">
        <v>2826</v>
      </c>
      <c r="J801">
        <f t="shared" si="156"/>
        <v>1</v>
      </c>
      <c r="K801">
        <f t="shared" si="157"/>
        <v>1</v>
      </c>
      <c r="L801">
        <f t="shared" si="158"/>
        <v>1</v>
      </c>
      <c r="M801">
        <f t="shared" si="159"/>
        <v>0</v>
      </c>
      <c r="N801">
        <f t="shared" si="160"/>
        <v>0</v>
      </c>
      <c r="O801">
        <f t="shared" si="161"/>
        <v>0</v>
      </c>
      <c r="P801">
        <f t="shared" si="162"/>
        <v>0</v>
      </c>
      <c r="Q801">
        <f t="shared" si="163"/>
        <v>0</v>
      </c>
      <c r="R801">
        <v>1</v>
      </c>
      <c r="S801">
        <v>0</v>
      </c>
      <c r="T801">
        <v>1</v>
      </c>
      <c r="U801">
        <v>1</v>
      </c>
      <c r="V801">
        <v>0</v>
      </c>
      <c r="W801">
        <v>0</v>
      </c>
      <c r="X801">
        <v>0</v>
      </c>
      <c r="Y801">
        <v>0</v>
      </c>
      <c r="Z801">
        <v>0</v>
      </c>
      <c r="AA801">
        <v>0</v>
      </c>
      <c r="AB801">
        <v>1</v>
      </c>
      <c r="AC801">
        <v>1</v>
      </c>
      <c r="AD801">
        <v>0</v>
      </c>
      <c r="AE801">
        <v>0</v>
      </c>
      <c r="AF801">
        <v>0</v>
      </c>
      <c r="AG801">
        <v>0</v>
      </c>
      <c r="AH801">
        <v>0</v>
      </c>
      <c r="AI801">
        <v>0</v>
      </c>
      <c r="AJ801">
        <v>0</v>
      </c>
      <c r="AK801">
        <v>0</v>
      </c>
      <c r="AL801">
        <v>0</v>
      </c>
      <c r="AM801">
        <v>0</v>
      </c>
      <c r="AN801">
        <v>0</v>
      </c>
      <c r="AO801">
        <v>0</v>
      </c>
      <c r="AP801">
        <v>0</v>
      </c>
      <c r="AQ801">
        <v>0</v>
      </c>
      <c r="AR801">
        <v>0</v>
      </c>
      <c r="AS801">
        <f t="shared" si="164"/>
        <v>3</v>
      </c>
      <c r="AT801">
        <f t="shared" si="165"/>
        <v>5</v>
      </c>
      <c r="AU801" s="3" t="s">
        <v>2827</v>
      </c>
      <c r="AV801">
        <f t="shared" si="166"/>
        <v>1</v>
      </c>
      <c r="AW801">
        <f t="shared" si="167"/>
        <v>0</v>
      </c>
      <c r="AX801">
        <f t="shared" si="168"/>
        <v>0</v>
      </c>
      <c r="AY801">
        <v>0</v>
      </c>
      <c r="AZ801" t="s">
        <v>147</v>
      </c>
      <c r="BA801" t="s">
        <v>148</v>
      </c>
      <c r="BB801" t="s">
        <v>8</v>
      </c>
    </row>
    <row r="802" ht="51" spans="1:54">
      <c r="A802" t="s">
        <v>2828</v>
      </c>
      <c r="B802" t="s">
        <v>2118</v>
      </c>
      <c r="C802" t="s">
        <v>116</v>
      </c>
      <c r="D802">
        <v>0</v>
      </c>
      <c r="E802">
        <v>0</v>
      </c>
      <c r="F802">
        <v>29.6</v>
      </c>
      <c r="G802" t="s">
        <v>2829</v>
      </c>
      <c r="H802" s="3" t="s">
        <v>2830</v>
      </c>
      <c r="I802" s="3" t="s">
        <v>2831</v>
      </c>
      <c r="J802">
        <f t="shared" si="156"/>
        <v>1</v>
      </c>
      <c r="K802">
        <f t="shared" si="157"/>
        <v>1</v>
      </c>
      <c r="L802">
        <f t="shared" si="158"/>
        <v>0</v>
      </c>
      <c r="M802">
        <f t="shared" si="159"/>
        <v>0</v>
      </c>
      <c r="N802">
        <f t="shared" si="160"/>
        <v>0</v>
      </c>
      <c r="O802">
        <f t="shared" si="161"/>
        <v>0</v>
      </c>
      <c r="P802">
        <f t="shared" si="162"/>
        <v>0</v>
      </c>
      <c r="Q802">
        <f t="shared" si="163"/>
        <v>0</v>
      </c>
      <c r="R802">
        <v>1</v>
      </c>
      <c r="S802">
        <v>0</v>
      </c>
      <c r="T802">
        <v>0</v>
      </c>
      <c r="U802">
        <v>1</v>
      </c>
      <c r="V802">
        <v>0</v>
      </c>
      <c r="W802">
        <v>1</v>
      </c>
      <c r="X802">
        <v>0</v>
      </c>
      <c r="Y802">
        <v>0</v>
      </c>
      <c r="Z802">
        <v>0</v>
      </c>
      <c r="AA802">
        <v>0</v>
      </c>
      <c r="AB802">
        <v>0</v>
      </c>
      <c r="AC802">
        <v>0</v>
      </c>
      <c r="AD802">
        <v>0</v>
      </c>
      <c r="AE802">
        <v>0</v>
      </c>
      <c r="AF802">
        <v>0</v>
      </c>
      <c r="AG802">
        <v>0</v>
      </c>
      <c r="AH802">
        <v>0</v>
      </c>
      <c r="AI802">
        <v>0</v>
      </c>
      <c r="AJ802">
        <v>0</v>
      </c>
      <c r="AK802">
        <v>0</v>
      </c>
      <c r="AL802">
        <v>0</v>
      </c>
      <c r="AM802">
        <v>0</v>
      </c>
      <c r="AN802">
        <v>0</v>
      </c>
      <c r="AO802">
        <v>0</v>
      </c>
      <c r="AP802">
        <v>0</v>
      </c>
      <c r="AQ802">
        <v>0</v>
      </c>
      <c r="AR802">
        <v>0</v>
      </c>
      <c r="AS802">
        <f t="shared" si="164"/>
        <v>2</v>
      </c>
      <c r="AT802">
        <f t="shared" si="165"/>
        <v>3</v>
      </c>
      <c r="AU802" s="3" t="s">
        <v>2660</v>
      </c>
      <c r="AV802">
        <f t="shared" si="166"/>
        <v>1</v>
      </c>
      <c r="AW802">
        <f t="shared" si="167"/>
        <v>0</v>
      </c>
      <c r="AX802">
        <f t="shared" si="168"/>
        <v>0</v>
      </c>
      <c r="AY802">
        <v>0</v>
      </c>
      <c r="AZ802" t="s">
        <v>147</v>
      </c>
      <c r="BA802" t="s">
        <v>148</v>
      </c>
      <c r="BB802" t="s">
        <v>8</v>
      </c>
    </row>
    <row r="803" ht="84" spans="1:54">
      <c r="A803" t="s">
        <v>2832</v>
      </c>
      <c r="B803" t="s">
        <v>2118</v>
      </c>
      <c r="C803" t="s">
        <v>56</v>
      </c>
      <c r="D803">
        <v>0</v>
      </c>
      <c r="E803">
        <v>0</v>
      </c>
      <c r="F803">
        <v>65.9</v>
      </c>
      <c r="G803" t="s">
        <v>1851</v>
      </c>
      <c r="H803" s="3" t="s">
        <v>2833</v>
      </c>
      <c r="I803" s="3" t="s">
        <v>2834</v>
      </c>
      <c r="J803">
        <f t="shared" si="156"/>
        <v>0</v>
      </c>
      <c r="K803">
        <f t="shared" si="157"/>
        <v>0</v>
      </c>
      <c r="L803">
        <f t="shared" si="158"/>
        <v>1</v>
      </c>
      <c r="M803">
        <f t="shared" si="159"/>
        <v>0</v>
      </c>
      <c r="N803">
        <f t="shared" si="160"/>
        <v>1</v>
      </c>
      <c r="O803">
        <f t="shared" si="161"/>
        <v>1</v>
      </c>
      <c r="P803">
        <f t="shared" si="162"/>
        <v>1</v>
      </c>
      <c r="Q803">
        <f t="shared" si="163"/>
        <v>0</v>
      </c>
      <c r="R803">
        <v>0</v>
      </c>
      <c r="S803">
        <v>0</v>
      </c>
      <c r="T803">
        <v>0</v>
      </c>
      <c r="U803">
        <v>0</v>
      </c>
      <c r="V803">
        <v>0</v>
      </c>
      <c r="W803">
        <v>0</v>
      </c>
      <c r="X803">
        <v>0</v>
      </c>
      <c r="Y803">
        <v>0</v>
      </c>
      <c r="Z803">
        <v>0</v>
      </c>
      <c r="AA803">
        <v>1</v>
      </c>
      <c r="AB803">
        <v>0</v>
      </c>
      <c r="AC803">
        <v>0</v>
      </c>
      <c r="AD803">
        <v>0</v>
      </c>
      <c r="AE803">
        <v>0</v>
      </c>
      <c r="AF803">
        <v>0</v>
      </c>
      <c r="AG803">
        <v>0</v>
      </c>
      <c r="AH803">
        <v>1</v>
      </c>
      <c r="AI803">
        <v>1</v>
      </c>
      <c r="AJ803">
        <v>0</v>
      </c>
      <c r="AK803">
        <v>0</v>
      </c>
      <c r="AL803">
        <v>0</v>
      </c>
      <c r="AM803">
        <v>0</v>
      </c>
      <c r="AN803">
        <v>0</v>
      </c>
      <c r="AO803">
        <v>0</v>
      </c>
      <c r="AP803">
        <v>0</v>
      </c>
      <c r="AQ803">
        <v>1</v>
      </c>
      <c r="AR803">
        <v>0</v>
      </c>
      <c r="AS803">
        <f t="shared" si="164"/>
        <v>4</v>
      </c>
      <c r="AT803">
        <f t="shared" si="165"/>
        <v>4</v>
      </c>
      <c r="AU803" s="3" t="s">
        <v>2835</v>
      </c>
      <c r="AV803">
        <f t="shared" si="166"/>
        <v>1</v>
      </c>
      <c r="AW803">
        <f t="shared" si="167"/>
        <v>0</v>
      </c>
      <c r="AX803">
        <f t="shared" si="168"/>
        <v>0</v>
      </c>
      <c r="AY803">
        <v>2.5</v>
      </c>
      <c r="AZ803" t="s">
        <v>60</v>
      </c>
      <c r="BA803" t="s">
        <v>61</v>
      </c>
      <c r="BB803" t="s">
        <v>8</v>
      </c>
    </row>
    <row r="804" ht="409.5" spans="1:54">
      <c r="A804" t="s">
        <v>2836</v>
      </c>
      <c r="B804" t="s">
        <v>2118</v>
      </c>
      <c r="C804" t="s">
        <v>56</v>
      </c>
      <c r="D804">
        <v>2</v>
      </c>
      <c r="E804">
        <v>0</v>
      </c>
      <c r="F804">
        <v>477.7</v>
      </c>
      <c r="G804" t="s">
        <v>2837</v>
      </c>
      <c r="H804" s="3" t="s">
        <v>2838</v>
      </c>
      <c r="I804" s="3" t="s">
        <v>2839</v>
      </c>
      <c r="J804">
        <f t="shared" si="156"/>
        <v>1</v>
      </c>
      <c r="K804">
        <f t="shared" si="157"/>
        <v>1</v>
      </c>
      <c r="L804">
        <f t="shared" si="158"/>
        <v>0</v>
      </c>
      <c r="M804">
        <f t="shared" si="159"/>
        <v>0</v>
      </c>
      <c r="N804">
        <f t="shared" si="160"/>
        <v>0</v>
      </c>
      <c r="O804">
        <f t="shared" si="161"/>
        <v>1</v>
      </c>
      <c r="P804">
        <f t="shared" si="162"/>
        <v>0</v>
      </c>
      <c r="Q804">
        <f t="shared" si="163"/>
        <v>0</v>
      </c>
      <c r="R804">
        <v>1</v>
      </c>
      <c r="S804">
        <v>0</v>
      </c>
      <c r="T804">
        <v>0</v>
      </c>
      <c r="U804">
        <v>1</v>
      </c>
      <c r="V804">
        <v>0</v>
      </c>
      <c r="W804">
        <v>0</v>
      </c>
      <c r="X804">
        <v>0</v>
      </c>
      <c r="Y804">
        <v>0</v>
      </c>
      <c r="Z804">
        <v>0</v>
      </c>
      <c r="AA804">
        <v>0</v>
      </c>
      <c r="AB804">
        <v>0</v>
      </c>
      <c r="AC804">
        <v>0</v>
      </c>
      <c r="AD804">
        <v>0</v>
      </c>
      <c r="AE804">
        <v>0</v>
      </c>
      <c r="AF804">
        <v>0</v>
      </c>
      <c r="AG804">
        <v>0</v>
      </c>
      <c r="AH804">
        <v>0</v>
      </c>
      <c r="AI804">
        <v>1</v>
      </c>
      <c r="AJ804">
        <v>0</v>
      </c>
      <c r="AK804">
        <v>0</v>
      </c>
      <c r="AL804">
        <v>0</v>
      </c>
      <c r="AM804">
        <v>0</v>
      </c>
      <c r="AN804">
        <v>0</v>
      </c>
      <c r="AO804">
        <v>0</v>
      </c>
      <c r="AP804">
        <v>0</v>
      </c>
      <c r="AQ804">
        <v>0</v>
      </c>
      <c r="AR804">
        <v>0</v>
      </c>
      <c r="AS804">
        <f t="shared" si="164"/>
        <v>3</v>
      </c>
      <c r="AT804">
        <f t="shared" si="165"/>
        <v>3</v>
      </c>
      <c r="AU804" s="3" t="s">
        <v>2840</v>
      </c>
      <c r="AV804">
        <f t="shared" si="166"/>
        <v>1</v>
      </c>
      <c r="AW804">
        <f t="shared" si="167"/>
        <v>0</v>
      </c>
      <c r="AX804">
        <f t="shared" si="168"/>
        <v>0</v>
      </c>
      <c r="AY804">
        <v>7</v>
      </c>
      <c r="AZ804" t="s">
        <v>60</v>
      </c>
      <c r="BA804" t="s">
        <v>61</v>
      </c>
      <c r="BB804" t="s">
        <v>8</v>
      </c>
    </row>
    <row r="805" ht="152" spans="1:54">
      <c r="A805" t="s">
        <v>2841</v>
      </c>
      <c r="B805" t="s">
        <v>2118</v>
      </c>
      <c r="C805" t="s">
        <v>56</v>
      </c>
      <c r="D805">
        <v>3</v>
      </c>
      <c r="E805">
        <v>0</v>
      </c>
      <c r="F805">
        <v>88.1</v>
      </c>
      <c r="G805" t="s">
        <v>2837</v>
      </c>
      <c r="H805" s="3" t="s">
        <v>2842</v>
      </c>
      <c r="I805" s="3" t="s">
        <v>2843</v>
      </c>
      <c r="J805">
        <f t="shared" si="156"/>
        <v>1</v>
      </c>
      <c r="K805">
        <f t="shared" si="157"/>
        <v>1</v>
      </c>
      <c r="L805">
        <f t="shared" si="158"/>
        <v>1</v>
      </c>
      <c r="M805">
        <f t="shared" si="159"/>
        <v>0</v>
      </c>
      <c r="N805">
        <f t="shared" si="160"/>
        <v>1</v>
      </c>
      <c r="O805">
        <f t="shared" si="161"/>
        <v>0</v>
      </c>
      <c r="P805">
        <f t="shared" si="162"/>
        <v>0</v>
      </c>
      <c r="Q805">
        <f t="shared" si="163"/>
        <v>0</v>
      </c>
      <c r="R805">
        <v>1</v>
      </c>
      <c r="S805">
        <v>0</v>
      </c>
      <c r="T805">
        <v>0</v>
      </c>
      <c r="U805">
        <v>0</v>
      </c>
      <c r="V805">
        <v>1</v>
      </c>
      <c r="W805">
        <v>0</v>
      </c>
      <c r="X805">
        <v>0</v>
      </c>
      <c r="Y805">
        <v>0</v>
      </c>
      <c r="Z805">
        <v>0</v>
      </c>
      <c r="AA805">
        <v>0</v>
      </c>
      <c r="AB805">
        <v>1</v>
      </c>
      <c r="AC805">
        <v>0</v>
      </c>
      <c r="AD805">
        <v>0</v>
      </c>
      <c r="AE805">
        <v>0</v>
      </c>
      <c r="AF805">
        <v>0</v>
      </c>
      <c r="AG805">
        <v>1</v>
      </c>
      <c r="AH805">
        <v>0</v>
      </c>
      <c r="AI805">
        <v>0</v>
      </c>
      <c r="AJ805">
        <v>0</v>
      </c>
      <c r="AK805">
        <v>0</v>
      </c>
      <c r="AL805">
        <v>0</v>
      </c>
      <c r="AM805">
        <v>0</v>
      </c>
      <c r="AN805">
        <v>0</v>
      </c>
      <c r="AO805">
        <v>0</v>
      </c>
      <c r="AP805">
        <v>0</v>
      </c>
      <c r="AQ805">
        <v>0</v>
      </c>
      <c r="AR805">
        <v>0</v>
      </c>
      <c r="AS805">
        <f t="shared" si="164"/>
        <v>4</v>
      </c>
      <c r="AT805">
        <f t="shared" si="165"/>
        <v>4</v>
      </c>
      <c r="AU805" s="3" t="s">
        <v>2844</v>
      </c>
      <c r="AV805">
        <f t="shared" si="166"/>
        <v>1</v>
      </c>
      <c r="AW805">
        <f t="shared" si="167"/>
        <v>0</v>
      </c>
      <c r="AX805">
        <f t="shared" si="168"/>
        <v>0</v>
      </c>
      <c r="AY805">
        <v>4.5</v>
      </c>
      <c r="AZ805" t="s">
        <v>60</v>
      </c>
      <c r="BA805" t="s">
        <v>61</v>
      </c>
      <c r="BB805" t="s">
        <v>8</v>
      </c>
    </row>
    <row r="806" ht="84" spans="1:54">
      <c r="A806" t="s">
        <v>2845</v>
      </c>
      <c r="B806" t="s">
        <v>2118</v>
      </c>
      <c r="C806" t="s">
        <v>56</v>
      </c>
      <c r="D806">
        <v>0</v>
      </c>
      <c r="E806">
        <v>0</v>
      </c>
      <c r="F806">
        <v>49.2</v>
      </c>
      <c r="G806" t="s">
        <v>562</v>
      </c>
      <c r="H806" s="3" t="s">
        <v>2846</v>
      </c>
      <c r="I806" s="3" t="s">
        <v>2847</v>
      </c>
      <c r="J806">
        <f t="shared" si="156"/>
        <v>0</v>
      </c>
      <c r="K806">
        <f t="shared" si="157"/>
        <v>1</v>
      </c>
      <c r="L806">
        <f t="shared" si="158"/>
        <v>1</v>
      </c>
      <c r="M806">
        <f t="shared" si="159"/>
        <v>0</v>
      </c>
      <c r="N806">
        <f t="shared" si="160"/>
        <v>1</v>
      </c>
      <c r="O806">
        <f t="shared" si="161"/>
        <v>0</v>
      </c>
      <c r="P806">
        <f t="shared" si="162"/>
        <v>1</v>
      </c>
      <c r="Q806">
        <f t="shared" si="163"/>
        <v>0</v>
      </c>
      <c r="R806">
        <v>0</v>
      </c>
      <c r="S806">
        <v>0</v>
      </c>
      <c r="T806">
        <v>0</v>
      </c>
      <c r="U806">
        <v>0</v>
      </c>
      <c r="V806">
        <v>1</v>
      </c>
      <c r="W806">
        <v>1</v>
      </c>
      <c r="X806">
        <v>0</v>
      </c>
      <c r="Y806">
        <v>0</v>
      </c>
      <c r="Z806">
        <v>0</v>
      </c>
      <c r="AA806">
        <v>0</v>
      </c>
      <c r="AB806">
        <v>1</v>
      </c>
      <c r="AC806">
        <v>0</v>
      </c>
      <c r="AD806">
        <v>0</v>
      </c>
      <c r="AE806">
        <v>0</v>
      </c>
      <c r="AF806">
        <v>0</v>
      </c>
      <c r="AG806">
        <v>0</v>
      </c>
      <c r="AH806">
        <v>1</v>
      </c>
      <c r="AI806">
        <v>0</v>
      </c>
      <c r="AJ806">
        <v>0</v>
      </c>
      <c r="AK806">
        <v>0</v>
      </c>
      <c r="AL806">
        <v>0</v>
      </c>
      <c r="AM806">
        <v>0</v>
      </c>
      <c r="AN806">
        <v>0</v>
      </c>
      <c r="AO806">
        <v>0</v>
      </c>
      <c r="AP806">
        <v>1</v>
      </c>
      <c r="AQ806">
        <v>0</v>
      </c>
      <c r="AR806">
        <v>0</v>
      </c>
      <c r="AS806">
        <f t="shared" si="164"/>
        <v>4</v>
      </c>
      <c r="AT806">
        <f t="shared" si="165"/>
        <v>5</v>
      </c>
      <c r="AU806" s="3" t="s">
        <v>2848</v>
      </c>
      <c r="AV806">
        <f t="shared" si="166"/>
        <v>1</v>
      </c>
      <c r="AW806">
        <f t="shared" si="167"/>
        <v>0</v>
      </c>
      <c r="AX806">
        <f t="shared" si="168"/>
        <v>0</v>
      </c>
      <c r="AY806">
        <v>-7</v>
      </c>
      <c r="AZ806" t="s">
        <v>133</v>
      </c>
      <c r="BA806" t="s">
        <v>134</v>
      </c>
      <c r="BB806" t="s">
        <v>8</v>
      </c>
    </row>
    <row r="807" ht="34" spans="1:54">
      <c r="A807" t="s">
        <v>2849</v>
      </c>
      <c r="B807" t="s">
        <v>2118</v>
      </c>
      <c r="C807" t="s">
        <v>116</v>
      </c>
      <c r="D807">
        <v>0</v>
      </c>
      <c r="E807">
        <v>0</v>
      </c>
      <c r="F807">
        <v>122.2</v>
      </c>
      <c r="G807" t="s">
        <v>562</v>
      </c>
      <c r="H807" s="3" t="s">
        <v>2850</v>
      </c>
      <c r="I807" s="3" t="s">
        <v>2851</v>
      </c>
      <c r="J807">
        <f t="shared" si="156"/>
        <v>0</v>
      </c>
      <c r="K807">
        <f t="shared" si="157"/>
        <v>0</v>
      </c>
      <c r="L807">
        <f t="shared" si="158"/>
        <v>0</v>
      </c>
      <c r="M807">
        <f t="shared" si="159"/>
        <v>0</v>
      </c>
      <c r="N807">
        <f t="shared" si="160"/>
        <v>0</v>
      </c>
      <c r="O807">
        <f t="shared" si="161"/>
        <v>0</v>
      </c>
      <c r="P807">
        <f t="shared" si="162"/>
        <v>0</v>
      </c>
      <c r="Q807">
        <f t="shared" si="163"/>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f t="shared" si="164"/>
        <v>0</v>
      </c>
      <c r="AT807">
        <f t="shared" si="165"/>
        <v>0</v>
      </c>
      <c r="AU807" s="3" t="s">
        <v>118</v>
      </c>
      <c r="AV807">
        <f t="shared" si="166"/>
        <v>0</v>
      </c>
      <c r="AW807">
        <f t="shared" si="167"/>
        <v>1</v>
      </c>
      <c r="AX807">
        <f t="shared" si="168"/>
        <v>0</v>
      </c>
      <c r="AY807">
        <v>-0.5</v>
      </c>
      <c r="AZ807" t="s">
        <v>133</v>
      </c>
      <c r="BA807" t="s">
        <v>134</v>
      </c>
      <c r="BB807" t="s">
        <v>8</v>
      </c>
    </row>
    <row r="808" ht="51" spans="1:54">
      <c r="A808" t="s">
        <v>2852</v>
      </c>
      <c r="B808" t="s">
        <v>2118</v>
      </c>
      <c r="C808" t="s">
        <v>116</v>
      </c>
      <c r="D808">
        <v>2</v>
      </c>
      <c r="E808">
        <v>0</v>
      </c>
      <c r="F808">
        <v>1.2</v>
      </c>
      <c r="G808" t="s">
        <v>2853</v>
      </c>
      <c r="H808" s="3" t="s">
        <v>2854</v>
      </c>
      <c r="I808" s="3" t="s">
        <v>2855</v>
      </c>
      <c r="J808">
        <f t="shared" si="156"/>
        <v>1</v>
      </c>
      <c r="K808">
        <f t="shared" si="157"/>
        <v>1</v>
      </c>
      <c r="L808">
        <f t="shared" si="158"/>
        <v>0</v>
      </c>
      <c r="M808">
        <f t="shared" si="159"/>
        <v>0</v>
      </c>
      <c r="N808">
        <f t="shared" si="160"/>
        <v>1</v>
      </c>
      <c r="O808">
        <f t="shared" si="161"/>
        <v>1</v>
      </c>
      <c r="P808">
        <f t="shared" si="162"/>
        <v>0</v>
      </c>
      <c r="Q808">
        <f t="shared" si="163"/>
        <v>0</v>
      </c>
      <c r="R808">
        <v>1</v>
      </c>
      <c r="S808">
        <v>0</v>
      </c>
      <c r="T808">
        <v>0</v>
      </c>
      <c r="U808">
        <v>1</v>
      </c>
      <c r="V808">
        <v>0</v>
      </c>
      <c r="W808">
        <v>0</v>
      </c>
      <c r="X808">
        <v>0</v>
      </c>
      <c r="Y808">
        <v>0</v>
      </c>
      <c r="Z808">
        <v>0</v>
      </c>
      <c r="AA808">
        <v>0</v>
      </c>
      <c r="AB808">
        <v>0</v>
      </c>
      <c r="AC808">
        <v>0</v>
      </c>
      <c r="AD808">
        <v>0</v>
      </c>
      <c r="AE808">
        <v>0</v>
      </c>
      <c r="AF808">
        <v>0</v>
      </c>
      <c r="AG808">
        <v>0</v>
      </c>
      <c r="AH808">
        <v>1</v>
      </c>
      <c r="AI808">
        <v>1</v>
      </c>
      <c r="AJ808">
        <v>0</v>
      </c>
      <c r="AK808">
        <v>0</v>
      </c>
      <c r="AL808">
        <v>0</v>
      </c>
      <c r="AM808">
        <v>0</v>
      </c>
      <c r="AN808">
        <v>0</v>
      </c>
      <c r="AO808">
        <v>0</v>
      </c>
      <c r="AP808">
        <v>0</v>
      </c>
      <c r="AQ808">
        <v>0</v>
      </c>
      <c r="AR808">
        <v>0</v>
      </c>
      <c r="AS808">
        <f t="shared" si="164"/>
        <v>4</v>
      </c>
      <c r="AT808">
        <f t="shared" si="165"/>
        <v>4</v>
      </c>
      <c r="AU808" s="3" t="s">
        <v>1930</v>
      </c>
      <c r="AV808">
        <f t="shared" si="166"/>
        <v>1</v>
      </c>
      <c r="AW808">
        <f t="shared" si="167"/>
        <v>0</v>
      </c>
      <c r="AX808">
        <f t="shared" si="168"/>
        <v>0</v>
      </c>
      <c r="AY808">
        <v>-1.5</v>
      </c>
      <c r="AZ808" t="s">
        <v>133</v>
      </c>
      <c r="BA808" t="s">
        <v>134</v>
      </c>
      <c r="BB808" t="s">
        <v>8</v>
      </c>
    </row>
    <row r="809" ht="409.5" spans="1:54">
      <c r="A809" t="s">
        <v>2856</v>
      </c>
      <c r="B809" t="s">
        <v>2118</v>
      </c>
      <c r="C809" t="s">
        <v>56</v>
      </c>
      <c r="D809">
        <v>0</v>
      </c>
      <c r="E809">
        <v>0</v>
      </c>
      <c r="F809">
        <v>68.3</v>
      </c>
      <c r="G809" t="s">
        <v>1870</v>
      </c>
      <c r="H809" s="3" t="s">
        <v>2857</v>
      </c>
      <c r="I809" s="3" t="s">
        <v>2858</v>
      </c>
      <c r="J809">
        <f t="shared" si="156"/>
        <v>1</v>
      </c>
      <c r="K809">
        <f t="shared" si="157"/>
        <v>1</v>
      </c>
      <c r="L809">
        <f t="shared" si="158"/>
        <v>0</v>
      </c>
      <c r="M809">
        <f t="shared" si="159"/>
        <v>0</v>
      </c>
      <c r="N809">
        <f t="shared" si="160"/>
        <v>0</v>
      </c>
      <c r="O809">
        <f t="shared" si="161"/>
        <v>0</v>
      </c>
      <c r="P809">
        <f t="shared" si="162"/>
        <v>0</v>
      </c>
      <c r="Q809">
        <f t="shared" si="163"/>
        <v>0</v>
      </c>
      <c r="R809">
        <v>1</v>
      </c>
      <c r="S809">
        <v>0</v>
      </c>
      <c r="T809">
        <v>1</v>
      </c>
      <c r="U809">
        <v>1</v>
      </c>
      <c r="V809">
        <v>0</v>
      </c>
      <c r="W809">
        <v>0</v>
      </c>
      <c r="X809">
        <v>0</v>
      </c>
      <c r="Y809">
        <v>0</v>
      </c>
      <c r="Z809">
        <v>0</v>
      </c>
      <c r="AA809">
        <v>0</v>
      </c>
      <c r="AB809">
        <v>0</v>
      </c>
      <c r="AC809">
        <v>0</v>
      </c>
      <c r="AD809">
        <v>0</v>
      </c>
      <c r="AE809">
        <v>0</v>
      </c>
      <c r="AF809">
        <v>0</v>
      </c>
      <c r="AG809">
        <v>0</v>
      </c>
      <c r="AH809">
        <v>0</v>
      </c>
      <c r="AI809">
        <v>0</v>
      </c>
      <c r="AJ809">
        <v>0</v>
      </c>
      <c r="AK809">
        <v>0</v>
      </c>
      <c r="AL809">
        <v>0</v>
      </c>
      <c r="AM809">
        <v>0</v>
      </c>
      <c r="AN809">
        <v>0</v>
      </c>
      <c r="AO809">
        <v>0</v>
      </c>
      <c r="AP809">
        <v>0</v>
      </c>
      <c r="AQ809">
        <v>0</v>
      </c>
      <c r="AR809">
        <v>0</v>
      </c>
      <c r="AS809">
        <f t="shared" si="164"/>
        <v>2</v>
      </c>
      <c r="AT809">
        <f t="shared" si="165"/>
        <v>3</v>
      </c>
      <c r="AU809" s="3" t="s">
        <v>2859</v>
      </c>
      <c r="AV809">
        <f t="shared" si="166"/>
        <v>1</v>
      </c>
      <c r="AW809">
        <f t="shared" si="167"/>
        <v>0</v>
      </c>
      <c r="AX809">
        <f t="shared" si="168"/>
        <v>0</v>
      </c>
      <c r="AY809">
        <v>4.5</v>
      </c>
      <c r="AZ809" t="s">
        <v>60</v>
      </c>
      <c r="BA809" t="s">
        <v>61</v>
      </c>
      <c r="BB809" t="s">
        <v>8</v>
      </c>
    </row>
    <row r="810" ht="51" spans="1:54">
      <c r="A810" t="s">
        <v>2860</v>
      </c>
      <c r="B810" t="s">
        <v>2118</v>
      </c>
      <c r="C810" t="s">
        <v>56</v>
      </c>
      <c r="D810">
        <v>14</v>
      </c>
      <c r="E810">
        <v>0</v>
      </c>
      <c r="F810">
        <v>33.5</v>
      </c>
      <c r="G810" t="s">
        <v>2861</v>
      </c>
      <c r="H810" s="3" t="s">
        <v>2862</v>
      </c>
      <c r="I810" s="3" t="s">
        <v>2863</v>
      </c>
      <c r="J810">
        <f t="shared" si="156"/>
        <v>0</v>
      </c>
      <c r="K810">
        <f t="shared" si="157"/>
        <v>0</v>
      </c>
      <c r="L810">
        <f t="shared" si="158"/>
        <v>0</v>
      </c>
      <c r="M810">
        <f t="shared" si="159"/>
        <v>0</v>
      </c>
      <c r="N810">
        <f t="shared" si="160"/>
        <v>0</v>
      </c>
      <c r="O810">
        <f t="shared" si="161"/>
        <v>0</v>
      </c>
      <c r="P810">
        <f t="shared" si="162"/>
        <v>0</v>
      </c>
      <c r="Q810">
        <f t="shared" si="163"/>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0</v>
      </c>
      <c r="AO810">
        <v>0</v>
      </c>
      <c r="AP810">
        <v>0</v>
      </c>
      <c r="AQ810">
        <v>0</v>
      </c>
      <c r="AR810">
        <v>0</v>
      </c>
      <c r="AS810">
        <f t="shared" si="164"/>
        <v>0</v>
      </c>
      <c r="AT810">
        <f t="shared" si="165"/>
        <v>0</v>
      </c>
      <c r="AU810" s="3" t="s">
        <v>118</v>
      </c>
      <c r="AV810">
        <f t="shared" si="166"/>
        <v>0</v>
      </c>
      <c r="AW810">
        <f t="shared" si="167"/>
        <v>1</v>
      </c>
      <c r="AX810">
        <f t="shared" si="168"/>
        <v>0</v>
      </c>
      <c r="AY810">
        <v>0</v>
      </c>
      <c r="AZ810" t="s">
        <v>147</v>
      </c>
      <c r="BA810" t="s">
        <v>148</v>
      </c>
      <c r="BB810" t="s">
        <v>8</v>
      </c>
    </row>
    <row r="811" ht="219" spans="1:54">
      <c r="A811" t="s">
        <v>2864</v>
      </c>
      <c r="B811" t="s">
        <v>2118</v>
      </c>
      <c r="C811" t="s">
        <v>56</v>
      </c>
      <c r="D811">
        <v>4</v>
      </c>
      <c r="E811">
        <v>0</v>
      </c>
      <c r="F811">
        <v>46.7</v>
      </c>
      <c r="G811" t="s">
        <v>2861</v>
      </c>
      <c r="H811" s="3" t="s">
        <v>2865</v>
      </c>
      <c r="I811" s="3" t="s">
        <v>2866</v>
      </c>
      <c r="J811">
        <f t="shared" si="156"/>
        <v>0</v>
      </c>
      <c r="K811">
        <f t="shared" si="157"/>
        <v>0</v>
      </c>
      <c r="L811">
        <f t="shared" si="158"/>
        <v>1</v>
      </c>
      <c r="M811">
        <f t="shared" si="159"/>
        <v>0</v>
      </c>
      <c r="N811">
        <f t="shared" si="160"/>
        <v>1</v>
      </c>
      <c r="O811">
        <f t="shared" si="161"/>
        <v>0</v>
      </c>
      <c r="P811">
        <f t="shared" si="162"/>
        <v>0</v>
      </c>
      <c r="Q811">
        <f t="shared" si="163"/>
        <v>0</v>
      </c>
      <c r="R811">
        <v>0</v>
      </c>
      <c r="S811">
        <v>0</v>
      </c>
      <c r="T811">
        <v>0</v>
      </c>
      <c r="U811">
        <v>0</v>
      </c>
      <c r="V811">
        <v>0</v>
      </c>
      <c r="W811">
        <v>0</v>
      </c>
      <c r="X811">
        <v>0</v>
      </c>
      <c r="Y811">
        <v>0</v>
      </c>
      <c r="Z811">
        <v>1</v>
      </c>
      <c r="AA811">
        <v>0</v>
      </c>
      <c r="AB811">
        <v>0</v>
      </c>
      <c r="AC811">
        <v>0</v>
      </c>
      <c r="AD811">
        <v>0</v>
      </c>
      <c r="AE811">
        <v>0</v>
      </c>
      <c r="AF811">
        <v>0</v>
      </c>
      <c r="AG811">
        <v>0</v>
      </c>
      <c r="AH811">
        <v>1</v>
      </c>
      <c r="AI811">
        <v>0</v>
      </c>
      <c r="AJ811">
        <v>0</v>
      </c>
      <c r="AK811">
        <v>0</v>
      </c>
      <c r="AL811">
        <v>0</v>
      </c>
      <c r="AM811">
        <v>0</v>
      </c>
      <c r="AN811">
        <v>0</v>
      </c>
      <c r="AO811">
        <v>0</v>
      </c>
      <c r="AP811">
        <v>0</v>
      </c>
      <c r="AQ811">
        <v>0</v>
      </c>
      <c r="AR811">
        <v>0</v>
      </c>
      <c r="AS811">
        <f t="shared" si="164"/>
        <v>2</v>
      </c>
      <c r="AT811">
        <f t="shared" si="165"/>
        <v>2</v>
      </c>
      <c r="AU811" s="3" t="s">
        <v>1521</v>
      </c>
      <c r="AV811">
        <f t="shared" si="166"/>
        <v>1</v>
      </c>
      <c r="AW811">
        <f t="shared" si="167"/>
        <v>0</v>
      </c>
      <c r="AX811">
        <f t="shared" si="168"/>
        <v>0</v>
      </c>
      <c r="AY811">
        <v>0</v>
      </c>
      <c r="AZ811" t="s">
        <v>147</v>
      </c>
      <c r="BA811" t="s">
        <v>148</v>
      </c>
      <c r="BB811" t="s">
        <v>8</v>
      </c>
    </row>
    <row r="812" ht="236" spans="1:54">
      <c r="A812" t="s">
        <v>2867</v>
      </c>
      <c r="B812" t="s">
        <v>2118</v>
      </c>
      <c r="C812" t="s">
        <v>56</v>
      </c>
      <c r="D812">
        <v>0</v>
      </c>
      <c r="E812">
        <v>0</v>
      </c>
      <c r="F812">
        <v>68.2</v>
      </c>
      <c r="G812" t="s">
        <v>1874</v>
      </c>
      <c r="H812" s="3" t="s">
        <v>2868</v>
      </c>
      <c r="I812" s="3" t="s">
        <v>2869</v>
      </c>
      <c r="J812">
        <f t="shared" si="156"/>
        <v>1</v>
      </c>
      <c r="K812">
        <f t="shared" si="157"/>
        <v>1</v>
      </c>
      <c r="L812">
        <f t="shared" si="158"/>
        <v>1</v>
      </c>
      <c r="M812">
        <f t="shared" si="159"/>
        <v>0</v>
      </c>
      <c r="N812">
        <f t="shared" si="160"/>
        <v>1</v>
      </c>
      <c r="O812">
        <f t="shared" si="161"/>
        <v>0</v>
      </c>
      <c r="P812">
        <f t="shared" si="162"/>
        <v>0</v>
      </c>
      <c r="Q812">
        <f t="shared" si="163"/>
        <v>0</v>
      </c>
      <c r="R812">
        <v>0</v>
      </c>
      <c r="S812">
        <v>1</v>
      </c>
      <c r="T812">
        <v>0</v>
      </c>
      <c r="U812">
        <v>1</v>
      </c>
      <c r="V812">
        <v>0</v>
      </c>
      <c r="W812">
        <v>0</v>
      </c>
      <c r="X812">
        <v>0</v>
      </c>
      <c r="Y812">
        <v>0</v>
      </c>
      <c r="Z812">
        <v>1</v>
      </c>
      <c r="AA812">
        <v>0</v>
      </c>
      <c r="AB812">
        <v>0</v>
      </c>
      <c r="AC812">
        <v>0</v>
      </c>
      <c r="AD812">
        <v>0</v>
      </c>
      <c r="AE812">
        <v>0</v>
      </c>
      <c r="AF812">
        <v>0</v>
      </c>
      <c r="AG812">
        <v>0</v>
      </c>
      <c r="AH812">
        <v>1</v>
      </c>
      <c r="AI812">
        <v>0</v>
      </c>
      <c r="AJ812">
        <v>0</v>
      </c>
      <c r="AK812">
        <v>0</v>
      </c>
      <c r="AL812">
        <v>0</v>
      </c>
      <c r="AM812">
        <v>0</v>
      </c>
      <c r="AN812">
        <v>0</v>
      </c>
      <c r="AO812">
        <v>0</v>
      </c>
      <c r="AP812">
        <v>0</v>
      </c>
      <c r="AQ812">
        <v>0</v>
      </c>
      <c r="AR812">
        <v>0</v>
      </c>
      <c r="AS812">
        <f t="shared" si="164"/>
        <v>4</v>
      </c>
      <c r="AT812">
        <f t="shared" si="165"/>
        <v>4</v>
      </c>
      <c r="AU812" s="3" t="s">
        <v>2870</v>
      </c>
      <c r="AV812">
        <f t="shared" si="166"/>
        <v>1</v>
      </c>
      <c r="AW812">
        <f t="shared" si="167"/>
        <v>0</v>
      </c>
      <c r="AX812">
        <f t="shared" si="168"/>
        <v>0</v>
      </c>
      <c r="AY812">
        <v>7.5</v>
      </c>
      <c r="AZ812" t="s">
        <v>60</v>
      </c>
      <c r="BA812" t="s">
        <v>61</v>
      </c>
      <c r="BB812" t="s">
        <v>8</v>
      </c>
    </row>
    <row r="813" ht="51" spans="1:54">
      <c r="A813" t="s">
        <v>2871</v>
      </c>
      <c r="B813" t="s">
        <v>2118</v>
      </c>
      <c r="C813" t="s">
        <v>56</v>
      </c>
      <c r="D813">
        <v>0</v>
      </c>
      <c r="E813">
        <v>0</v>
      </c>
      <c r="F813">
        <v>20.2</v>
      </c>
      <c r="G813" t="s">
        <v>1878</v>
      </c>
      <c r="H813" s="3" t="s">
        <v>2872</v>
      </c>
      <c r="I813" s="3" t="s">
        <v>2873</v>
      </c>
      <c r="J813">
        <f t="shared" si="156"/>
        <v>0</v>
      </c>
      <c r="K813">
        <f t="shared" si="157"/>
        <v>0</v>
      </c>
      <c r="L813">
        <f t="shared" si="158"/>
        <v>0</v>
      </c>
      <c r="M813">
        <f t="shared" si="159"/>
        <v>0</v>
      </c>
      <c r="N813">
        <f t="shared" si="160"/>
        <v>0</v>
      </c>
      <c r="O813">
        <f t="shared" si="161"/>
        <v>0</v>
      </c>
      <c r="P813">
        <f t="shared" si="162"/>
        <v>0</v>
      </c>
      <c r="Q813">
        <f t="shared" si="16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f t="shared" si="164"/>
        <v>0</v>
      </c>
      <c r="AT813">
        <f t="shared" si="165"/>
        <v>0</v>
      </c>
      <c r="AU813" s="3" t="s">
        <v>118</v>
      </c>
      <c r="AV813">
        <f t="shared" si="166"/>
        <v>0</v>
      </c>
      <c r="AW813">
        <f t="shared" si="167"/>
        <v>1</v>
      </c>
      <c r="AX813">
        <f t="shared" si="168"/>
        <v>0</v>
      </c>
      <c r="AY813">
        <v>0</v>
      </c>
      <c r="AZ813" t="s">
        <v>147</v>
      </c>
      <c r="BA813" t="s">
        <v>148</v>
      </c>
      <c r="BB813" t="s">
        <v>8</v>
      </c>
    </row>
    <row r="814" ht="118" spans="1:54">
      <c r="A814" t="s">
        <v>2874</v>
      </c>
      <c r="B814" t="s">
        <v>2118</v>
      </c>
      <c r="C814" t="s">
        <v>56</v>
      </c>
      <c r="D814">
        <v>0</v>
      </c>
      <c r="E814">
        <v>1</v>
      </c>
      <c r="F814">
        <v>20.9</v>
      </c>
      <c r="G814" t="s">
        <v>569</v>
      </c>
      <c r="H814" s="3" t="s">
        <v>2875</v>
      </c>
      <c r="I814" s="3" t="s">
        <v>2876</v>
      </c>
      <c r="J814">
        <f t="shared" si="156"/>
        <v>1</v>
      </c>
      <c r="K814">
        <f t="shared" si="157"/>
        <v>0</v>
      </c>
      <c r="L814">
        <f t="shared" si="158"/>
        <v>0</v>
      </c>
      <c r="M814">
        <f t="shared" si="159"/>
        <v>0</v>
      </c>
      <c r="N814">
        <f t="shared" si="160"/>
        <v>1</v>
      </c>
      <c r="O814">
        <f t="shared" si="161"/>
        <v>0</v>
      </c>
      <c r="P814">
        <f t="shared" si="162"/>
        <v>0</v>
      </c>
      <c r="Q814">
        <f t="shared" si="163"/>
        <v>1</v>
      </c>
      <c r="R814">
        <v>1</v>
      </c>
      <c r="S814">
        <v>0</v>
      </c>
      <c r="T814">
        <v>0</v>
      </c>
      <c r="U814">
        <v>0</v>
      </c>
      <c r="V814">
        <v>0</v>
      </c>
      <c r="W814">
        <v>0</v>
      </c>
      <c r="X814">
        <v>0</v>
      </c>
      <c r="Y814">
        <v>0</v>
      </c>
      <c r="Z814">
        <v>0</v>
      </c>
      <c r="AA814">
        <v>0</v>
      </c>
      <c r="AB814">
        <v>0</v>
      </c>
      <c r="AC814">
        <v>0</v>
      </c>
      <c r="AD814">
        <v>0</v>
      </c>
      <c r="AE814">
        <v>0</v>
      </c>
      <c r="AF814">
        <v>0</v>
      </c>
      <c r="AG814">
        <v>1</v>
      </c>
      <c r="AH814">
        <v>0</v>
      </c>
      <c r="AI814">
        <v>0</v>
      </c>
      <c r="AJ814">
        <v>0</v>
      </c>
      <c r="AK814">
        <v>0</v>
      </c>
      <c r="AL814">
        <v>0</v>
      </c>
      <c r="AM814">
        <v>0</v>
      </c>
      <c r="AN814">
        <v>0</v>
      </c>
      <c r="AO814">
        <v>0</v>
      </c>
      <c r="AP814">
        <v>0</v>
      </c>
      <c r="AQ814">
        <v>0</v>
      </c>
      <c r="AR814">
        <v>1</v>
      </c>
      <c r="AS814">
        <f t="shared" si="164"/>
        <v>3</v>
      </c>
      <c r="AT814">
        <f t="shared" si="165"/>
        <v>3</v>
      </c>
      <c r="AU814" s="3" t="s">
        <v>2877</v>
      </c>
      <c r="AV814">
        <f t="shared" si="166"/>
        <v>1</v>
      </c>
      <c r="AW814">
        <f t="shared" si="167"/>
        <v>0</v>
      </c>
      <c r="AX814">
        <f t="shared" si="168"/>
        <v>0</v>
      </c>
      <c r="AY814">
        <v>3</v>
      </c>
      <c r="AZ814" t="s">
        <v>60</v>
      </c>
      <c r="BA814" t="s">
        <v>61</v>
      </c>
      <c r="BB814" t="s">
        <v>8</v>
      </c>
    </row>
    <row r="815" ht="135" spans="1:54">
      <c r="A815" t="s">
        <v>2878</v>
      </c>
      <c r="B815" t="s">
        <v>2118</v>
      </c>
      <c r="C815" t="s">
        <v>116</v>
      </c>
      <c r="D815">
        <v>9</v>
      </c>
      <c r="E815">
        <v>0</v>
      </c>
      <c r="F815">
        <v>1.3</v>
      </c>
      <c r="G815" t="s">
        <v>585</v>
      </c>
      <c r="H815" s="3" t="s">
        <v>2879</v>
      </c>
      <c r="I815" s="3" t="s">
        <v>2880</v>
      </c>
      <c r="J815">
        <f t="shared" si="156"/>
        <v>1</v>
      </c>
      <c r="K815">
        <f t="shared" si="157"/>
        <v>1</v>
      </c>
      <c r="L815">
        <f t="shared" si="158"/>
        <v>0</v>
      </c>
      <c r="M815">
        <f t="shared" si="159"/>
        <v>0</v>
      </c>
      <c r="N815">
        <f t="shared" si="160"/>
        <v>0</v>
      </c>
      <c r="O815">
        <f t="shared" si="161"/>
        <v>1</v>
      </c>
      <c r="P815">
        <f t="shared" si="162"/>
        <v>0</v>
      </c>
      <c r="Q815">
        <f t="shared" si="163"/>
        <v>0</v>
      </c>
      <c r="R815">
        <v>1</v>
      </c>
      <c r="S815">
        <v>0</v>
      </c>
      <c r="T815">
        <v>0</v>
      </c>
      <c r="U815">
        <v>1</v>
      </c>
      <c r="V815">
        <v>0</v>
      </c>
      <c r="W815">
        <v>0</v>
      </c>
      <c r="X815">
        <v>0</v>
      </c>
      <c r="Y815">
        <v>0</v>
      </c>
      <c r="Z815">
        <v>0</v>
      </c>
      <c r="AA815">
        <v>0</v>
      </c>
      <c r="AB815">
        <v>0</v>
      </c>
      <c r="AC815">
        <v>0</v>
      </c>
      <c r="AD815">
        <v>0</v>
      </c>
      <c r="AE815">
        <v>0</v>
      </c>
      <c r="AF815">
        <v>0</v>
      </c>
      <c r="AG815">
        <v>0</v>
      </c>
      <c r="AH815">
        <v>0</v>
      </c>
      <c r="AI815">
        <v>1</v>
      </c>
      <c r="AJ815">
        <v>0</v>
      </c>
      <c r="AK815">
        <v>0</v>
      </c>
      <c r="AL815">
        <v>0</v>
      </c>
      <c r="AM815">
        <v>0</v>
      </c>
      <c r="AN815">
        <v>0</v>
      </c>
      <c r="AO815">
        <v>0</v>
      </c>
      <c r="AP815">
        <v>0</v>
      </c>
      <c r="AQ815">
        <v>0</v>
      </c>
      <c r="AR815">
        <v>0</v>
      </c>
      <c r="AS815">
        <f t="shared" si="164"/>
        <v>3</v>
      </c>
      <c r="AT815">
        <f t="shared" si="165"/>
        <v>3</v>
      </c>
      <c r="AU815" s="3" t="s">
        <v>2840</v>
      </c>
      <c r="AV815">
        <f t="shared" si="166"/>
        <v>1</v>
      </c>
      <c r="AW815">
        <f t="shared" si="167"/>
        <v>0</v>
      </c>
      <c r="AX815">
        <f t="shared" si="168"/>
        <v>0</v>
      </c>
      <c r="AY815">
        <v>5</v>
      </c>
      <c r="AZ815" t="s">
        <v>60</v>
      </c>
      <c r="BA815" t="s">
        <v>61</v>
      </c>
      <c r="BB815" t="s">
        <v>8</v>
      </c>
    </row>
    <row r="816" ht="387" spans="1:54">
      <c r="A816" t="s">
        <v>2881</v>
      </c>
      <c r="B816" t="s">
        <v>2118</v>
      </c>
      <c r="C816" t="s">
        <v>56</v>
      </c>
      <c r="D816">
        <v>2</v>
      </c>
      <c r="E816">
        <v>1</v>
      </c>
      <c r="F816">
        <v>49.6</v>
      </c>
      <c r="G816" t="s">
        <v>2882</v>
      </c>
      <c r="H816" s="3" t="s">
        <v>2883</v>
      </c>
      <c r="I816" s="3" t="s">
        <v>2884</v>
      </c>
      <c r="J816">
        <f t="shared" si="156"/>
        <v>0</v>
      </c>
      <c r="K816">
        <f t="shared" si="157"/>
        <v>0</v>
      </c>
      <c r="L816">
        <f t="shared" si="158"/>
        <v>1</v>
      </c>
      <c r="M816">
        <f t="shared" si="159"/>
        <v>1</v>
      </c>
      <c r="N816">
        <f t="shared" si="160"/>
        <v>1</v>
      </c>
      <c r="O816">
        <f t="shared" si="161"/>
        <v>1</v>
      </c>
      <c r="P816">
        <f t="shared" si="162"/>
        <v>0</v>
      </c>
      <c r="Q816">
        <f t="shared" si="163"/>
        <v>0</v>
      </c>
      <c r="R816">
        <v>0</v>
      </c>
      <c r="S816">
        <v>0</v>
      </c>
      <c r="T816">
        <v>0</v>
      </c>
      <c r="U816">
        <v>0</v>
      </c>
      <c r="V816">
        <v>0</v>
      </c>
      <c r="W816">
        <v>0</v>
      </c>
      <c r="X816">
        <v>0</v>
      </c>
      <c r="Y816">
        <v>0</v>
      </c>
      <c r="Z816">
        <v>0</v>
      </c>
      <c r="AA816">
        <v>0</v>
      </c>
      <c r="AB816">
        <v>0</v>
      </c>
      <c r="AC816">
        <v>1</v>
      </c>
      <c r="AD816">
        <v>1</v>
      </c>
      <c r="AE816">
        <v>0</v>
      </c>
      <c r="AF816">
        <v>0</v>
      </c>
      <c r="AG816">
        <v>0</v>
      </c>
      <c r="AH816">
        <v>1</v>
      </c>
      <c r="AI816">
        <v>1</v>
      </c>
      <c r="AJ816">
        <v>0</v>
      </c>
      <c r="AK816">
        <v>0</v>
      </c>
      <c r="AL816">
        <v>0</v>
      </c>
      <c r="AM816">
        <v>0</v>
      </c>
      <c r="AN816">
        <v>0</v>
      </c>
      <c r="AO816">
        <v>0</v>
      </c>
      <c r="AP816">
        <v>0</v>
      </c>
      <c r="AQ816">
        <v>0</v>
      </c>
      <c r="AR816">
        <v>0</v>
      </c>
      <c r="AS816">
        <f t="shared" si="164"/>
        <v>4</v>
      </c>
      <c r="AT816">
        <f t="shared" si="165"/>
        <v>4</v>
      </c>
      <c r="AU816" s="3" t="s">
        <v>2885</v>
      </c>
      <c r="AV816">
        <f t="shared" si="166"/>
        <v>1</v>
      </c>
      <c r="AW816">
        <f t="shared" si="167"/>
        <v>0</v>
      </c>
      <c r="AX816">
        <f t="shared" si="168"/>
        <v>0</v>
      </c>
      <c r="AY816">
        <v>4.5</v>
      </c>
      <c r="AZ816" t="s">
        <v>60</v>
      </c>
      <c r="BA816" t="s">
        <v>61</v>
      </c>
      <c r="BB816" t="s">
        <v>8</v>
      </c>
    </row>
    <row r="817" ht="34" spans="1:54">
      <c r="A817" t="s">
        <v>2886</v>
      </c>
      <c r="B817" t="s">
        <v>2118</v>
      </c>
      <c r="C817" t="s">
        <v>56</v>
      </c>
      <c r="D817">
        <v>16</v>
      </c>
      <c r="E817">
        <v>0</v>
      </c>
      <c r="F817">
        <v>70.7</v>
      </c>
      <c r="G817" t="s">
        <v>2887</v>
      </c>
      <c r="H817" s="3" t="s">
        <v>2888</v>
      </c>
      <c r="I817" s="3" t="s">
        <v>2889</v>
      </c>
      <c r="J817">
        <f t="shared" si="156"/>
        <v>0</v>
      </c>
      <c r="K817">
        <f t="shared" si="157"/>
        <v>0</v>
      </c>
      <c r="L817">
        <f t="shared" si="158"/>
        <v>0</v>
      </c>
      <c r="M817">
        <f t="shared" si="159"/>
        <v>0</v>
      </c>
      <c r="N817">
        <f t="shared" si="160"/>
        <v>1</v>
      </c>
      <c r="O817">
        <f t="shared" si="161"/>
        <v>0</v>
      </c>
      <c r="P817">
        <f t="shared" si="162"/>
        <v>0</v>
      </c>
      <c r="Q817">
        <f t="shared" si="163"/>
        <v>0</v>
      </c>
      <c r="R817">
        <v>0</v>
      </c>
      <c r="S817">
        <v>0</v>
      </c>
      <c r="T817">
        <v>0</v>
      </c>
      <c r="U817">
        <v>0</v>
      </c>
      <c r="V817">
        <v>0</v>
      </c>
      <c r="W817">
        <v>0</v>
      </c>
      <c r="X817">
        <v>0</v>
      </c>
      <c r="Y817">
        <v>0</v>
      </c>
      <c r="Z817">
        <v>0</v>
      </c>
      <c r="AA817">
        <v>0</v>
      </c>
      <c r="AB817">
        <v>0</v>
      </c>
      <c r="AC817">
        <v>0</v>
      </c>
      <c r="AD817">
        <v>0</v>
      </c>
      <c r="AE817">
        <v>0</v>
      </c>
      <c r="AF817">
        <v>0</v>
      </c>
      <c r="AG817">
        <v>0</v>
      </c>
      <c r="AH817">
        <v>1</v>
      </c>
      <c r="AI817">
        <v>0</v>
      </c>
      <c r="AJ817">
        <v>0</v>
      </c>
      <c r="AK817">
        <v>0</v>
      </c>
      <c r="AL817">
        <v>0</v>
      </c>
      <c r="AM817">
        <v>0</v>
      </c>
      <c r="AN817">
        <v>0</v>
      </c>
      <c r="AO817">
        <v>0</v>
      </c>
      <c r="AP817">
        <v>0</v>
      </c>
      <c r="AQ817">
        <v>0</v>
      </c>
      <c r="AR817">
        <v>0</v>
      </c>
      <c r="AS817">
        <f t="shared" si="164"/>
        <v>1</v>
      </c>
      <c r="AT817">
        <f t="shared" si="165"/>
        <v>1</v>
      </c>
      <c r="AU817" s="3" t="s">
        <v>129</v>
      </c>
      <c r="AV817">
        <f t="shared" si="166"/>
        <v>1</v>
      </c>
      <c r="AW817">
        <f t="shared" si="167"/>
        <v>0</v>
      </c>
      <c r="AX817">
        <f t="shared" si="168"/>
        <v>0</v>
      </c>
      <c r="AY817">
        <v>-1.5</v>
      </c>
      <c r="AZ817" t="s">
        <v>133</v>
      </c>
      <c r="BA817" t="s">
        <v>134</v>
      </c>
      <c r="BB817" t="s">
        <v>8</v>
      </c>
    </row>
    <row r="818" ht="34" spans="1:54">
      <c r="A818" t="s">
        <v>2890</v>
      </c>
      <c r="B818" t="s">
        <v>2118</v>
      </c>
      <c r="C818" t="s">
        <v>56</v>
      </c>
      <c r="D818">
        <v>21</v>
      </c>
      <c r="E818">
        <v>6</v>
      </c>
      <c r="F818">
        <v>24.8</v>
      </c>
      <c r="G818" t="s">
        <v>2891</v>
      </c>
      <c r="H818" s="3" t="s">
        <v>2892</v>
      </c>
      <c r="I818" s="3" t="s">
        <v>2893</v>
      </c>
      <c r="J818">
        <f t="shared" si="156"/>
        <v>0</v>
      </c>
      <c r="K818">
        <f t="shared" si="157"/>
        <v>0</v>
      </c>
      <c r="L818">
        <f t="shared" si="158"/>
        <v>0</v>
      </c>
      <c r="M818">
        <f t="shared" si="159"/>
        <v>0</v>
      </c>
      <c r="N818">
        <f t="shared" si="160"/>
        <v>0</v>
      </c>
      <c r="O818">
        <f t="shared" si="161"/>
        <v>0</v>
      </c>
      <c r="P818">
        <f t="shared" si="162"/>
        <v>0</v>
      </c>
      <c r="Q818">
        <f t="shared" si="163"/>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f t="shared" si="164"/>
        <v>0</v>
      </c>
      <c r="AT818">
        <f t="shared" si="165"/>
        <v>0</v>
      </c>
      <c r="AU818" s="3" t="s">
        <v>118</v>
      </c>
      <c r="AV818">
        <f t="shared" si="166"/>
        <v>0</v>
      </c>
      <c r="AW818">
        <f t="shared" si="167"/>
        <v>1</v>
      </c>
      <c r="AX818">
        <f t="shared" si="168"/>
        <v>0</v>
      </c>
      <c r="AY818">
        <v>-3</v>
      </c>
      <c r="AZ818" t="s">
        <v>133</v>
      </c>
      <c r="BA818" t="s">
        <v>134</v>
      </c>
      <c r="BB818" t="s">
        <v>8</v>
      </c>
    </row>
    <row r="819" ht="34" spans="1:54">
      <c r="A819" t="s">
        <v>2894</v>
      </c>
      <c r="B819" t="s">
        <v>2118</v>
      </c>
      <c r="C819" t="s">
        <v>56</v>
      </c>
      <c r="D819">
        <v>0</v>
      </c>
      <c r="E819">
        <v>0</v>
      </c>
      <c r="F819">
        <v>127.3</v>
      </c>
      <c r="G819" t="s">
        <v>2895</v>
      </c>
      <c r="H819" s="3" t="s">
        <v>2896</v>
      </c>
      <c r="I819" s="3" t="s">
        <v>2897</v>
      </c>
      <c r="J819">
        <f t="shared" si="156"/>
        <v>1</v>
      </c>
      <c r="K819">
        <f t="shared" si="157"/>
        <v>1</v>
      </c>
      <c r="L819">
        <f t="shared" si="158"/>
        <v>0</v>
      </c>
      <c r="M819">
        <f t="shared" si="159"/>
        <v>0</v>
      </c>
      <c r="N819">
        <f t="shared" si="160"/>
        <v>0</v>
      </c>
      <c r="O819">
        <f t="shared" si="161"/>
        <v>0</v>
      </c>
      <c r="P819">
        <f t="shared" si="162"/>
        <v>0</v>
      </c>
      <c r="Q819">
        <f t="shared" si="163"/>
        <v>0</v>
      </c>
      <c r="R819">
        <v>1</v>
      </c>
      <c r="S819">
        <v>0</v>
      </c>
      <c r="T819">
        <v>0</v>
      </c>
      <c r="U819">
        <v>1</v>
      </c>
      <c r="V819">
        <v>1</v>
      </c>
      <c r="W819">
        <v>0</v>
      </c>
      <c r="X819">
        <v>0</v>
      </c>
      <c r="Y819">
        <v>0</v>
      </c>
      <c r="Z819">
        <v>0</v>
      </c>
      <c r="AA819">
        <v>0</v>
      </c>
      <c r="AB819">
        <v>0</v>
      </c>
      <c r="AC819">
        <v>0</v>
      </c>
      <c r="AD819">
        <v>0</v>
      </c>
      <c r="AE819">
        <v>0</v>
      </c>
      <c r="AF819">
        <v>0</v>
      </c>
      <c r="AG819">
        <v>0</v>
      </c>
      <c r="AH819">
        <v>0</v>
      </c>
      <c r="AI819">
        <v>0</v>
      </c>
      <c r="AJ819">
        <v>0</v>
      </c>
      <c r="AK819">
        <v>0</v>
      </c>
      <c r="AL819">
        <v>0</v>
      </c>
      <c r="AM819">
        <v>0</v>
      </c>
      <c r="AN819">
        <v>0</v>
      </c>
      <c r="AO819">
        <v>0</v>
      </c>
      <c r="AP819">
        <v>0</v>
      </c>
      <c r="AQ819">
        <v>0</v>
      </c>
      <c r="AR819">
        <v>0</v>
      </c>
      <c r="AS819">
        <f t="shared" si="164"/>
        <v>2</v>
      </c>
      <c r="AT819">
        <f t="shared" si="165"/>
        <v>3</v>
      </c>
      <c r="AU819" s="3" t="s">
        <v>2898</v>
      </c>
      <c r="AV819">
        <f t="shared" si="166"/>
        <v>1</v>
      </c>
      <c r="AW819">
        <f t="shared" si="167"/>
        <v>0</v>
      </c>
      <c r="AX819">
        <f t="shared" si="168"/>
        <v>0</v>
      </c>
      <c r="AY819">
        <v>3</v>
      </c>
      <c r="AZ819" t="s">
        <v>60</v>
      </c>
      <c r="BA819" t="s">
        <v>61</v>
      </c>
      <c r="BB819" t="s">
        <v>8</v>
      </c>
    </row>
    <row r="820" ht="409.5" spans="1:54">
      <c r="A820" t="s">
        <v>2899</v>
      </c>
      <c r="B820" t="s">
        <v>2118</v>
      </c>
      <c r="C820" t="s">
        <v>56</v>
      </c>
      <c r="D820">
        <v>3</v>
      </c>
      <c r="E820">
        <v>0</v>
      </c>
      <c r="F820">
        <v>23.1</v>
      </c>
      <c r="G820" t="s">
        <v>2900</v>
      </c>
      <c r="H820" s="3" t="s">
        <v>2901</v>
      </c>
      <c r="I820" s="3" t="s">
        <v>2902</v>
      </c>
      <c r="J820">
        <f t="shared" si="156"/>
        <v>1</v>
      </c>
      <c r="K820">
        <f t="shared" si="157"/>
        <v>1</v>
      </c>
      <c r="L820">
        <f t="shared" si="158"/>
        <v>0</v>
      </c>
      <c r="M820">
        <f t="shared" si="159"/>
        <v>0</v>
      </c>
      <c r="N820">
        <f t="shared" si="160"/>
        <v>1</v>
      </c>
      <c r="O820">
        <f t="shared" si="161"/>
        <v>1</v>
      </c>
      <c r="P820">
        <f t="shared" si="162"/>
        <v>0</v>
      </c>
      <c r="Q820">
        <f t="shared" si="163"/>
        <v>0</v>
      </c>
      <c r="R820">
        <v>0</v>
      </c>
      <c r="S820">
        <v>0</v>
      </c>
      <c r="T820">
        <v>1</v>
      </c>
      <c r="U820">
        <v>1</v>
      </c>
      <c r="V820">
        <v>0</v>
      </c>
      <c r="W820">
        <v>0</v>
      </c>
      <c r="X820">
        <v>0</v>
      </c>
      <c r="Y820">
        <v>0</v>
      </c>
      <c r="Z820">
        <v>0</v>
      </c>
      <c r="AA820">
        <v>0</v>
      </c>
      <c r="AB820">
        <v>0</v>
      </c>
      <c r="AC820">
        <v>0</v>
      </c>
      <c r="AD820">
        <v>0</v>
      </c>
      <c r="AE820">
        <v>0</v>
      </c>
      <c r="AF820">
        <v>0</v>
      </c>
      <c r="AG820">
        <v>0</v>
      </c>
      <c r="AH820">
        <v>1</v>
      </c>
      <c r="AI820">
        <v>1</v>
      </c>
      <c r="AJ820">
        <v>0</v>
      </c>
      <c r="AK820">
        <v>0</v>
      </c>
      <c r="AL820">
        <v>0</v>
      </c>
      <c r="AM820">
        <v>0</v>
      </c>
      <c r="AN820">
        <v>0</v>
      </c>
      <c r="AO820">
        <v>0</v>
      </c>
      <c r="AP820">
        <v>0</v>
      </c>
      <c r="AQ820">
        <v>0</v>
      </c>
      <c r="AR820">
        <v>0</v>
      </c>
      <c r="AS820">
        <f t="shared" si="164"/>
        <v>4</v>
      </c>
      <c r="AT820">
        <f t="shared" si="165"/>
        <v>4</v>
      </c>
      <c r="AU820" s="3" t="s">
        <v>2903</v>
      </c>
      <c r="AV820">
        <f t="shared" si="166"/>
        <v>1</v>
      </c>
      <c r="AW820">
        <f t="shared" si="167"/>
        <v>0</v>
      </c>
      <c r="AX820">
        <f t="shared" si="168"/>
        <v>0</v>
      </c>
      <c r="AY820">
        <v>2</v>
      </c>
      <c r="AZ820" t="s">
        <v>60</v>
      </c>
      <c r="BA820" t="s">
        <v>61</v>
      </c>
      <c r="BB820" t="s">
        <v>8</v>
      </c>
    </row>
    <row r="821" ht="34" spans="1:54">
      <c r="A821" t="s">
        <v>2904</v>
      </c>
      <c r="B821" t="s">
        <v>2118</v>
      </c>
      <c r="C821" t="s">
        <v>56</v>
      </c>
      <c r="D821">
        <v>0</v>
      </c>
      <c r="E821">
        <v>0</v>
      </c>
      <c r="F821">
        <v>1.4</v>
      </c>
      <c r="G821" t="s">
        <v>1940</v>
      </c>
      <c r="H821" s="3" t="s">
        <v>2905</v>
      </c>
      <c r="I821" s="3" t="s">
        <v>2906</v>
      </c>
      <c r="J821">
        <f t="shared" si="156"/>
        <v>0</v>
      </c>
      <c r="K821">
        <f t="shared" si="157"/>
        <v>1</v>
      </c>
      <c r="L821">
        <f t="shared" si="158"/>
        <v>0</v>
      </c>
      <c r="M821">
        <f t="shared" si="159"/>
        <v>0</v>
      </c>
      <c r="N821">
        <f t="shared" si="160"/>
        <v>0</v>
      </c>
      <c r="O821">
        <f t="shared" si="161"/>
        <v>0</v>
      </c>
      <c r="P821">
        <f t="shared" si="162"/>
        <v>0</v>
      </c>
      <c r="Q821">
        <f t="shared" si="163"/>
        <v>0</v>
      </c>
      <c r="R821">
        <v>0</v>
      </c>
      <c r="S821">
        <v>0</v>
      </c>
      <c r="T821">
        <v>0</v>
      </c>
      <c r="U821">
        <v>1</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c r="AR821">
        <v>0</v>
      </c>
      <c r="AS821">
        <f t="shared" si="164"/>
        <v>1</v>
      </c>
      <c r="AT821">
        <f t="shared" si="165"/>
        <v>1</v>
      </c>
      <c r="AU821" s="3" t="s">
        <v>123</v>
      </c>
      <c r="AV821">
        <f t="shared" si="166"/>
        <v>1</v>
      </c>
      <c r="AW821">
        <f t="shared" si="167"/>
        <v>0</v>
      </c>
      <c r="AX821">
        <f t="shared" si="168"/>
        <v>0</v>
      </c>
      <c r="AY821">
        <v>3</v>
      </c>
      <c r="AZ821" t="s">
        <v>60</v>
      </c>
      <c r="BA821" t="s">
        <v>61</v>
      </c>
      <c r="BB821" t="s">
        <v>8</v>
      </c>
    </row>
    <row r="822" ht="101" spans="1:54">
      <c r="A822" t="s">
        <v>2907</v>
      </c>
      <c r="B822" t="s">
        <v>2118</v>
      </c>
      <c r="C822" t="s">
        <v>56</v>
      </c>
      <c r="D822">
        <v>0</v>
      </c>
      <c r="E822">
        <v>0</v>
      </c>
      <c r="F822">
        <v>39.5</v>
      </c>
      <c r="G822" t="s">
        <v>623</v>
      </c>
      <c r="H822" s="3" t="s">
        <v>2908</v>
      </c>
      <c r="I822" s="3" t="s">
        <v>2909</v>
      </c>
      <c r="J822">
        <f t="shared" si="156"/>
        <v>1</v>
      </c>
      <c r="K822">
        <f t="shared" si="157"/>
        <v>1</v>
      </c>
      <c r="L822">
        <f t="shared" si="158"/>
        <v>1</v>
      </c>
      <c r="M822">
        <f t="shared" si="159"/>
        <v>0</v>
      </c>
      <c r="N822">
        <f t="shared" si="160"/>
        <v>0</v>
      </c>
      <c r="O822">
        <f t="shared" si="161"/>
        <v>0</v>
      </c>
      <c r="P822">
        <f t="shared" si="162"/>
        <v>0</v>
      </c>
      <c r="Q822">
        <f t="shared" si="163"/>
        <v>0</v>
      </c>
      <c r="R822">
        <v>1</v>
      </c>
      <c r="S822">
        <v>0</v>
      </c>
      <c r="T822">
        <v>1</v>
      </c>
      <c r="U822">
        <v>0</v>
      </c>
      <c r="V822">
        <v>1</v>
      </c>
      <c r="W822">
        <v>0</v>
      </c>
      <c r="X822">
        <v>0</v>
      </c>
      <c r="Y822">
        <v>0</v>
      </c>
      <c r="Z822">
        <v>1</v>
      </c>
      <c r="AA822">
        <v>0</v>
      </c>
      <c r="AB822">
        <v>1</v>
      </c>
      <c r="AC822">
        <v>1</v>
      </c>
      <c r="AD822">
        <v>0</v>
      </c>
      <c r="AE822">
        <v>0</v>
      </c>
      <c r="AF822">
        <v>0</v>
      </c>
      <c r="AG822">
        <v>0</v>
      </c>
      <c r="AH822">
        <v>0</v>
      </c>
      <c r="AI822">
        <v>0</v>
      </c>
      <c r="AJ822">
        <v>0</v>
      </c>
      <c r="AK822">
        <v>0</v>
      </c>
      <c r="AL822">
        <v>0</v>
      </c>
      <c r="AM822">
        <v>0</v>
      </c>
      <c r="AN822">
        <v>0</v>
      </c>
      <c r="AO822">
        <v>0</v>
      </c>
      <c r="AP822">
        <v>0</v>
      </c>
      <c r="AQ822">
        <v>0</v>
      </c>
      <c r="AR822">
        <v>0</v>
      </c>
      <c r="AS822">
        <f t="shared" si="164"/>
        <v>3</v>
      </c>
      <c r="AT822">
        <f t="shared" si="165"/>
        <v>6</v>
      </c>
      <c r="AU822" s="3" t="s">
        <v>2910</v>
      </c>
      <c r="AV822">
        <f t="shared" si="166"/>
        <v>1</v>
      </c>
      <c r="AW822">
        <f t="shared" si="167"/>
        <v>0</v>
      </c>
      <c r="AX822">
        <f t="shared" si="168"/>
        <v>0</v>
      </c>
      <c r="AY822">
        <v>0</v>
      </c>
      <c r="AZ822" t="s">
        <v>147</v>
      </c>
      <c r="BA822" t="s">
        <v>148</v>
      </c>
      <c r="BB822" t="s">
        <v>8</v>
      </c>
    </row>
    <row r="823" ht="34" spans="1:54">
      <c r="A823" t="s">
        <v>2911</v>
      </c>
      <c r="B823" t="s">
        <v>2118</v>
      </c>
      <c r="C823" t="s">
        <v>56</v>
      </c>
      <c r="D823">
        <v>0</v>
      </c>
      <c r="E823">
        <v>0</v>
      </c>
      <c r="F823">
        <v>56.7</v>
      </c>
      <c r="G823" t="s">
        <v>645</v>
      </c>
      <c r="H823" s="3" t="s">
        <v>2912</v>
      </c>
      <c r="I823" s="3" t="s">
        <v>2913</v>
      </c>
      <c r="J823">
        <f t="shared" si="156"/>
        <v>0</v>
      </c>
      <c r="K823">
        <f t="shared" si="157"/>
        <v>0</v>
      </c>
      <c r="L823">
        <f t="shared" si="158"/>
        <v>0</v>
      </c>
      <c r="M823">
        <f t="shared" si="159"/>
        <v>0</v>
      </c>
      <c r="N823">
        <f t="shared" si="160"/>
        <v>0</v>
      </c>
      <c r="O823">
        <f t="shared" si="161"/>
        <v>0</v>
      </c>
      <c r="P823">
        <f t="shared" si="162"/>
        <v>0</v>
      </c>
      <c r="Q823">
        <f t="shared" si="163"/>
        <v>0</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f t="shared" si="164"/>
        <v>0</v>
      </c>
      <c r="AT823">
        <f t="shared" si="165"/>
        <v>0</v>
      </c>
      <c r="AU823" s="3" t="s">
        <v>118</v>
      </c>
      <c r="AV823">
        <f t="shared" si="166"/>
        <v>0</v>
      </c>
      <c r="AW823">
        <f t="shared" si="167"/>
        <v>1</v>
      </c>
      <c r="AX823">
        <f t="shared" si="168"/>
        <v>0</v>
      </c>
      <c r="AY823">
        <v>-1</v>
      </c>
      <c r="AZ823" t="s">
        <v>133</v>
      </c>
      <c r="BA823" t="s">
        <v>134</v>
      </c>
      <c r="BB823" t="s">
        <v>8</v>
      </c>
    </row>
    <row r="824" ht="68" spans="1:54">
      <c r="A824" t="s">
        <v>2914</v>
      </c>
      <c r="B824" t="s">
        <v>2118</v>
      </c>
      <c r="C824" t="s">
        <v>56</v>
      </c>
      <c r="D824">
        <v>0</v>
      </c>
      <c r="E824">
        <v>0</v>
      </c>
      <c r="F824">
        <v>81.4</v>
      </c>
      <c r="G824" t="s">
        <v>645</v>
      </c>
      <c r="H824" s="3" t="s">
        <v>2915</v>
      </c>
      <c r="I824" s="3" t="s">
        <v>2916</v>
      </c>
      <c r="J824">
        <f t="shared" si="156"/>
        <v>0</v>
      </c>
      <c r="K824">
        <f t="shared" si="157"/>
        <v>1</v>
      </c>
      <c r="L824">
        <f t="shared" si="158"/>
        <v>0</v>
      </c>
      <c r="M824">
        <f t="shared" si="159"/>
        <v>0</v>
      </c>
      <c r="N824">
        <f t="shared" si="160"/>
        <v>1</v>
      </c>
      <c r="O824">
        <f t="shared" si="161"/>
        <v>0</v>
      </c>
      <c r="P824">
        <f t="shared" si="162"/>
        <v>0</v>
      </c>
      <c r="Q824">
        <f t="shared" si="163"/>
        <v>0</v>
      </c>
      <c r="R824">
        <v>0</v>
      </c>
      <c r="S824">
        <v>0</v>
      </c>
      <c r="T824">
        <v>0</v>
      </c>
      <c r="U824">
        <v>1</v>
      </c>
      <c r="V824">
        <v>1</v>
      </c>
      <c r="W824">
        <v>1</v>
      </c>
      <c r="X824">
        <v>0</v>
      </c>
      <c r="Y824">
        <v>1</v>
      </c>
      <c r="Z824">
        <v>0</v>
      </c>
      <c r="AA824">
        <v>0</v>
      </c>
      <c r="AB824">
        <v>0</v>
      </c>
      <c r="AC824">
        <v>0</v>
      </c>
      <c r="AD824">
        <v>0</v>
      </c>
      <c r="AE824">
        <v>0</v>
      </c>
      <c r="AF824">
        <v>0</v>
      </c>
      <c r="AG824">
        <v>0</v>
      </c>
      <c r="AH824">
        <v>1</v>
      </c>
      <c r="AI824">
        <v>0</v>
      </c>
      <c r="AJ824">
        <v>0</v>
      </c>
      <c r="AK824">
        <v>0</v>
      </c>
      <c r="AL824">
        <v>0</v>
      </c>
      <c r="AM824">
        <v>0</v>
      </c>
      <c r="AN824">
        <v>0</v>
      </c>
      <c r="AO824">
        <v>0</v>
      </c>
      <c r="AP824">
        <v>0</v>
      </c>
      <c r="AQ824">
        <v>0</v>
      </c>
      <c r="AR824">
        <v>0</v>
      </c>
      <c r="AS824">
        <f t="shared" si="164"/>
        <v>2</v>
      </c>
      <c r="AT824">
        <f t="shared" si="165"/>
        <v>5</v>
      </c>
      <c r="AU824" s="3" t="s">
        <v>2734</v>
      </c>
      <c r="AV824">
        <f t="shared" si="166"/>
        <v>1</v>
      </c>
      <c r="AW824">
        <f t="shared" si="167"/>
        <v>0</v>
      </c>
      <c r="AX824">
        <f t="shared" si="168"/>
        <v>0</v>
      </c>
      <c r="AY824">
        <v>-6</v>
      </c>
      <c r="AZ824" t="s">
        <v>133</v>
      </c>
      <c r="BA824" t="s">
        <v>134</v>
      </c>
      <c r="BB824" t="s">
        <v>8</v>
      </c>
    </row>
    <row r="825" ht="68" spans="1:54">
      <c r="A825" t="s">
        <v>2917</v>
      </c>
      <c r="B825" t="s">
        <v>2118</v>
      </c>
      <c r="C825" t="s">
        <v>56</v>
      </c>
      <c r="D825">
        <v>0</v>
      </c>
      <c r="E825">
        <v>0</v>
      </c>
      <c r="F825">
        <v>77.8</v>
      </c>
      <c r="G825" t="s">
        <v>1841</v>
      </c>
      <c r="H825" s="3" t="s">
        <v>2918</v>
      </c>
      <c r="I825" s="3" t="s">
        <v>2919</v>
      </c>
      <c r="J825">
        <f t="shared" si="156"/>
        <v>0</v>
      </c>
      <c r="K825">
        <f t="shared" si="157"/>
        <v>1</v>
      </c>
      <c r="L825">
        <f t="shared" si="158"/>
        <v>0</v>
      </c>
      <c r="M825">
        <f t="shared" si="159"/>
        <v>1</v>
      </c>
      <c r="N825">
        <f t="shared" si="160"/>
        <v>0</v>
      </c>
      <c r="O825">
        <f t="shared" si="161"/>
        <v>1</v>
      </c>
      <c r="P825">
        <f t="shared" si="162"/>
        <v>0</v>
      </c>
      <c r="Q825">
        <f t="shared" si="163"/>
        <v>0</v>
      </c>
      <c r="R825">
        <v>0</v>
      </c>
      <c r="S825">
        <v>0</v>
      </c>
      <c r="T825">
        <v>0</v>
      </c>
      <c r="U825">
        <v>1</v>
      </c>
      <c r="V825">
        <v>0</v>
      </c>
      <c r="W825">
        <v>1</v>
      </c>
      <c r="X825">
        <v>0</v>
      </c>
      <c r="Y825">
        <v>0</v>
      </c>
      <c r="Z825">
        <v>0</v>
      </c>
      <c r="AA825">
        <v>0</v>
      </c>
      <c r="AB825">
        <v>0</v>
      </c>
      <c r="AC825">
        <v>0</v>
      </c>
      <c r="AD825">
        <v>1</v>
      </c>
      <c r="AE825">
        <v>0</v>
      </c>
      <c r="AF825">
        <v>0</v>
      </c>
      <c r="AG825">
        <v>0</v>
      </c>
      <c r="AH825">
        <v>0</v>
      </c>
      <c r="AI825">
        <v>1</v>
      </c>
      <c r="AJ825">
        <v>0</v>
      </c>
      <c r="AK825">
        <v>0</v>
      </c>
      <c r="AL825">
        <v>0</v>
      </c>
      <c r="AM825">
        <v>0</v>
      </c>
      <c r="AN825">
        <v>0</v>
      </c>
      <c r="AO825">
        <v>0</v>
      </c>
      <c r="AP825">
        <v>0</v>
      </c>
      <c r="AQ825">
        <v>0</v>
      </c>
      <c r="AR825">
        <v>0</v>
      </c>
      <c r="AS825">
        <f t="shared" si="164"/>
        <v>3</v>
      </c>
      <c r="AT825">
        <f t="shared" si="165"/>
        <v>4</v>
      </c>
      <c r="AU825" s="3" t="s">
        <v>2920</v>
      </c>
      <c r="AV825">
        <f t="shared" si="166"/>
        <v>1</v>
      </c>
      <c r="AW825">
        <f t="shared" si="167"/>
        <v>0</v>
      </c>
      <c r="AX825">
        <f t="shared" si="168"/>
        <v>0</v>
      </c>
      <c r="AY825">
        <v>1.5</v>
      </c>
      <c r="AZ825" t="s">
        <v>60</v>
      </c>
      <c r="BA825" t="s">
        <v>61</v>
      </c>
      <c r="BB825" t="s">
        <v>8</v>
      </c>
    </row>
    <row r="826" ht="68" spans="1:54">
      <c r="A826" t="s">
        <v>2921</v>
      </c>
      <c r="B826" t="s">
        <v>2118</v>
      </c>
      <c r="C826" t="s">
        <v>56</v>
      </c>
      <c r="D826">
        <v>0</v>
      </c>
      <c r="E826">
        <v>0</v>
      </c>
      <c r="F826">
        <v>23.1</v>
      </c>
      <c r="G826" t="s">
        <v>2922</v>
      </c>
      <c r="H826" s="3" t="s">
        <v>2923</v>
      </c>
      <c r="I826" s="3" t="s">
        <v>2924</v>
      </c>
      <c r="J826">
        <f t="shared" si="156"/>
        <v>0</v>
      </c>
      <c r="K826">
        <f t="shared" si="157"/>
        <v>1</v>
      </c>
      <c r="L826">
        <f t="shared" si="158"/>
        <v>1</v>
      </c>
      <c r="M826">
        <f t="shared" si="159"/>
        <v>0</v>
      </c>
      <c r="N826">
        <f t="shared" si="160"/>
        <v>0</v>
      </c>
      <c r="O826">
        <f t="shared" si="161"/>
        <v>0</v>
      </c>
      <c r="P826">
        <f t="shared" si="162"/>
        <v>0</v>
      </c>
      <c r="Q826">
        <f t="shared" si="163"/>
        <v>0</v>
      </c>
      <c r="R826">
        <v>0</v>
      </c>
      <c r="S826">
        <v>0</v>
      </c>
      <c r="T826">
        <v>0</v>
      </c>
      <c r="U826">
        <v>1</v>
      </c>
      <c r="V826">
        <v>0</v>
      </c>
      <c r="W826">
        <v>1</v>
      </c>
      <c r="X826">
        <v>0</v>
      </c>
      <c r="Y826">
        <v>0</v>
      </c>
      <c r="Z826">
        <v>1</v>
      </c>
      <c r="AA826">
        <v>1</v>
      </c>
      <c r="AB826">
        <v>0</v>
      </c>
      <c r="AC826">
        <v>1</v>
      </c>
      <c r="AD826">
        <v>0</v>
      </c>
      <c r="AE826">
        <v>0</v>
      </c>
      <c r="AF826">
        <v>0</v>
      </c>
      <c r="AG826">
        <v>0</v>
      </c>
      <c r="AH826">
        <v>0</v>
      </c>
      <c r="AI826">
        <v>0</v>
      </c>
      <c r="AJ826">
        <v>0</v>
      </c>
      <c r="AK826">
        <v>0</v>
      </c>
      <c r="AL826">
        <v>0</v>
      </c>
      <c r="AM826">
        <v>0</v>
      </c>
      <c r="AN826">
        <v>0</v>
      </c>
      <c r="AO826">
        <v>0</v>
      </c>
      <c r="AP826">
        <v>0</v>
      </c>
      <c r="AQ826">
        <v>0</v>
      </c>
      <c r="AR826">
        <v>0</v>
      </c>
      <c r="AS826">
        <f t="shared" si="164"/>
        <v>2</v>
      </c>
      <c r="AT826">
        <f t="shared" si="165"/>
        <v>5</v>
      </c>
      <c r="AU826" s="3" t="s">
        <v>2925</v>
      </c>
      <c r="AV826">
        <f t="shared" si="166"/>
        <v>1</v>
      </c>
      <c r="AW826">
        <f t="shared" si="167"/>
        <v>0</v>
      </c>
      <c r="AX826">
        <f t="shared" si="168"/>
        <v>0</v>
      </c>
      <c r="AY826">
        <v>-1.5</v>
      </c>
      <c r="AZ826" t="s">
        <v>133</v>
      </c>
      <c r="BA826" t="s">
        <v>134</v>
      </c>
      <c r="BB826" t="s">
        <v>8</v>
      </c>
    </row>
    <row r="827" ht="118" spans="1:54">
      <c r="A827" t="s">
        <v>2926</v>
      </c>
      <c r="B827" t="s">
        <v>2118</v>
      </c>
      <c r="C827" t="s">
        <v>116</v>
      </c>
      <c r="D827">
        <v>0</v>
      </c>
      <c r="E827">
        <v>0</v>
      </c>
      <c r="F827">
        <v>44.8</v>
      </c>
      <c r="G827" t="s">
        <v>649</v>
      </c>
      <c r="H827" s="3" t="s">
        <v>2927</v>
      </c>
      <c r="I827" s="3" t="s">
        <v>2928</v>
      </c>
      <c r="J827">
        <f t="shared" si="156"/>
        <v>0</v>
      </c>
      <c r="K827">
        <f t="shared" si="157"/>
        <v>1</v>
      </c>
      <c r="L827">
        <f t="shared" si="158"/>
        <v>0</v>
      </c>
      <c r="M827">
        <f t="shared" si="159"/>
        <v>0</v>
      </c>
      <c r="N827">
        <f t="shared" si="160"/>
        <v>1</v>
      </c>
      <c r="O827">
        <f t="shared" si="161"/>
        <v>0</v>
      </c>
      <c r="P827">
        <f t="shared" si="162"/>
        <v>0</v>
      </c>
      <c r="Q827">
        <f t="shared" si="163"/>
        <v>0</v>
      </c>
      <c r="R827">
        <v>0</v>
      </c>
      <c r="S827">
        <v>0</v>
      </c>
      <c r="T827">
        <v>0</v>
      </c>
      <c r="U827">
        <v>1</v>
      </c>
      <c r="V827">
        <v>0</v>
      </c>
      <c r="W827">
        <v>0</v>
      </c>
      <c r="X827">
        <v>0</v>
      </c>
      <c r="Y827">
        <v>1</v>
      </c>
      <c r="Z827">
        <v>0</v>
      </c>
      <c r="AA827">
        <v>0</v>
      </c>
      <c r="AB827">
        <v>0</v>
      </c>
      <c r="AC827">
        <v>0</v>
      </c>
      <c r="AD827">
        <v>0</v>
      </c>
      <c r="AE827">
        <v>0</v>
      </c>
      <c r="AF827">
        <v>0</v>
      </c>
      <c r="AG827">
        <v>0</v>
      </c>
      <c r="AH827">
        <v>1</v>
      </c>
      <c r="AI827">
        <v>0</v>
      </c>
      <c r="AJ827">
        <v>0</v>
      </c>
      <c r="AK827">
        <v>0</v>
      </c>
      <c r="AL827">
        <v>0</v>
      </c>
      <c r="AM827">
        <v>0</v>
      </c>
      <c r="AN827">
        <v>0</v>
      </c>
      <c r="AO827">
        <v>0</v>
      </c>
      <c r="AP827">
        <v>0</v>
      </c>
      <c r="AQ827">
        <v>0</v>
      </c>
      <c r="AR827">
        <v>0</v>
      </c>
      <c r="AS827">
        <f t="shared" si="164"/>
        <v>2</v>
      </c>
      <c r="AT827">
        <f t="shared" si="165"/>
        <v>3</v>
      </c>
      <c r="AU827" s="3" t="s">
        <v>2929</v>
      </c>
      <c r="AV827">
        <f t="shared" si="166"/>
        <v>1</v>
      </c>
      <c r="AW827">
        <f t="shared" si="167"/>
        <v>0</v>
      </c>
      <c r="AX827">
        <f t="shared" si="168"/>
        <v>0</v>
      </c>
      <c r="AY827">
        <v>-4</v>
      </c>
      <c r="AZ827" t="s">
        <v>133</v>
      </c>
      <c r="BA827" t="s">
        <v>134</v>
      </c>
      <c r="BB827" t="s">
        <v>8</v>
      </c>
    </row>
    <row r="828" ht="118" spans="1:54">
      <c r="A828" t="s">
        <v>2930</v>
      </c>
      <c r="B828" t="s">
        <v>2118</v>
      </c>
      <c r="C828" t="s">
        <v>56</v>
      </c>
      <c r="D828">
        <v>2</v>
      </c>
      <c r="E828">
        <v>0</v>
      </c>
      <c r="F828">
        <v>51.9</v>
      </c>
      <c r="G828" t="s">
        <v>649</v>
      </c>
      <c r="H828" s="3" t="s">
        <v>2931</v>
      </c>
      <c r="I828" s="3" t="s">
        <v>2932</v>
      </c>
      <c r="J828">
        <f t="shared" si="156"/>
        <v>1</v>
      </c>
      <c r="K828">
        <f t="shared" si="157"/>
        <v>1</v>
      </c>
      <c r="L828">
        <f t="shared" si="158"/>
        <v>1</v>
      </c>
      <c r="M828">
        <f t="shared" si="159"/>
        <v>0</v>
      </c>
      <c r="N828">
        <f t="shared" si="160"/>
        <v>0</v>
      </c>
      <c r="O828">
        <f t="shared" si="161"/>
        <v>0</v>
      </c>
      <c r="P828">
        <f t="shared" si="162"/>
        <v>0</v>
      </c>
      <c r="Q828">
        <f t="shared" si="163"/>
        <v>0</v>
      </c>
      <c r="R828">
        <v>1</v>
      </c>
      <c r="S828">
        <v>1</v>
      </c>
      <c r="T828">
        <v>1</v>
      </c>
      <c r="U828">
        <v>0</v>
      </c>
      <c r="V828">
        <v>1</v>
      </c>
      <c r="W828">
        <v>0</v>
      </c>
      <c r="X828">
        <v>0</v>
      </c>
      <c r="Y828">
        <v>0</v>
      </c>
      <c r="Z828">
        <v>1</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f t="shared" si="164"/>
        <v>3</v>
      </c>
      <c r="AT828">
        <f t="shared" si="165"/>
        <v>5</v>
      </c>
      <c r="AU828" s="3" t="s">
        <v>2933</v>
      </c>
      <c r="AV828">
        <f t="shared" si="166"/>
        <v>1</v>
      </c>
      <c r="AW828">
        <f t="shared" si="167"/>
        <v>0</v>
      </c>
      <c r="AX828">
        <f t="shared" si="168"/>
        <v>0</v>
      </c>
      <c r="AY828">
        <v>6</v>
      </c>
      <c r="AZ828" t="s">
        <v>60</v>
      </c>
      <c r="BA828" t="s">
        <v>61</v>
      </c>
      <c r="BB828" t="s">
        <v>8</v>
      </c>
    </row>
    <row r="829" ht="236" spans="1:54">
      <c r="A829" t="s">
        <v>2934</v>
      </c>
      <c r="B829" t="s">
        <v>2118</v>
      </c>
      <c r="C829" t="s">
        <v>56</v>
      </c>
      <c r="D829">
        <v>11</v>
      </c>
      <c r="E829">
        <v>2</v>
      </c>
      <c r="F829">
        <v>49.6</v>
      </c>
      <c r="G829" t="s">
        <v>649</v>
      </c>
      <c r="H829" s="3" t="s">
        <v>2935</v>
      </c>
      <c r="I829" s="3" t="s">
        <v>2936</v>
      </c>
      <c r="J829">
        <f t="shared" si="156"/>
        <v>1</v>
      </c>
      <c r="K829">
        <f t="shared" si="157"/>
        <v>1</v>
      </c>
      <c r="L829">
        <f t="shared" si="158"/>
        <v>1</v>
      </c>
      <c r="M829">
        <f t="shared" si="159"/>
        <v>0</v>
      </c>
      <c r="N829">
        <f t="shared" si="160"/>
        <v>1</v>
      </c>
      <c r="O829">
        <f t="shared" si="161"/>
        <v>0</v>
      </c>
      <c r="P829">
        <f t="shared" si="162"/>
        <v>0</v>
      </c>
      <c r="Q829">
        <f t="shared" si="163"/>
        <v>0</v>
      </c>
      <c r="R829">
        <v>0</v>
      </c>
      <c r="S829">
        <v>0</v>
      </c>
      <c r="T829">
        <v>1</v>
      </c>
      <c r="U829">
        <v>1</v>
      </c>
      <c r="V829">
        <v>0</v>
      </c>
      <c r="W829">
        <v>0</v>
      </c>
      <c r="X829">
        <v>0</v>
      </c>
      <c r="Y829">
        <v>0</v>
      </c>
      <c r="Z829">
        <v>1</v>
      </c>
      <c r="AA829">
        <v>0</v>
      </c>
      <c r="AB829">
        <v>0</v>
      </c>
      <c r="AC829">
        <v>0</v>
      </c>
      <c r="AD829">
        <v>0</v>
      </c>
      <c r="AE829">
        <v>0</v>
      </c>
      <c r="AF829">
        <v>0</v>
      </c>
      <c r="AG829">
        <v>0</v>
      </c>
      <c r="AH829">
        <v>1</v>
      </c>
      <c r="AI829">
        <v>0</v>
      </c>
      <c r="AJ829">
        <v>0</v>
      </c>
      <c r="AK829">
        <v>0</v>
      </c>
      <c r="AL829">
        <v>0</v>
      </c>
      <c r="AM829">
        <v>0</v>
      </c>
      <c r="AN829">
        <v>0</v>
      </c>
      <c r="AO829">
        <v>0</v>
      </c>
      <c r="AP829">
        <v>0</v>
      </c>
      <c r="AQ829">
        <v>0</v>
      </c>
      <c r="AR829">
        <v>0</v>
      </c>
      <c r="AS829">
        <f t="shared" si="164"/>
        <v>4</v>
      </c>
      <c r="AT829">
        <f t="shared" si="165"/>
        <v>4</v>
      </c>
      <c r="AU829" s="3" t="s">
        <v>2937</v>
      </c>
      <c r="AV829">
        <f t="shared" si="166"/>
        <v>1</v>
      </c>
      <c r="AW829">
        <f t="shared" si="167"/>
        <v>0</v>
      </c>
      <c r="AX829">
        <f t="shared" si="168"/>
        <v>0</v>
      </c>
      <c r="AY829">
        <v>7.5</v>
      </c>
      <c r="AZ829" t="s">
        <v>60</v>
      </c>
      <c r="BA829" t="s">
        <v>61</v>
      </c>
      <c r="BB829" t="s">
        <v>8</v>
      </c>
    </row>
    <row r="830" ht="34" spans="1:54">
      <c r="A830" t="s">
        <v>2938</v>
      </c>
      <c r="B830" t="s">
        <v>2118</v>
      </c>
      <c r="C830" t="s">
        <v>56</v>
      </c>
      <c r="D830">
        <v>2</v>
      </c>
      <c r="E830">
        <v>0</v>
      </c>
      <c r="F830">
        <v>95.2</v>
      </c>
      <c r="G830" t="s">
        <v>661</v>
      </c>
      <c r="H830" s="3" t="s">
        <v>2939</v>
      </c>
      <c r="I830" s="3" t="s">
        <v>2940</v>
      </c>
      <c r="J830">
        <f t="shared" si="156"/>
        <v>1</v>
      </c>
      <c r="K830">
        <f t="shared" si="157"/>
        <v>1</v>
      </c>
      <c r="L830">
        <f t="shared" si="158"/>
        <v>1</v>
      </c>
      <c r="M830">
        <f t="shared" si="159"/>
        <v>0</v>
      </c>
      <c r="N830">
        <f t="shared" si="160"/>
        <v>0</v>
      </c>
      <c r="O830">
        <f t="shared" si="161"/>
        <v>0</v>
      </c>
      <c r="P830">
        <f t="shared" si="162"/>
        <v>0</v>
      </c>
      <c r="Q830">
        <f t="shared" si="163"/>
        <v>0</v>
      </c>
      <c r="R830">
        <v>1</v>
      </c>
      <c r="S830">
        <v>0</v>
      </c>
      <c r="T830">
        <v>0</v>
      </c>
      <c r="U830">
        <v>0</v>
      </c>
      <c r="V830">
        <v>0</v>
      </c>
      <c r="W830">
        <v>1</v>
      </c>
      <c r="X830">
        <v>0</v>
      </c>
      <c r="Y830">
        <v>0</v>
      </c>
      <c r="Z830">
        <v>0</v>
      </c>
      <c r="AA830">
        <v>0</v>
      </c>
      <c r="AB830">
        <v>1</v>
      </c>
      <c r="AC830">
        <v>1</v>
      </c>
      <c r="AD830">
        <v>0</v>
      </c>
      <c r="AE830">
        <v>0</v>
      </c>
      <c r="AF830">
        <v>0</v>
      </c>
      <c r="AG830">
        <v>0</v>
      </c>
      <c r="AH830">
        <v>0</v>
      </c>
      <c r="AI830">
        <v>0</v>
      </c>
      <c r="AJ830">
        <v>0</v>
      </c>
      <c r="AK830">
        <v>0</v>
      </c>
      <c r="AL830">
        <v>0</v>
      </c>
      <c r="AM830">
        <v>0</v>
      </c>
      <c r="AN830">
        <v>0</v>
      </c>
      <c r="AO830">
        <v>0</v>
      </c>
      <c r="AP830">
        <v>0</v>
      </c>
      <c r="AQ830">
        <v>0</v>
      </c>
      <c r="AR830">
        <v>0</v>
      </c>
      <c r="AS830">
        <f t="shared" si="164"/>
        <v>3</v>
      </c>
      <c r="AT830">
        <f t="shared" si="165"/>
        <v>4</v>
      </c>
      <c r="AU830" s="3" t="s">
        <v>2941</v>
      </c>
      <c r="AV830">
        <f t="shared" si="166"/>
        <v>1</v>
      </c>
      <c r="AW830">
        <f t="shared" si="167"/>
        <v>0</v>
      </c>
      <c r="AX830">
        <f t="shared" si="168"/>
        <v>0</v>
      </c>
      <c r="AY830">
        <v>0</v>
      </c>
      <c r="AZ830" t="s">
        <v>147</v>
      </c>
      <c r="BA830" t="s">
        <v>148</v>
      </c>
      <c r="BB830" t="s">
        <v>8</v>
      </c>
    </row>
    <row r="831" ht="409.5" spans="1:54">
      <c r="A831" t="s">
        <v>2942</v>
      </c>
      <c r="B831" t="s">
        <v>2118</v>
      </c>
      <c r="C831" t="s">
        <v>56</v>
      </c>
      <c r="D831">
        <v>2</v>
      </c>
      <c r="E831">
        <v>1</v>
      </c>
      <c r="F831">
        <v>317.4</v>
      </c>
      <c r="G831" t="s">
        <v>683</v>
      </c>
      <c r="H831" s="3" t="s">
        <v>2943</v>
      </c>
      <c r="I831" s="3" t="s">
        <v>2944</v>
      </c>
      <c r="J831">
        <f t="shared" si="156"/>
        <v>0</v>
      </c>
      <c r="K831">
        <f t="shared" si="157"/>
        <v>1</v>
      </c>
      <c r="L831">
        <f t="shared" si="158"/>
        <v>0</v>
      </c>
      <c r="M831">
        <f t="shared" si="159"/>
        <v>0</v>
      </c>
      <c r="N831">
        <f t="shared" si="160"/>
        <v>1</v>
      </c>
      <c r="O831">
        <f t="shared" si="161"/>
        <v>1</v>
      </c>
      <c r="P831">
        <f t="shared" si="162"/>
        <v>0</v>
      </c>
      <c r="Q831">
        <f t="shared" si="163"/>
        <v>0</v>
      </c>
      <c r="R831">
        <v>0</v>
      </c>
      <c r="S831">
        <v>0</v>
      </c>
      <c r="T831">
        <v>0</v>
      </c>
      <c r="U831">
        <v>0</v>
      </c>
      <c r="V831">
        <v>0</v>
      </c>
      <c r="W831">
        <v>1</v>
      </c>
      <c r="X831">
        <v>0</v>
      </c>
      <c r="Y831">
        <v>0</v>
      </c>
      <c r="Z831">
        <v>0</v>
      </c>
      <c r="AA831">
        <v>0</v>
      </c>
      <c r="AB831">
        <v>0</v>
      </c>
      <c r="AC831">
        <v>0</v>
      </c>
      <c r="AD831">
        <v>0</v>
      </c>
      <c r="AE831">
        <v>0</v>
      </c>
      <c r="AF831">
        <v>0</v>
      </c>
      <c r="AG831">
        <v>0</v>
      </c>
      <c r="AH831">
        <v>1</v>
      </c>
      <c r="AI831">
        <v>1</v>
      </c>
      <c r="AJ831">
        <v>0</v>
      </c>
      <c r="AK831">
        <v>0</v>
      </c>
      <c r="AL831">
        <v>0</v>
      </c>
      <c r="AM831">
        <v>0</v>
      </c>
      <c r="AN831">
        <v>0</v>
      </c>
      <c r="AO831">
        <v>0</v>
      </c>
      <c r="AP831">
        <v>0</v>
      </c>
      <c r="AQ831">
        <v>0</v>
      </c>
      <c r="AR831">
        <v>0</v>
      </c>
      <c r="AS831">
        <f t="shared" si="164"/>
        <v>3</v>
      </c>
      <c r="AT831">
        <f t="shared" si="165"/>
        <v>3</v>
      </c>
      <c r="AU831" s="3" t="s">
        <v>2761</v>
      </c>
      <c r="AV831">
        <f t="shared" si="166"/>
        <v>1</v>
      </c>
      <c r="AW831">
        <f t="shared" si="167"/>
        <v>0</v>
      </c>
      <c r="AX831">
        <f t="shared" si="168"/>
        <v>0</v>
      </c>
      <c r="AY831">
        <v>4</v>
      </c>
      <c r="AZ831" t="s">
        <v>60</v>
      </c>
      <c r="BA831" t="s">
        <v>61</v>
      </c>
      <c r="BB831" t="s">
        <v>8</v>
      </c>
    </row>
    <row r="832" ht="185" spans="1:54">
      <c r="A832" t="s">
        <v>2945</v>
      </c>
      <c r="B832" t="s">
        <v>2118</v>
      </c>
      <c r="C832" t="s">
        <v>56</v>
      </c>
      <c r="D832">
        <v>4</v>
      </c>
      <c r="E832">
        <v>1</v>
      </c>
      <c r="F832">
        <v>301</v>
      </c>
      <c r="G832" t="s">
        <v>683</v>
      </c>
      <c r="H832" s="3" t="s">
        <v>2946</v>
      </c>
      <c r="I832" s="3" t="s">
        <v>2947</v>
      </c>
      <c r="J832">
        <f t="shared" si="156"/>
        <v>0</v>
      </c>
      <c r="K832">
        <f t="shared" si="157"/>
        <v>1</v>
      </c>
      <c r="L832">
        <f t="shared" si="158"/>
        <v>0</v>
      </c>
      <c r="M832">
        <f t="shared" si="159"/>
        <v>0</v>
      </c>
      <c r="N832">
        <f t="shared" si="160"/>
        <v>0</v>
      </c>
      <c r="O832">
        <f t="shared" si="161"/>
        <v>0</v>
      </c>
      <c r="P832">
        <f t="shared" si="162"/>
        <v>0</v>
      </c>
      <c r="Q832">
        <f t="shared" si="163"/>
        <v>0</v>
      </c>
      <c r="R832">
        <v>0</v>
      </c>
      <c r="S832">
        <v>0</v>
      </c>
      <c r="T832">
        <v>0</v>
      </c>
      <c r="U832">
        <v>1</v>
      </c>
      <c r="V832">
        <v>0</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0</v>
      </c>
      <c r="AP832">
        <v>0</v>
      </c>
      <c r="AQ832">
        <v>0</v>
      </c>
      <c r="AR832">
        <v>0</v>
      </c>
      <c r="AS832">
        <f t="shared" si="164"/>
        <v>1</v>
      </c>
      <c r="AT832">
        <f t="shared" si="165"/>
        <v>1</v>
      </c>
      <c r="AU832" s="3" t="s">
        <v>123</v>
      </c>
      <c r="AV832">
        <f t="shared" si="166"/>
        <v>1</v>
      </c>
      <c r="AW832">
        <f t="shared" si="167"/>
        <v>0</v>
      </c>
      <c r="AX832">
        <f t="shared" si="168"/>
        <v>0</v>
      </c>
      <c r="AY832">
        <v>3.5</v>
      </c>
      <c r="AZ832" t="s">
        <v>60</v>
      </c>
      <c r="BA832" t="s">
        <v>61</v>
      </c>
      <c r="BB832" t="s">
        <v>8</v>
      </c>
    </row>
    <row r="833" ht="219" spans="1:54">
      <c r="A833" t="s">
        <v>2948</v>
      </c>
      <c r="B833" t="s">
        <v>2118</v>
      </c>
      <c r="C833" t="s">
        <v>56</v>
      </c>
      <c r="D833">
        <v>6</v>
      </c>
      <c r="E833">
        <v>2</v>
      </c>
      <c r="F833">
        <v>32.4</v>
      </c>
      <c r="G833" t="s">
        <v>697</v>
      </c>
      <c r="H833" s="3" t="s">
        <v>2949</v>
      </c>
      <c r="I833" s="3" t="s">
        <v>2950</v>
      </c>
      <c r="J833">
        <f t="shared" si="156"/>
        <v>0</v>
      </c>
      <c r="K833">
        <f t="shared" si="157"/>
        <v>1</v>
      </c>
      <c r="L833">
        <f t="shared" si="158"/>
        <v>0</v>
      </c>
      <c r="M833">
        <f t="shared" si="159"/>
        <v>0</v>
      </c>
      <c r="N833">
        <f t="shared" si="160"/>
        <v>1</v>
      </c>
      <c r="O833">
        <f t="shared" si="161"/>
        <v>0</v>
      </c>
      <c r="P833">
        <f t="shared" si="162"/>
        <v>0</v>
      </c>
      <c r="Q833">
        <f t="shared" si="163"/>
        <v>0</v>
      </c>
      <c r="R833">
        <v>0</v>
      </c>
      <c r="S833">
        <v>0</v>
      </c>
      <c r="T833">
        <v>0</v>
      </c>
      <c r="U833">
        <v>0</v>
      </c>
      <c r="V833">
        <v>1</v>
      </c>
      <c r="W833">
        <v>0</v>
      </c>
      <c r="X833">
        <v>0</v>
      </c>
      <c r="Y833">
        <v>0</v>
      </c>
      <c r="Z833">
        <v>0</v>
      </c>
      <c r="AA833">
        <v>0</v>
      </c>
      <c r="AB833">
        <v>0</v>
      </c>
      <c r="AC833">
        <v>0</v>
      </c>
      <c r="AD833">
        <v>0</v>
      </c>
      <c r="AE833">
        <v>0</v>
      </c>
      <c r="AF833">
        <v>0</v>
      </c>
      <c r="AG833">
        <v>0</v>
      </c>
      <c r="AH833">
        <v>1</v>
      </c>
      <c r="AI833">
        <v>0</v>
      </c>
      <c r="AJ833">
        <v>0</v>
      </c>
      <c r="AK833">
        <v>0</v>
      </c>
      <c r="AL833">
        <v>0</v>
      </c>
      <c r="AM833">
        <v>0</v>
      </c>
      <c r="AN833">
        <v>0</v>
      </c>
      <c r="AO833">
        <v>0</v>
      </c>
      <c r="AP833">
        <v>0</v>
      </c>
      <c r="AQ833">
        <v>0</v>
      </c>
      <c r="AR833">
        <v>0</v>
      </c>
      <c r="AS833">
        <f t="shared" si="164"/>
        <v>2</v>
      </c>
      <c r="AT833">
        <f t="shared" si="165"/>
        <v>2</v>
      </c>
      <c r="AU833" s="3" t="s">
        <v>1124</v>
      </c>
      <c r="AV833">
        <f t="shared" si="166"/>
        <v>1</v>
      </c>
      <c r="AW833">
        <f t="shared" si="167"/>
        <v>0</v>
      </c>
      <c r="AX833">
        <f t="shared" si="168"/>
        <v>0</v>
      </c>
      <c r="AY833">
        <v>9.5</v>
      </c>
      <c r="AZ833" t="s">
        <v>60</v>
      </c>
      <c r="BA833" t="s">
        <v>61</v>
      </c>
      <c r="BB833" t="s">
        <v>8</v>
      </c>
    </row>
    <row r="834" ht="51" spans="1:54">
      <c r="A834" t="s">
        <v>2951</v>
      </c>
      <c r="B834" t="s">
        <v>2118</v>
      </c>
      <c r="C834" t="s">
        <v>56</v>
      </c>
      <c r="D834">
        <v>7</v>
      </c>
      <c r="E834">
        <v>1</v>
      </c>
      <c r="F834">
        <v>82.3</v>
      </c>
      <c r="G834" t="s">
        <v>697</v>
      </c>
      <c r="H834" s="3" t="s">
        <v>2952</v>
      </c>
      <c r="I834" s="3" t="s">
        <v>2953</v>
      </c>
      <c r="J834">
        <f t="shared" ref="J834:J897" si="169">IF(SUM(R834:T834)&gt;0,1,0)</f>
        <v>0</v>
      </c>
      <c r="K834">
        <f t="shared" ref="K834:K897" si="170">IF(SUM(U834:Y834)&gt;0,1,0)</f>
        <v>0</v>
      </c>
      <c r="L834">
        <f t="shared" ref="L834:L897" si="171">IF(SUM(Z834:AC834)&gt;0,1,0)</f>
        <v>1</v>
      </c>
      <c r="M834">
        <f t="shared" ref="M834:M897" si="172">IF(SUM(AD834:AF834)&gt;0,1,0)</f>
        <v>0</v>
      </c>
      <c r="N834">
        <f t="shared" ref="N834:N897" si="173">IF(SUM(AG834:AH834)&gt;0,1,0)</f>
        <v>1</v>
      </c>
      <c r="O834">
        <f t="shared" ref="O834:O897" si="174">IF(SUM(AI834:AL834)&gt;0,1,0)</f>
        <v>0</v>
      </c>
      <c r="P834">
        <f t="shared" ref="P834:P897" si="175">IF(SUM(AM834:AQ834)&gt;0,1,0)</f>
        <v>0</v>
      </c>
      <c r="Q834">
        <f t="shared" ref="Q834:Q897" si="176">IF(AR834&gt;0,1,0)</f>
        <v>0</v>
      </c>
      <c r="R834">
        <v>0</v>
      </c>
      <c r="S834">
        <v>0</v>
      </c>
      <c r="T834">
        <v>0</v>
      </c>
      <c r="U834">
        <v>0</v>
      </c>
      <c r="V834">
        <v>0</v>
      </c>
      <c r="W834">
        <v>0</v>
      </c>
      <c r="X834">
        <v>0</v>
      </c>
      <c r="Y834">
        <v>0</v>
      </c>
      <c r="Z834">
        <v>1</v>
      </c>
      <c r="AA834">
        <v>0</v>
      </c>
      <c r="AB834">
        <v>1</v>
      </c>
      <c r="AC834">
        <v>0</v>
      </c>
      <c r="AD834">
        <v>0</v>
      </c>
      <c r="AE834">
        <v>0</v>
      </c>
      <c r="AF834">
        <v>0</v>
      </c>
      <c r="AG834">
        <v>0</v>
      </c>
      <c r="AH834">
        <v>1</v>
      </c>
      <c r="AI834">
        <v>0</v>
      </c>
      <c r="AJ834">
        <v>0</v>
      </c>
      <c r="AK834">
        <v>0</v>
      </c>
      <c r="AL834">
        <v>0</v>
      </c>
      <c r="AM834">
        <v>0</v>
      </c>
      <c r="AN834">
        <v>0</v>
      </c>
      <c r="AO834">
        <v>0</v>
      </c>
      <c r="AP834">
        <v>0</v>
      </c>
      <c r="AQ834">
        <v>0</v>
      </c>
      <c r="AR834">
        <v>0</v>
      </c>
      <c r="AS834">
        <f t="shared" ref="AS834:AS897" si="177">SUM(J834:Q834)</f>
        <v>2</v>
      </c>
      <c r="AT834">
        <f t="shared" ref="AT834:AT897" si="178">SUM(R834:AR834)</f>
        <v>3</v>
      </c>
      <c r="AU834" s="3" t="s">
        <v>2954</v>
      </c>
      <c r="AV834">
        <f t="shared" ref="AV834:AV897" si="179">IF(AT834&gt;0,1,0)</f>
        <v>1</v>
      </c>
      <c r="AW834">
        <f t="shared" ref="AW834:AW897" si="180">IF(AT834=0,1,0)</f>
        <v>0</v>
      </c>
      <c r="AX834">
        <f t="shared" ref="AX834:AX897" si="181">IF(AT834&gt;=8,1,0)</f>
        <v>0</v>
      </c>
      <c r="AY834">
        <v>2</v>
      </c>
      <c r="AZ834" t="s">
        <v>60</v>
      </c>
      <c r="BA834" t="s">
        <v>61</v>
      </c>
      <c r="BB834" t="s">
        <v>8</v>
      </c>
    </row>
    <row r="835" ht="51" spans="1:54">
      <c r="A835" t="s">
        <v>2955</v>
      </c>
      <c r="B835" t="s">
        <v>2118</v>
      </c>
      <c r="C835" t="s">
        <v>56</v>
      </c>
      <c r="D835">
        <v>0</v>
      </c>
      <c r="E835">
        <v>0</v>
      </c>
      <c r="F835">
        <v>53.8</v>
      </c>
      <c r="G835" t="s">
        <v>697</v>
      </c>
      <c r="H835" s="3" t="s">
        <v>2956</v>
      </c>
      <c r="I835" s="3" t="s">
        <v>2957</v>
      </c>
      <c r="J835">
        <f t="shared" si="169"/>
        <v>0</v>
      </c>
      <c r="K835">
        <f t="shared" si="170"/>
        <v>0</v>
      </c>
      <c r="L835">
        <f t="shared" si="171"/>
        <v>0</v>
      </c>
      <c r="M835">
        <f t="shared" si="172"/>
        <v>0</v>
      </c>
      <c r="N835">
        <f t="shared" si="173"/>
        <v>0</v>
      </c>
      <c r="O835">
        <f t="shared" si="174"/>
        <v>0</v>
      </c>
      <c r="P835">
        <f t="shared" si="175"/>
        <v>0</v>
      </c>
      <c r="Q835">
        <f t="shared" si="176"/>
        <v>0</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0</v>
      </c>
      <c r="AO835">
        <v>0</v>
      </c>
      <c r="AP835">
        <v>0</v>
      </c>
      <c r="AQ835">
        <v>0</v>
      </c>
      <c r="AR835">
        <v>0</v>
      </c>
      <c r="AS835">
        <f t="shared" si="177"/>
        <v>0</v>
      </c>
      <c r="AT835">
        <f t="shared" si="178"/>
        <v>0</v>
      </c>
      <c r="AU835" s="3" t="s">
        <v>118</v>
      </c>
      <c r="AV835">
        <f t="shared" si="179"/>
        <v>0</v>
      </c>
      <c r="AW835">
        <f t="shared" si="180"/>
        <v>1</v>
      </c>
      <c r="AX835">
        <f t="shared" si="181"/>
        <v>0</v>
      </c>
      <c r="AY835">
        <v>-1</v>
      </c>
      <c r="AZ835" t="s">
        <v>133</v>
      </c>
      <c r="BA835" t="s">
        <v>134</v>
      </c>
      <c r="BB835" t="s">
        <v>8</v>
      </c>
    </row>
    <row r="836" ht="101" spans="1:54">
      <c r="A836" t="s">
        <v>2958</v>
      </c>
      <c r="B836" t="s">
        <v>2118</v>
      </c>
      <c r="C836" t="s">
        <v>116</v>
      </c>
      <c r="D836">
        <v>0</v>
      </c>
      <c r="E836">
        <v>0</v>
      </c>
      <c r="F836">
        <v>44.4</v>
      </c>
      <c r="G836" t="s">
        <v>2959</v>
      </c>
      <c r="H836" s="3" t="s">
        <v>2960</v>
      </c>
      <c r="I836" s="3" t="s">
        <v>2961</v>
      </c>
      <c r="J836">
        <f t="shared" si="169"/>
        <v>1</v>
      </c>
      <c r="K836">
        <f t="shared" si="170"/>
        <v>0</v>
      </c>
      <c r="L836">
        <f t="shared" si="171"/>
        <v>0</v>
      </c>
      <c r="M836">
        <f t="shared" si="172"/>
        <v>1</v>
      </c>
      <c r="N836">
        <f t="shared" si="173"/>
        <v>0</v>
      </c>
      <c r="O836">
        <f t="shared" si="174"/>
        <v>0</v>
      </c>
      <c r="P836">
        <f t="shared" si="175"/>
        <v>0</v>
      </c>
      <c r="Q836">
        <f t="shared" si="176"/>
        <v>0</v>
      </c>
      <c r="R836">
        <v>1</v>
      </c>
      <c r="S836">
        <v>0</v>
      </c>
      <c r="T836">
        <v>0</v>
      </c>
      <c r="U836">
        <v>0</v>
      </c>
      <c r="V836">
        <v>0</v>
      </c>
      <c r="W836">
        <v>0</v>
      </c>
      <c r="X836">
        <v>0</v>
      </c>
      <c r="Y836">
        <v>0</v>
      </c>
      <c r="Z836">
        <v>0</v>
      </c>
      <c r="AA836">
        <v>0</v>
      </c>
      <c r="AB836">
        <v>0</v>
      </c>
      <c r="AC836">
        <v>0</v>
      </c>
      <c r="AD836">
        <v>0</v>
      </c>
      <c r="AE836">
        <v>1</v>
      </c>
      <c r="AF836">
        <v>1</v>
      </c>
      <c r="AG836">
        <v>0</v>
      </c>
      <c r="AH836">
        <v>0</v>
      </c>
      <c r="AI836">
        <v>0</v>
      </c>
      <c r="AJ836">
        <v>0</v>
      </c>
      <c r="AK836">
        <v>0</v>
      </c>
      <c r="AL836">
        <v>0</v>
      </c>
      <c r="AM836">
        <v>0</v>
      </c>
      <c r="AN836">
        <v>0</v>
      </c>
      <c r="AO836">
        <v>0</v>
      </c>
      <c r="AP836">
        <v>0</v>
      </c>
      <c r="AQ836">
        <v>0</v>
      </c>
      <c r="AR836">
        <v>0</v>
      </c>
      <c r="AS836">
        <f t="shared" si="177"/>
        <v>2</v>
      </c>
      <c r="AT836">
        <f t="shared" si="178"/>
        <v>3</v>
      </c>
      <c r="AU836" s="3" t="s">
        <v>2962</v>
      </c>
      <c r="AV836">
        <f t="shared" si="179"/>
        <v>1</v>
      </c>
      <c r="AW836">
        <f t="shared" si="180"/>
        <v>0</v>
      </c>
      <c r="AX836">
        <f t="shared" si="181"/>
        <v>0</v>
      </c>
      <c r="AY836">
        <v>1</v>
      </c>
      <c r="AZ836" t="s">
        <v>60</v>
      </c>
      <c r="BA836" t="s">
        <v>61</v>
      </c>
      <c r="BB836" t="s">
        <v>8</v>
      </c>
    </row>
    <row r="837" ht="236" spans="1:54">
      <c r="A837" t="s">
        <v>2963</v>
      </c>
      <c r="B837" t="s">
        <v>2118</v>
      </c>
      <c r="C837" t="s">
        <v>116</v>
      </c>
      <c r="D837">
        <v>4</v>
      </c>
      <c r="E837">
        <v>4</v>
      </c>
      <c r="F837">
        <v>114.2</v>
      </c>
      <c r="G837" t="s">
        <v>443</v>
      </c>
      <c r="H837" s="3" t="s">
        <v>2964</v>
      </c>
      <c r="I837" s="3" t="s">
        <v>2965</v>
      </c>
      <c r="J837">
        <f t="shared" si="169"/>
        <v>0</v>
      </c>
      <c r="K837">
        <f t="shared" si="170"/>
        <v>1</v>
      </c>
      <c r="L837">
        <f t="shared" si="171"/>
        <v>0</v>
      </c>
      <c r="M837">
        <f t="shared" si="172"/>
        <v>0</v>
      </c>
      <c r="N837">
        <f t="shared" si="173"/>
        <v>1</v>
      </c>
      <c r="O837">
        <f t="shared" si="174"/>
        <v>0</v>
      </c>
      <c r="P837">
        <f t="shared" si="175"/>
        <v>1</v>
      </c>
      <c r="Q837">
        <f t="shared" si="176"/>
        <v>0</v>
      </c>
      <c r="R837">
        <v>0</v>
      </c>
      <c r="S837">
        <v>0</v>
      </c>
      <c r="T837">
        <v>0</v>
      </c>
      <c r="U837">
        <v>1</v>
      </c>
      <c r="V837">
        <v>1</v>
      </c>
      <c r="W837">
        <v>1</v>
      </c>
      <c r="X837">
        <v>0</v>
      </c>
      <c r="Y837">
        <v>0</v>
      </c>
      <c r="Z837">
        <v>0</v>
      </c>
      <c r="AA837">
        <v>0</v>
      </c>
      <c r="AB837">
        <v>0</v>
      </c>
      <c r="AC837">
        <v>0</v>
      </c>
      <c r="AD837">
        <v>0</v>
      </c>
      <c r="AE837">
        <v>0</v>
      </c>
      <c r="AF837">
        <v>0</v>
      </c>
      <c r="AG837">
        <v>0</v>
      </c>
      <c r="AH837">
        <v>1</v>
      </c>
      <c r="AI837">
        <v>0</v>
      </c>
      <c r="AJ837">
        <v>0</v>
      </c>
      <c r="AK837">
        <v>0</v>
      </c>
      <c r="AL837">
        <v>0</v>
      </c>
      <c r="AM837">
        <v>0</v>
      </c>
      <c r="AN837">
        <v>0</v>
      </c>
      <c r="AO837">
        <v>0</v>
      </c>
      <c r="AP837">
        <v>1</v>
      </c>
      <c r="AQ837">
        <v>0</v>
      </c>
      <c r="AR837">
        <v>0</v>
      </c>
      <c r="AS837">
        <f t="shared" si="177"/>
        <v>3</v>
      </c>
      <c r="AT837">
        <f t="shared" si="178"/>
        <v>5</v>
      </c>
      <c r="AU837" s="3" t="s">
        <v>1638</v>
      </c>
      <c r="AV837">
        <f t="shared" si="179"/>
        <v>1</v>
      </c>
      <c r="AW837">
        <f t="shared" si="180"/>
        <v>0</v>
      </c>
      <c r="AX837">
        <f t="shared" si="181"/>
        <v>0</v>
      </c>
      <c r="AY837">
        <v>0</v>
      </c>
      <c r="AZ837" t="s">
        <v>147</v>
      </c>
      <c r="BA837" t="s">
        <v>148</v>
      </c>
      <c r="BB837" t="s">
        <v>8</v>
      </c>
    </row>
    <row r="838" ht="34" spans="1:54">
      <c r="A838" t="s">
        <v>2966</v>
      </c>
      <c r="B838" t="s">
        <v>2118</v>
      </c>
      <c r="C838" t="s">
        <v>56</v>
      </c>
      <c r="D838">
        <v>5</v>
      </c>
      <c r="E838">
        <v>1</v>
      </c>
      <c r="F838">
        <v>38.6</v>
      </c>
      <c r="G838" t="s">
        <v>2967</v>
      </c>
      <c r="H838" s="3" t="s">
        <v>2968</v>
      </c>
      <c r="I838" s="3" t="s">
        <v>2969</v>
      </c>
      <c r="J838">
        <f t="shared" si="169"/>
        <v>0</v>
      </c>
      <c r="K838">
        <f t="shared" si="170"/>
        <v>0</v>
      </c>
      <c r="L838">
        <f t="shared" si="171"/>
        <v>0</v>
      </c>
      <c r="M838">
        <f t="shared" si="172"/>
        <v>0</v>
      </c>
      <c r="N838">
        <f t="shared" si="173"/>
        <v>0</v>
      </c>
      <c r="O838">
        <f t="shared" si="174"/>
        <v>0</v>
      </c>
      <c r="P838">
        <f t="shared" si="175"/>
        <v>0</v>
      </c>
      <c r="Q838">
        <f t="shared" si="176"/>
        <v>0</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f t="shared" si="177"/>
        <v>0</v>
      </c>
      <c r="AT838">
        <f t="shared" si="178"/>
        <v>0</v>
      </c>
      <c r="AU838" s="3" t="s">
        <v>118</v>
      </c>
      <c r="AV838">
        <f t="shared" si="179"/>
        <v>0</v>
      </c>
      <c r="AW838">
        <f t="shared" si="180"/>
        <v>1</v>
      </c>
      <c r="AX838">
        <f t="shared" si="181"/>
        <v>0</v>
      </c>
      <c r="AY838">
        <v>0</v>
      </c>
      <c r="AZ838" t="s">
        <v>147</v>
      </c>
      <c r="BA838" t="s">
        <v>148</v>
      </c>
      <c r="BB838" t="s">
        <v>8</v>
      </c>
    </row>
    <row r="839" ht="404" spans="1:54">
      <c r="A839" t="s">
        <v>2970</v>
      </c>
      <c r="B839" t="s">
        <v>2118</v>
      </c>
      <c r="C839" t="s">
        <v>56</v>
      </c>
      <c r="D839">
        <v>0</v>
      </c>
      <c r="E839">
        <v>0</v>
      </c>
      <c r="F839">
        <v>42</v>
      </c>
      <c r="G839" t="s">
        <v>704</v>
      </c>
      <c r="H839" s="3" t="s">
        <v>2971</v>
      </c>
      <c r="I839" s="3" t="s">
        <v>2972</v>
      </c>
      <c r="J839">
        <f t="shared" si="169"/>
        <v>0</v>
      </c>
      <c r="K839">
        <f t="shared" si="170"/>
        <v>1</v>
      </c>
      <c r="L839">
        <f t="shared" si="171"/>
        <v>1</v>
      </c>
      <c r="M839">
        <f t="shared" si="172"/>
        <v>0</v>
      </c>
      <c r="N839">
        <f t="shared" si="173"/>
        <v>0</v>
      </c>
      <c r="O839">
        <f t="shared" si="174"/>
        <v>0</v>
      </c>
      <c r="P839">
        <f t="shared" si="175"/>
        <v>0</v>
      </c>
      <c r="Q839">
        <f t="shared" si="176"/>
        <v>0</v>
      </c>
      <c r="R839">
        <v>0</v>
      </c>
      <c r="S839">
        <v>0</v>
      </c>
      <c r="T839">
        <v>0</v>
      </c>
      <c r="U839">
        <v>0</v>
      </c>
      <c r="V839">
        <v>1</v>
      </c>
      <c r="W839">
        <v>0</v>
      </c>
      <c r="X839">
        <v>0</v>
      </c>
      <c r="Y839">
        <v>0</v>
      </c>
      <c r="Z839">
        <v>0</v>
      </c>
      <c r="AA839">
        <v>0</v>
      </c>
      <c r="AB839">
        <v>0</v>
      </c>
      <c r="AC839">
        <v>1</v>
      </c>
      <c r="AD839">
        <v>0</v>
      </c>
      <c r="AE839">
        <v>0</v>
      </c>
      <c r="AF839">
        <v>0</v>
      </c>
      <c r="AG839">
        <v>0</v>
      </c>
      <c r="AH839">
        <v>0</v>
      </c>
      <c r="AI839">
        <v>0</v>
      </c>
      <c r="AJ839">
        <v>0</v>
      </c>
      <c r="AK839">
        <v>0</v>
      </c>
      <c r="AL839">
        <v>0</v>
      </c>
      <c r="AM839">
        <v>0</v>
      </c>
      <c r="AN839">
        <v>0</v>
      </c>
      <c r="AO839">
        <v>0</v>
      </c>
      <c r="AP839">
        <v>0</v>
      </c>
      <c r="AQ839">
        <v>0</v>
      </c>
      <c r="AR839">
        <v>0</v>
      </c>
      <c r="AS839">
        <f t="shared" si="177"/>
        <v>2</v>
      </c>
      <c r="AT839">
        <f t="shared" si="178"/>
        <v>2</v>
      </c>
      <c r="AU839" s="3" t="s">
        <v>2973</v>
      </c>
      <c r="AV839">
        <f t="shared" si="179"/>
        <v>1</v>
      </c>
      <c r="AW839">
        <f t="shared" si="180"/>
        <v>0</v>
      </c>
      <c r="AX839">
        <f t="shared" si="181"/>
        <v>0</v>
      </c>
      <c r="AY839">
        <v>1.5</v>
      </c>
      <c r="AZ839" t="s">
        <v>60</v>
      </c>
      <c r="BA839" t="s">
        <v>61</v>
      </c>
      <c r="BB839" t="s">
        <v>8</v>
      </c>
    </row>
    <row r="840" ht="409.5" spans="1:54">
      <c r="A840" t="s">
        <v>2974</v>
      </c>
      <c r="B840" t="s">
        <v>2118</v>
      </c>
      <c r="C840" t="s">
        <v>56</v>
      </c>
      <c r="D840">
        <v>39</v>
      </c>
      <c r="E840">
        <v>1</v>
      </c>
      <c r="F840">
        <v>66.8</v>
      </c>
      <c r="G840" t="s">
        <v>2975</v>
      </c>
      <c r="H840" s="3" t="s">
        <v>2976</v>
      </c>
      <c r="I840" s="3" t="s">
        <v>2977</v>
      </c>
      <c r="J840">
        <f t="shared" si="169"/>
        <v>0</v>
      </c>
      <c r="K840">
        <f t="shared" si="170"/>
        <v>0</v>
      </c>
      <c r="L840">
        <f t="shared" si="171"/>
        <v>0</v>
      </c>
      <c r="M840">
        <f t="shared" si="172"/>
        <v>0</v>
      </c>
      <c r="N840">
        <f t="shared" si="173"/>
        <v>1</v>
      </c>
      <c r="O840">
        <f t="shared" si="174"/>
        <v>0</v>
      </c>
      <c r="P840">
        <f t="shared" si="175"/>
        <v>0</v>
      </c>
      <c r="Q840">
        <f t="shared" si="176"/>
        <v>1</v>
      </c>
      <c r="R840">
        <v>0</v>
      </c>
      <c r="S840">
        <v>0</v>
      </c>
      <c r="T840">
        <v>0</v>
      </c>
      <c r="U840">
        <v>0</v>
      </c>
      <c r="V840">
        <v>0</v>
      </c>
      <c r="W840">
        <v>0</v>
      </c>
      <c r="X840">
        <v>0</v>
      </c>
      <c r="Y840">
        <v>0</v>
      </c>
      <c r="Z840">
        <v>0</v>
      </c>
      <c r="AA840">
        <v>0</v>
      </c>
      <c r="AB840">
        <v>0</v>
      </c>
      <c r="AC840">
        <v>0</v>
      </c>
      <c r="AD840">
        <v>0</v>
      </c>
      <c r="AE840">
        <v>0</v>
      </c>
      <c r="AF840">
        <v>0</v>
      </c>
      <c r="AG840">
        <v>0</v>
      </c>
      <c r="AH840">
        <v>1</v>
      </c>
      <c r="AI840">
        <v>0</v>
      </c>
      <c r="AJ840">
        <v>0</v>
      </c>
      <c r="AK840">
        <v>0</v>
      </c>
      <c r="AL840">
        <v>0</v>
      </c>
      <c r="AM840">
        <v>0</v>
      </c>
      <c r="AN840">
        <v>0</v>
      </c>
      <c r="AO840">
        <v>0</v>
      </c>
      <c r="AP840">
        <v>0</v>
      </c>
      <c r="AQ840">
        <v>0</v>
      </c>
      <c r="AR840">
        <v>1</v>
      </c>
      <c r="AS840">
        <f t="shared" si="177"/>
        <v>2</v>
      </c>
      <c r="AT840">
        <f t="shared" si="178"/>
        <v>2</v>
      </c>
      <c r="AU840" s="3" t="s">
        <v>612</v>
      </c>
      <c r="AV840">
        <f t="shared" si="179"/>
        <v>1</v>
      </c>
      <c r="AW840">
        <f t="shared" si="180"/>
        <v>0</v>
      </c>
      <c r="AX840">
        <f t="shared" si="181"/>
        <v>0</v>
      </c>
      <c r="AY840">
        <v>4</v>
      </c>
      <c r="AZ840" t="s">
        <v>60</v>
      </c>
      <c r="BA840" t="s">
        <v>61</v>
      </c>
      <c r="BB840" t="s">
        <v>8</v>
      </c>
    </row>
    <row r="841" ht="168" spans="1:54">
      <c r="A841" t="s">
        <v>2978</v>
      </c>
      <c r="B841" t="s">
        <v>2118</v>
      </c>
      <c r="C841" t="s">
        <v>56</v>
      </c>
      <c r="D841">
        <v>0</v>
      </c>
      <c r="E841">
        <v>0</v>
      </c>
      <c r="F841">
        <v>95.4</v>
      </c>
      <c r="G841" t="s">
        <v>2975</v>
      </c>
      <c r="H841" s="3" t="s">
        <v>2979</v>
      </c>
      <c r="I841" s="3" t="s">
        <v>2980</v>
      </c>
      <c r="J841">
        <f t="shared" si="169"/>
        <v>1</v>
      </c>
      <c r="K841">
        <f t="shared" si="170"/>
        <v>0</v>
      </c>
      <c r="L841">
        <f t="shared" si="171"/>
        <v>0</v>
      </c>
      <c r="M841">
        <f t="shared" si="172"/>
        <v>0</v>
      </c>
      <c r="N841">
        <f t="shared" si="173"/>
        <v>1</v>
      </c>
      <c r="O841">
        <f t="shared" si="174"/>
        <v>0</v>
      </c>
      <c r="P841">
        <f t="shared" si="175"/>
        <v>0</v>
      </c>
      <c r="Q841">
        <f t="shared" si="176"/>
        <v>0</v>
      </c>
      <c r="R841">
        <v>1</v>
      </c>
      <c r="S841">
        <v>0</v>
      </c>
      <c r="T841">
        <v>0</v>
      </c>
      <c r="U841">
        <v>0</v>
      </c>
      <c r="V841">
        <v>0</v>
      </c>
      <c r="W841">
        <v>0</v>
      </c>
      <c r="X841">
        <v>0</v>
      </c>
      <c r="Y841">
        <v>0</v>
      </c>
      <c r="Z841">
        <v>0</v>
      </c>
      <c r="AA841">
        <v>0</v>
      </c>
      <c r="AB841">
        <v>0</v>
      </c>
      <c r="AC841">
        <v>0</v>
      </c>
      <c r="AD841">
        <v>0</v>
      </c>
      <c r="AE841">
        <v>0</v>
      </c>
      <c r="AF841">
        <v>0</v>
      </c>
      <c r="AG841">
        <v>1</v>
      </c>
      <c r="AH841">
        <v>0</v>
      </c>
      <c r="AI841">
        <v>0</v>
      </c>
      <c r="AJ841">
        <v>0</v>
      </c>
      <c r="AK841">
        <v>0</v>
      </c>
      <c r="AL841">
        <v>0</v>
      </c>
      <c r="AM841">
        <v>0</v>
      </c>
      <c r="AN841">
        <v>0</v>
      </c>
      <c r="AO841">
        <v>0</v>
      </c>
      <c r="AP841">
        <v>0</v>
      </c>
      <c r="AQ841">
        <v>0</v>
      </c>
      <c r="AR841">
        <v>0</v>
      </c>
      <c r="AS841">
        <f t="shared" si="177"/>
        <v>2</v>
      </c>
      <c r="AT841">
        <f t="shared" si="178"/>
        <v>2</v>
      </c>
      <c r="AU841" s="3" t="s">
        <v>2981</v>
      </c>
      <c r="AV841">
        <f t="shared" si="179"/>
        <v>1</v>
      </c>
      <c r="AW841">
        <f t="shared" si="180"/>
        <v>0</v>
      </c>
      <c r="AX841">
        <f t="shared" si="181"/>
        <v>0</v>
      </c>
      <c r="AY841">
        <v>4.5</v>
      </c>
      <c r="AZ841" t="s">
        <v>60</v>
      </c>
      <c r="BA841" t="s">
        <v>61</v>
      </c>
      <c r="BB841" t="s">
        <v>8</v>
      </c>
    </row>
    <row r="842" ht="34" spans="1:54">
      <c r="A842" t="s">
        <v>2982</v>
      </c>
      <c r="B842" t="s">
        <v>2118</v>
      </c>
      <c r="C842" t="s">
        <v>56</v>
      </c>
      <c r="D842">
        <v>0</v>
      </c>
      <c r="E842">
        <v>0</v>
      </c>
      <c r="F842">
        <v>72.7</v>
      </c>
      <c r="G842" t="s">
        <v>2975</v>
      </c>
      <c r="H842" s="3" t="s">
        <v>2983</v>
      </c>
      <c r="I842" s="3" t="s">
        <v>2984</v>
      </c>
      <c r="J842">
        <f t="shared" si="169"/>
        <v>0</v>
      </c>
      <c r="K842">
        <f t="shared" si="170"/>
        <v>0</v>
      </c>
      <c r="L842">
        <f t="shared" si="171"/>
        <v>0</v>
      </c>
      <c r="M842">
        <f t="shared" si="172"/>
        <v>0</v>
      </c>
      <c r="N842">
        <f t="shared" si="173"/>
        <v>0</v>
      </c>
      <c r="O842">
        <f t="shared" si="174"/>
        <v>0</v>
      </c>
      <c r="P842">
        <f t="shared" si="175"/>
        <v>0</v>
      </c>
      <c r="Q842">
        <f t="shared" si="176"/>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v>0</v>
      </c>
      <c r="AO842">
        <v>0</v>
      </c>
      <c r="AP842">
        <v>0</v>
      </c>
      <c r="AQ842">
        <v>0</v>
      </c>
      <c r="AR842">
        <v>0</v>
      </c>
      <c r="AS842">
        <f t="shared" si="177"/>
        <v>0</v>
      </c>
      <c r="AT842">
        <f t="shared" si="178"/>
        <v>0</v>
      </c>
      <c r="AU842" s="3" t="s">
        <v>118</v>
      </c>
      <c r="AV842">
        <f t="shared" si="179"/>
        <v>0</v>
      </c>
      <c r="AW842">
        <f t="shared" si="180"/>
        <v>1</v>
      </c>
      <c r="AX842">
        <f t="shared" si="181"/>
        <v>0</v>
      </c>
      <c r="AY842">
        <v>3</v>
      </c>
      <c r="AZ842" t="s">
        <v>60</v>
      </c>
      <c r="BA842" t="s">
        <v>61</v>
      </c>
      <c r="BB842" t="s">
        <v>8</v>
      </c>
    </row>
    <row r="843" ht="51" spans="1:54">
      <c r="A843" t="s">
        <v>2985</v>
      </c>
      <c r="B843" t="s">
        <v>2118</v>
      </c>
      <c r="C843" t="s">
        <v>116</v>
      </c>
      <c r="D843">
        <v>2</v>
      </c>
      <c r="E843">
        <v>0</v>
      </c>
      <c r="F843">
        <v>30.2</v>
      </c>
      <c r="G843" t="s">
        <v>2975</v>
      </c>
      <c r="H843" s="3" t="s">
        <v>2986</v>
      </c>
      <c r="I843" s="3" t="s">
        <v>2987</v>
      </c>
      <c r="J843">
        <f t="shared" si="169"/>
        <v>1</v>
      </c>
      <c r="K843">
        <f t="shared" si="170"/>
        <v>0</v>
      </c>
      <c r="L843">
        <f t="shared" si="171"/>
        <v>1</v>
      </c>
      <c r="M843">
        <f t="shared" si="172"/>
        <v>0</v>
      </c>
      <c r="N843">
        <f t="shared" si="173"/>
        <v>0</v>
      </c>
      <c r="O843">
        <f t="shared" si="174"/>
        <v>1</v>
      </c>
      <c r="P843">
        <f t="shared" si="175"/>
        <v>0</v>
      </c>
      <c r="Q843">
        <f t="shared" si="176"/>
        <v>0</v>
      </c>
      <c r="R843">
        <v>1</v>
      </c>
      <c r="S843">
        <v>0</v>
      </c>
      <c r="T843">
        <v>0</v>
      </c>
      <c r="U843">
        <v>0</v>
      </c>
      <c r="V843">
        <v>0</v>
      </c>
      <c r="W843">
        <v>0</v>
      </c>
      <c r="X843">
        <v>0</v>
      </c>
      <c r="Y843">
        <v>0</v>
      </c>
      <c r="Z843">
        <v>1</v>
      </c>
      <c r="AA843">
        <v>0</v>
      </c>
      <c r="AB843">
        <v>0</v>
      </c>
      <c r="AC843">
        <v>0</v>
      </c>
      <c r="AD843">
        <v>0</v>
      </c>
      <c r="AE843">
        <v>0</v>
      </c>
      <c r="AF843">
        <v>0</v>
      </c>
      <c r="AG843">
        <v>0</v>
      </c>
      <c r="AH843">
        <v>0</v>
      </c>
      <c r="AI843">
        <v>1</v>
      </c>
      <c r="AJ843">
        <v>0</v>
      </c>
      <c r="AK843">
        <v>0</v>
      </c>
      <c r="AL843">
        <v>0</v>
      </c>
      <c r="AM843">
        <v>0</v>
      </c>
      <c r="AN843">
        <v>0</v>
      </c>
      <c r="AO843">
        <v>0</v>
      </c>
      <c r="AP843">
        <v>0</v>
      </c>
      <c r="AQ843">
        <v>0</v>
      </c>
      <c r="AR843">
        <v>0</v>
      </c>
      <c r="AS843">
        <f t="shared" si="177"/>
        <v>3</v>
      </c>
      <c r="AT843">
        <f t="shared" si="178"/>
        <v>3</v>
      </c>
      <c r="AU843" s="3" t="s">
        <v>2988</v>
      </c>
      <c r="AV843">
        <f t="shared" si="179"/>
        <v>1</v>
      </c>
      <c r="AW843">
        <f t="shared" si="180"/>
        <v>0</v>
      </c>
      <c r="AX843">
        <f t="shared" si="181"/>
        <v>0</v>
      </c>
      <c r="AY843">
        <v>-3</v>
      </c>
      <c r="AZ843" t="s">
        <v>133</v>
      </c>
      <c r="BA843" t="s">
        <v>134</v>
      </c>
      <c r="BB843" t="s">
        <v>8</v>
      </c>
    </row>
    <row r="844" ht="168" spans="1:54">
      <c r="A844" t="s">
        <v>2989</v>
      </c>
      <c r="B844" t="s">
        <v>2118</v>
      </c>
      <c r="C844" t="s">
        <v>56</v>
      </c>
      <c r="D844">
        <v>0</v>
      </c>
      <c r="E844">
        <v>0</v>
      </c>
      <c r="F844">
        <v>45.6</v>
      </c>
      <c r="G844" t="s">
        <v>2990</v>
      </c>
      <c r="H844" s="3" t="s">
        <v>2991</v>
      </c>
      <c r="I844" s="3" t="s">
        <v>2992</v>
      </c>
      <c r="J844">
        <f t="shared" si="169"/>
        <v>1</v>
      </c>
      <c r="K844">
        <f t="shared" si="170"/>
        <v>1</v>
      </c>
      <c r="L844">
        <f t="shared" si="171"/>
        <v>0</v>
      </c>
      <c r="M844">
        <f t="shared" si="172"/>
        <v>0</v>
      </c>
      <c r="N844">
        <f t="shared" si="173"/>
        <v>0</v>
      </c>
      <c r="O844">
        <f t="shared" si="174"/>
        <v>1</v>
      </c>
      <c r="P844">
        <f t="shared" si="175"/>
        <v>0</v>
      </c>
      <c r="Q844">
        <f t="shared" si="176"/>
        <v>0</v>
      </c>
      <c r="R844">
        <v>1</v>
      </c>
      <c r="S844">
        <v>0</v>
      </c>
      <c r="T844">
        <v>0</v>
      </c>
      <c r="U844">
        <v>0</v>
      </c>
      <c r="V844">
        <v>1</v>
      </c>
      <c r="W844">
        <v>1</v>
      </c>
      <c r="X844">
        <v>0</v>
      </c>
      <c r="Y844">
        <v>0</v>
      </c>
      <c r="Z844">
        <v>0</v>
      </c>
      <c r="AA844">
        <v>0</v>
      </c>
      <c r="AB844">
        <v>0</v>
      </c>
      <c r="AC844">
        <v>0</v>
      </c>
      <c r="AD844">
        <v>0</v>
      </c>
      <c r="AE844">
        <v>0</v>
      </c>
      <c r="AF844">
        <v>0</v>
      </c>
      <c r="AG844">
        <v>0</v>
      </c>
      <c r="AH844">
        <v>0</v>
      </c>
      <c r="AI844">
        <v>0</v>
      </c>
      <c r="AJ844">
        <v>0</v>
      </c>
      <c r="AK844">
        <v>0</v>
      </c>
      <c r="AL844">
        <v>1</v>
      </c>
      <c r="AM844">
        <v>0</v>
      </c>
      <c r="AN844">
        <v>0</v>
      </c>
      <c r="AO844">
        <v>0</v>
      </c>
      <c r="AP844">
        <v>0</v>
      </c>
      <c r="AQ844">
        <v>0</v>
      </c>
      <c r="AR844">
        <v>0</v>
      </c>
      <c r="AS844">
        <f t="shared" si="177"/>
        <v>3</v>
      </c>
      <c r="AT844">
        <f t="shared" si="178"/>
        <v>4</v>
      </c>
      <c r="AU844" s="3" t="s">
        <v>2993</v>
      </c>
      <c r="AV844">
        <f t="shared" si="179"/>
        <v>1</v>
      </c>
      <c r="AW844">
        <f t="shared" si="180"/>
        <v>0</v>
      </c>
      <c r="AX844">
        <f t="shared" si="181"/>
        <v>0</v>
      </c>
      <c r="AY844">
        <v>2.5</v>
      </c>
      <c r="AZ844" t="s">
        <v>60</v>
      </c>
      <c r="BA844" t="s">
        <v>61</v>
      </c>
      <c r="BB844" t="s">
        <v>8</v>
      </c>
    </row>
    <row r="845" ht="84" spans="1:54">
      <c r="A845" t="s">
        <v>2994</v>
      </c>
      <c r="B845" t="s">
        <v>2118</v>
      </c>
      <c r="C845" t="s">
        <v>56</v>
      </c>
      <c r="D845">
        <v>0</v>
      </c>
      <c r="E845">
        <v>0</v>
      </c>
      <c r="F845">
        <v>19.2</v>
      </c>
      <c r="G845" t="s">
        <v>1998</v>
      </c>
      <c r="H845" s="3" t="s">
        <v>2995</v>
      </c>
      <c r="I845" s="3" t="s">
        <v>2996</v>
      </c>
      <c r="J845">
        <f t="shared" si="169"/>
        <v>0</v>
      </c>
      <c r="K845">
        <f t="shared" si="170"/>
        <v>0</v>
      </c>
      <c r="L845">
        <f t="shared" si="171"/>
        <v>0</v>
      </c>
      <c r="M845">
        <f t="shared" si="172"/>
        <v>0</v>
      </c>
      <c r="N845">
        <f t="shared" si="173"/>
        <v>1</v>
      </c>
      <c r="O845">
        <f t="shared" si="174"/>
        <v>1</v>
      </c>
      <c r="P845">
        <f t="shared" si="175"/>
        <v>0</v>
      </c>
      <c r="Q845">
        <f t="shared" si="176"/>
        <v>0</v>
      </c>
      <c r="R845">
        <v>0</v>
      </c>
      <c r="S845">
        <v>0</v>
      </c>
      <c r="T845">
        <v>0</v>
      </c>
      <c r="U845">
        <v>0</v>
      </c>
      <c r="V845">
        <v>0</v>
      </c>
      <c r="W845">
        <v>0</v>
      </c>
      <c r="X845">
        <v>0</v>
      </c>
      <c r="Y845">
        <v>0</v>
      </c>
      <c r="Z845">
        <v>0</v>
      </c>
      <c r="AA845">
        <v>0</v>
      </c>
      <c r="AB845">
        <v>0</v>
      </c>
      <c r="AC845">
        <v>0</v>
      </c>
      <c r="AD845">
        <v>0</v>
      </c>
      <c r="AE845">
        <v>0</v>
      </c>
      <c r="AF845">
        <v>0</v>
      </c>
      <c r="AG845">
        <v>0</v>
      </c>
      <c r="AH845">
        <v>1</v>
      </c>
      <c r="AI845">
        <v>1</v>
      </c>
      <c r="AJ845">
        <v>0</v>
      </c>
      <c r="AK845">
        <v>0</v>
      </c>
      <c r="AL845">
        <v>0</v>
      </c>
      <c r="AM845">
        <v>0</v>
      </c>
      <c r="AN845">
        <v>0</v>
      </c>
      <c r="AO845">
        <v>0</v>
      </c>
      <c r="AP845">
        <v>0</v>
      </c>
      <c r="AQ845">
        <v>0</v>
      </c>
      <c r="AR845">
        <v>0</v>
      </c>
      <c r="AS845">
        <f t="shared" si="177"/>
        <v>2</v>
      </c>
      <c r="AT845">
        <f t="shared" si="178"/>
        <v>2</v>
      </c>
      <c r="AU845" s="3" t="s">
        <v>103</v>
      </c>
      <c r="AV845">
        <f t="shared" si="179"/>
        <v>1</v>
      </c>
      <c r="AW845">
        <f t="shared" si="180"/>
        <v>0</v>
      </c>
      <c r="AX845">
        <f t="shared" si="181"/>
        <v>0</v>
      </c>
      <c r="AY845">
        <v>2</v>
      </c>
      <c r="AZ845" t="s">
        <v>60</v>
      </c>
      <c r="BA845" t="s">
        <v>61</v>
      </c>
      <c r="BB845" t="s">
        <v>8</v>
      </c>
    </row>
    <row r="846" ht="101" spans="1:54">
      <c r="A846" t="s">
        <v>2997</v>
      </c>
      <c r="B846" t="s">
        <v>2118</v>
      </c>
      <c r="C846" t="s">
        <v>56</v>
      </c>
      <c r="D846">
        <v>0</v>
      </c>
      <c r="E846">
        <v>0</v>
      </c>
      <c r="F846">
        <v>109</v>
      </c>
      <c r="G846" t="s">
        <v>2005</v>
      </c>
      <c r="H846" s="3" t="s">
        <v>2998</v>
      </c>
      <c r="I846" s="3" t="s">
        <v>2999</v>
      </c>
      <c r="J846">
        <f t="shared" si="169"/>
        <v>0</v>
      </c>
      <c r="K846">
        <f t="shared" si="170"/>
        <v>1</v>
      </c>
      <c r="L846">
        <f t="shared" si="171"/>
        <v>0</v>
      </c>
      <c r="M846">
        <f t="shared" si="172"/>
        <v>0</v>
      </c>
      <c r="N846">
        <f t="shared" si="173"/>
        <v>0</v>
      </c>
      <c r="O846">
        <f t="shared" si="174"/>
        <v>0</v>
      </c>
      <c r="P846">
        <f t="shared" si="175"/>
        <v>0</v>
      </c>
      <c r="Q846">
        <f t="shared" si="176"/>
        <v>0</v>
      </c>
      <c r="R846">
        <v>0</v>
      </c>
      <c r="S846">
        <v>0</v>
      </c>
      <c r="T846">
        <v>0</v>
      </c>
      <c r="U846">
        <v>0</v>
      </c>
      <c r="V846">
        <v>1</v>
      </c>
      <c r="W846">
        <v>1</v>
      </c>
      <c r="X846">
        <v>0</v>
      </c>
      <c r="Y846">
        <v>0</v>
      </c>
      <c r="Z846">
        <v>0</v>
      </c>
      <c r="AA846">
        <v>0</v>
      </c>
      <c r="AB846">
        <v>0</v>
      </c>
      <c r="AC846">
        <v>0</v>
      </c>
      <c r="AD846">
        <v>0</v>
      </c>
      <c r="AE846">
        <v>0</v>
      </c>
      <c r="AF846">
        <v>0</v>
      </c>
      <c r="AG846">
        <v>0</v>
      </c>
      <c r="AH846">
        <v>0</v>
      </c>
      <c r="AI846">
        <v>0</v>
      </c>
      <c r="AJ846">
        <v>0</v>
      </c>
      <c r="AK846">
        <v>0</v>
      </c>
      <c r="AL846">
        <v>0</v>
      </c>
      <c r="AM846">
        <v>0</v>
      </c>
      <c r="AN846">
        <v>0</v>
      </c>
      <c r="AO846">
        <v>0</v>
      </c>
      <c r="AP846">
        <v>0</v>
      </c>
      <c r="AQ846">
        <v>0</v>
      </c>
      <c r="AR846">
        <v>0</v>
      </c>
      <c r="AS846">
        <f t="shared" si="177"/>
        <v>1</v>
      </c>
      <c r="AT846">
        <f t="shared" si="178"/>
        <v>2</v>
      </c>
      <c r="AU846" s="3" t="s">
        <v>1395</v>
      </c>
      <c r="AV846">
        <f t="shared" si="179"/>
        <v>1</v>
      </c>
      <c r="AW846">
        <f t="shared" si="180"/>
        <v>0</v>
      </c>
      <c r="AX846">
        <f t="shared" si="181"/>
        <v>0</v>
      </c>
      <c r="AY846">
        <v>4.5</v>
      </c>
      <c r="AZ846" t="s">
        <v>60</v>
      </c>
      <c r="BA846" t="s">
        <v>61</v>
      </c>
      <c r="BB846" t="s">
        <v>8</v>
      </c>
    </row>
    <row r="847" ht="168" spans="1:54">
      <c r="A847" t="s">
        <v>3000</v>
      </c>
      <c r="B847" t="s">
        <v>2118</v>
      </c>
      <c r="C847" t="s">
        <v>56</v>
      </c>
      <c r="D847">
        <v>4</v>
      </c>
      <c r="E847">
        <v>0</v>
      </c>
      <c r="F847">
        <v>53.4</v>
      </c>
      <c r="G847" t="s">
        <v>3001</v>
      </c>
      <c r="H847" s="3" t="s">
        <v>3002</v>
      </c>
      <c r="I847" s="3" t="s">
        <v>3003</v>
      </c>
      <c r="J847">
        <f t="shared" si="169"/>
        <v>1</v>
      </c>
      <c r="K847">
        <f t="shared" si="170"/>
        <v>1</v>
      </c>
      <c r="L847">
        <f t="shared" si="171"/>
        <v>0</v>
      </c>
      <c r="M847">
        <f t="shared" si="172"/>
        <v>0</v>
      </c>
      <c r="N847">
        <f t="shared" si="173"/>
        <v>0</v>
      </c>
      <c r="O847">
        <f t="shared" si="174"/>
        <v>1</v>
      </c>
      <c r="P847">
        <f t="shared" si="175"/>
        <v>0</v>
      </c>
      <c r="Q847">
        <f t="shared" si="176"/>
        <v>0</v>
      </c>
      <c r="R847">
        <v>0</v>
      </c>
      <c r="S847">
        <v>0</v>
      </c>
      <c r="T847">
        <v>1</v>
      </c>
      <c r="U847">
        <v>1</v>
      </c>
      <c r="V847">
        <v>0</v>
      </c>
      <c r="W847">
        <v>0</v>
      </c>
      <c r="X847">
        <v>0</v>
      </c>
      <c r="Y847">
        <v>0</v>
      </c>
      <c r="Z847">
        <v>0</v>
      </c>
      <c r="AA847">
        <v>0</v>
      </c>
      <c r="AB847">
        <v>0</v>
      </c>
      <c r="AC847">
        <v>0</v>
      </c>
      <c r="AD847">
        <v>0</v>
      </c>
      <c r="AE847">
        <v>0</v>
      </c>
      <c r="AF847">
        <v>0</v>
      </c>
      <c r="AG847">
        <v>0</v>
      </c>
      <c r="AH847">
        <v>0</v>
      </c>
      <c r="AI847">
        <v>1</v>
      </c>
      <c r="AJ847">
        <v>0</v>
      </c>
      <c r="AK847">
        <v>0</v>
      </c>
      <c r="AL847">
        <v>1</v>
      </c>
      <c r="AM847">
        <v>0</v>
      </c>
      <c r="AN847">
        <v>0</v>
      </c>
      <c r="AO847">
        <v>0</v>
      </c>
      <c r="AP847">
        <v>0</v>
      </c>
      <c r="AQ847">
        <v>0</v>
      </c>
      <c r="AR847">
        <v>0</v>
      </c>
      <c r="AS847">
        <f t="shared" si="177"/>
        <v>3</v>
      </c>
      <c r="AT847">
        <f t="shared" si="178"/>
        <v>4</v>
      </c>
      <c r="AU847" s="3" t="s">
        <v>3004</v>
      </c>
      <c r="AV847">
        <f t="shared" si="179"/>
        <v>1</v>
      </c>
      <c r="AW847">
        <f t="shared" si="180"/>
        <v>0</v>
      </c>
      <c r="AX847">
        <f t="shared" si="181"/>
        <v>0</v>
      </c>
      <c r="AY847">
        <v>6.5</v>
      </c>
      <c r="AZ847" t="s">
        <v>60</v>
      </c>
      <c r="BA847" t="s">
        <v>61</v>
      </c>
      <c r="BB847" t="s">
        <v>8</v>
      </c>
    </row>
    <row r="848" ht="152" spans="1:54">
      <c r="A848" t="s">
        <v>3005</v>
      </c>
      <c r="B848" t="s">
        <v>2118</v>
      </c>
      <c r="C848" t="s">
        <v>56</v>
      </c>
      <c r="D848">
        <v>85</v>
      </c>
      <c r="E848">
        <v>2</v>
      </c>
      <c r="F848">
        <v>48</v>
      </c>
      <c r="G848" t="s">
        <v>3006</v>
      </c>
      <c r="H848" s="3" t="s">
        <v>3007</v>
      </c>
      <c r="I848" s="3" t="s">
        <v>3008</v>
      </c>
      <c r="J848">
        <f t="shared" si="169"/>
        <v>0</v>
      </c>
      <c r="K848">
        <f t="shared" si="170"/>
        <v>1</v>
      </c>
      <c r="L848">
        <f t="shared" si="171"/>
        <v>1</v>
      </c>
      <c r="M848">
        <f t="shared" si="172"/>
        <v>0</v>
      </c>
      <c r="N848">
        <f t="shared" si="173"/>
        <v>1</v>
      </c>
      <c r="O848">
        <f t="shared" si="174"/>
        <v>0</v>
      </c>
      <c r="P848">
        <f t="shared" si="175"/>
        <v>0</v>
      </c>
      <c r="Q848">
        <f t="shared" si="176"/>
        <v>0</v>
      </c>
      <c r="R848">
        <v>0</v>
      </c>
      <c r="S848">
        <v>0</v>
      </c>
      <c r="T848">
        <v>0</v>
      </c>
      <c r="U848">
        <v>1</v>
      </c>
      <c r="V848">
        <v>0</v>
      </c>
      <c r="W848">
        <v>1</v>
      </c>
      <c r="X848">
        <v>0</v>
      </c>
      <c r="Y848">
        <v>0</v>
      </c>
      <c r="Z848">
        <v>1</v>
      </c>
      <c r="AA848">
        <v>0</v>
      </c>
      <c r="AB848">
        <v>0</v>
      </c>
      <c r="AC848">
        <v>0</v>
      </c>
      <c r="AD848">
        <v>0</v>
      </c>
      <c r="AE848">
        <v>0</v>
      </c>
      <c r="AF848">
        <v>0</v>
      </c>
      <c r="AG848">
        <v>0</v>
      </c>
      <c r="AH848">
        <v>1</v>
      </c>
      <c r="AI848">
        <v>0</v>
      </c>
      <c r="AJ848">
        <v>0</v>
      </c>
      <c r="AK848">
        <v>0</v>
      </c>
      <c r="AL848">
        <v>0</v>
      </c>
      <c r="AM848">
        <v>0</v>
      </c>
      <c r="AN848">
        <v>0</v>
      </c>
      <c r="AO848">
        <v>0</v>
      </c>
      <c r="AP848">
        <v>0</v>
      </c>
      <c r="AQ848">
        <v>0</v>
      </c>
      <c r="AR848">
        <v>0</v>
      </c>
      <c r="AS848">
        <f t="shared" si="177"/>
        <v>3</v>
      </c>
      <c r="AT848">
        <f t="shared" si="178"/>
        <v>4</v>
      </c>
      <c r="AU848" s="3" t="s">
        <v>3009</v>
      </c>
      <c r="AV848">
        <f t="shared" si="179"/>
        <v>1</v>
      </c>
      <c r="AW848">
        <f t="shared" si="180"/>
        <v>0</v>
      </c>
      <c r="AX848">
        <f t="shared" si="181"/>
        <v>0</v>
      </c>
      <c r="AY848">
        <v>-2</v>
      </c>
      <c r="AZ848" t="s">
        <v>133</v>
      </c>
      <c r="BA848" t="s">
        <v>134</v>
      </c>
      <c r="BB848" t="s">
        <v>8</v>
      </c>
    </row>
    <row r="849" ht="68" spans="1:54">
      <c r="A849" t="s">
        <v>3010</v>
      </c>
      <c r="B849" t="s">
        <v>2118</v>
      </c>
      <c r="C849" t="s">
        <v>116</v>
      </c>
      <c r="D849">
        <v>3</v>
      </c>
      <c r="E849">
        <v>0</v>
      </c>
      <c r="F849">
        <v>1.8</v>
      </c>
      <c r="G849" t="s">
        <v>3011</v>
      </c>
      <c r="H849" s="3" t="s">
        <v>3012</v>
      </c>
      <c r="I849" s="3" t="s">
        <v>3013</v>
      </c>
      <c r="J849">
        <f t="shared" si="169"/>
        <v>0</v>
      </c>
      <c r="K849">
        <f t="shared" si="170"/>
        <v>1</v>
      </c>
      <c r="L849">
        <f t="shared" si="171"/>
        <v>0</v>
      </c>
      <c r="M849">
        <f t="shared" si="172"/>
        <v>0</v>
      </c>
      <c r="N849">
        <f t="shared" si="173"/>
        <v>1</v>
      </c>
      <c r="O849">
        <f t="shared" si="174"/>
        <v>0</v>
      </c>
      <c r="P849">
        <f t="shared" si="175"/>
        <v>0</v>
      </c>
      <c r="Q849">
        <f t="shared" si="176"/>
        <v>0</v>
      </c>
      <c r="R849">
        <v>0</v>
      </c>
      <c r="S849">
        <v>0</v>
      </c>
      <c r="T849">
        <v>0</v>
      </c>
      <c r="U849">
        <v>0</v>
      </c>
      <c r="V849">
        <v>1</v>
      </c>
      <c r="W849">
        <v>1</v>
      </c>
      <c r="X849">
        <v>0</v>
      </c>
      <c r="Y849">
        <v>0</v>
      </c>
      <c r="Z849">
        <v>0</v>
      </c>
      <c r="AA849">
        <v>0</v>
      </c>
      <c r="AB849">
        <v>0</v>
      </c>
      <c r="AC849">
        <v>0</v>
      </c>
      <c r="AD849">
        <v>0</v>
      </c>
      <c r="AE849">
        <v>0</v>
      </c>
      <c r="AF849">
        <v>0</v>
      </c>
      <c r="AG849">
        <v>0</v>
      </c>
      <c r="AH849">
        <v>1</v>
      </c>
      <c r="AI849">
        <v>0</v>
      </c>
      <c r="AJ849">
        <v>0</v>
      </c>
      <c r="AK849">
        <v>0</v>
      </c>
      <c r="AL849">
        <v>0</v>
      </c>
      <c r="AM849">
        <v>0</v>
      </c>
      <c r="AN849">
        <v>0</v>
      </c>
      <c r="AO849">
        <v>0</v>
      </c>
      <c r="AP849">
        <v>0</v>
      </c>
      <c r="AQ849">
        <v>0</v>
      </c>
      <c r="AR849">
        <v>0</v>
      </c>
      <c r="AS849">
        <f t="shared" si="177"/>
        <v>2</v>
      </c>
      <c r="AT849">
        <f t="shared" si="178"/>
        <v>3</v>
      </c>
      <c r="AU849" s="3" t="s">
        <v>1143</v>
      </c>
      <c r="AV849">
        <f t="shared" si="179"/>
        <v>1</v>
      </c>
      <c r="AW849">
        <f t="shared" si="180"/>
        <v>0</v>
      </c>
      <c r="AX849">
        <f t="shared" si="181"/>
        <v>0</v>
      </c>
      <c r="AY849">
        <v>3</v>
      </c>
      <c r="AZ849" t="s">
        <v>60</v>
      </c>
      <c r="BA849" t="s">
        <v>61</v>
      </c>
      <c r="BB849" t="s">
        <v>8</v>
      </c>
    </row>
    <row r="850" ht="135" spans="1:54">
      <c r="A850" t="s">
        <v>3014</v>
      </c>
      <c r="B850" t="s">
        <v>2118</v>
      </c>
      <c r="C850" t="s">
        <v>56</v>
      </c>
      <c r="D850">
        <v>0</v>
      </c>
      <c r="E850">
        <v>0</v>
      </c>
      <c r="F850">
        <v>107.4</v>
      </c>
      <c r="G850" t="s">
        <v>3015</v>
      </c>
      <c r="H850" s="3" t="s">
        <v>3016</v>
      </c>
      <c r="I850" s="3" t="s">
        <v>3017</v>
      </c>
      <c r="J850">
        <f t="shared" si="169"/>
        <v>1</v>
      </c>
      <c r="K850">
        <f t="shared" si="170"/>
        <v>1</v>
      </c>
      <c r="L850">
        <f t="shared" si="171"/>
        <v>0</v>
      </c>
      <c r="M850">
        <f t="shared" si="172"/>
        <v>0</v>
      </c>
      <c r="N850">
        <f t="shared" si="173"/>
        <v>1</v>
      </c>
      <c r="O850">
        <f t="shared" si="174"/>
        <v>1</v>
      </c>
      <c r="P850">
        <f t="shared" si="175"/>
        <v>0</v>
      </c>
      <c r="Q850">
        <f t="shared" si="176"/>
        <v>0</v>
      </c>
      <c r="R850">
        <v>0</v>
      </c>
      <c r="S850">
        <v>1</v>
      </c>
      <c r="T850">
        <v>0</v>
      </c>
      <c r="U850">
        <v>1</v>
      </c>
      <c r="V850">
        <v>0</v>
      </c>
      <c r="W850">
        <v>0</v>
      </c>
      <c r="X850">
        <v>1</v>
      </c>
      <c r="Y850">
        <v>0</v>
      </c>
      <c r="Z850">
        <v>0</v>
      </c>
      <c r="AA850">
        <v>0</v>
      </c>
      <c r="AB850">
        <v>0</v>
      </c>
      <c r="AC850">
        <v>0</v>
      </c>
      <c r="AD850">
        <v>0</v>
      </c>
      <c r="AE850">
        <v>0</v>
      </c>
      <c r="AF850">
        <v>0</v>
      </c>
      <c r="AG850">
        <v>0</v>
      </c>
      <c r="AH850">
        <v>1</v>
      </c>
      <c r="AI850">
        <v>1</v>
      </c>
      <c r="AJ850">
        <v>0</v>
      </c>
      <c r="AK850">
        <v>0</v>
      </c>
      <c r="AL850">
        <v>0</v>
      </c>
      <c r="AM850">
        <v>0</v>
      </c>
      <c r="AN850">
        <v>0</v>
      </c>
      <c r="AO850">
        <v>0</v>
      </c>
      <c r="AP850">
        <v>0</v>
      </c>
      <c r="AQ850">
        <v>0</v>
      </c>
      <c r="AR850">
        <v>0</v>
      </c>
      <c r="AS850">
        <f t="shared" si="177"/>
        <v>4</v>
      </c>
      <c r="AT850">
        <f t="shared" si="178"/>
        <v>5</v>
      </c>
      <c r="AU850" s="3" t="s">
        <v>3018</v>
      </c>
      <c r="AV850">
        <f t="shared" si="179"/>
        <v>1</v>
      </c>
      <c r="AW850">
        <f t="shared" si="180"/>
        <v>0</v>
      </c>
      <c r="AX850">
        <f t="shared" si="181"/>
        <v>0</v>
      </c>
      <c r="AY850">
        <v>7</v>
      </c>
      <c r="AZ850" t="s">
        <v>60</v>
      </c>
      <c r="BA850" t="s">
        <v>61</v>
      </c>
      <c r="BB850" t="s">
        <v>8</v>
      </c>
    </row>
    <row r="851" ht="51" spans="1:54">
      <c r="A851" t="s">
        <v>3019</v>
      </c>
      <c r="B851" t="s">
        <v>2118</v>
      </c>
      <c r="C851" t="s">
        <v>116</v>
      </c>
      <c r="D851">
        <v>0</v>
      </c>
      <c r="E851">
        <v>0</v>
      </c>
      <c r="F851">
        <v>184.1</v>
      </c>
      <c r="G851" t="s">
        <v>3020</v>
      </c>
      <c r="H851" s="3" t="s">
        <v>3021</v>
      </c>
      <c r="I851" s="3" t="s">
        <v>3022</v>
      </c>
      <c r="J851">
        <f t="shared" si="169"/>
        <v>0</v>
      </c>
      <c r="K851">
        <f t="shared" si="170"/>
        <v>1</v>
      </c>
      <c r="L851">
        <f t="shared" si="171"/>
        <v>0</v>
      </c>
      <c r="M851">
        <f t="shared" si="172"/>
        <v>0</v>
      </c>
      <c r="N851">
        <f t="shared" si="173"/>
        <v>0</v>
      </c>
      <c r="O851">
        <f t="shared" si="174"/>
        <v>0</v>
      </c>
      <c r="P851">
        <f t="shared" si="175"/>
        <v>0</v>
      </c>
      <c r="Q851">
        <f t="shared" si="176"/>
        <v>0</v>
      </c>
      <c r="R851">
        <v>0</v>
      </c>
      <c r="S851">
        <v>0</v>
      </c>
      <c r="T851">
        <v>0</v>
      </c>
      <c r="U851">
        <v>1</v>
      </c>
      <c r="V851">
        <v>0</v>
      </c>
      <c r="W851">
        <v>1</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c r="AR851">
        <v>0</v>
      </c>
      <c r="AS851">
        <f t="shared" si="177"/>
        <v>1</v>
      </c>
      <c r="AT851">
        <f t="shared" si="178"/>
        <v>2</v>
      </c>
      <c r="AU851" s="3" t="s">
        <v>1707</v>
      </c>
      <c r="AV851">
        <f t="shared" si="179"/>
        <v>1</v>
      </c>
      <c r="AW851">
        <f t="shared" si="180"/>
        <v>0</v>
      </c>
      <c r="AX851">
        <f t="shared" si="181"/>
        <v>0</v>
      </c>
      <c r="AY851">
        <v>2.5</v>
      </c>
      <c r="AZ851" t="s">
        <v>60</v>
      </c>
      <c r="BA851" t="s">
        <v>61</v>
      </c>
      <c r="BB851" t="s">
        <v>8</v>
      </c>
    </row>
    <row r="852" ht="34" spans="1:54">
      <c r="A852" t="s">
        <v>3023</v>
      </c>
      <c r="B852" t="s">
        <v>2118</v>
      </c>
      <c r="C852" t="s">
        <v>56</v>
      </c>
      <c r="D852">
        <v>0</v>
      </c>
      <c r="E852">
        <v>0</v>
      </c>
      <c r="F852">
        <v>83.5</v>
      </c>
      <c r="G852" t="s">
        <v>3024</v>
      </c>
      <c r="H852" s="3" t="s">
        <v>3025</v>
      </c>
      <c r="I852" s="3" t="s">
        <v>3026</v>
      </c>
      <c r="J852">
        <f t="shared" si="169"/>
        <v>0</v>
      </c>
      <c r="K852">
        <f t="shared" si="170"/>
        <v>0</v>
      </c>
      <c r="L852">
        <f t="shared" si="171"/>
        <v>0</v>
      </c>
      <c r="M852">
        <f t="shared" si="172"/>
        <v>0</v>
      </c>
      <c r="N852">
        <f t="shared" si="173"/>
        <v>1</v>
      </c>
      <c r="O852">
        <f t="shared" si="174"/>
        <v>0</v>
      </c>
      <c r="P852">
        <f t="shared" si="175"/>
        <v>1</v>
      </c>
      <c r="Q852">
        <f t="shared" si="176"/>
        <v>0</v>
      </c>
      <c r="R852">
        <v>0</v>
      </c>
      <c r="S852">
        <v>0</v>
      </c>
      <c r="T852">
        <v>0</v>
      </c>
      <c r="U852">
        <v>0</v>
      </c>
      <c r="V852">
        <v>0</v>
      </c>
      <c r="W852">
        <v>0</v>
      </c>
      <c r="X852">
        <v>0</v>
      </c>
      <c r="Y852">
        <v>0</v>
      </c>
      <c r="Z852">
        <v>0</v>
      </c>
      <c r="AA852">
        <v>0</v>
      </c>
      <c r="AB852">
        <v>0</v>
      </c>
      <c r="AC852">
        <v>0</v>
      </c>
      <c r="AD852">
        <v>0</v>
      </c>
      <c r="AE852">
        <v>0</v>
      </c>
      <c r="AF852">
        <v>0</v>
      </c>
      <c r="AG852">
        <v>0</v>
      </c>
      <c r="AH852">
        <v>1</v>
      </c>
      <c r="AI852">
        <v>0</v>
      </c>
      <c r="AJ852">
        <v>0</v>
      </c>
      <c r="AK852">
        <v>0</v>
      </c>
      <c r="AL852">
        <v>0</v>
      </c>
      <c r="AM852">
        <v>0</v>
      </c>
      <c r="AN852">
        <v>0</v>
      </c>
      <c r="AO852">
        <v>0</v>
      </c>
      <c r="AP852">
        <v>1</v>
      </c>
      <c r="AQ852">
        <v>0</v>
      </c>
      <c r="AR852">
        <v>0</v>
      </c>
      <c r="AS852">
        <f t="shared" si="177"/>
        <v>2</v>
      </c>
      <c r="AT852">
        <f t="shared" si="178"/>
        <v>2</v>
      </c>
      <c r="AU852" s="3" t="s">
        <v>3027</v>
      </c>
      <c r="AV852">
        <f t="shared" si="179"/>
        <v>1</v>
      </c>
      <c r="AW852">
        <f t="shared" si="180"/>
        <v>0</v>
      </c>
      <c r="AX852">
        <f t="shared" si="181"/>
        <v>0</v>
      </c>
      <c r="AY852">
        <v>2.5</v>
      </c>
      <c r="AZ852" t="s">
        <v>60</v>
      </c>
      <c r="BA852" t="s">
        <v>61</v>
      </c>
      <c r="BB852" t="s">
        <v>8</v>
      </c>
    </row>
    <row r="853" ht="84" spans="1:54">
      <c r="A853" t="s">
        <v>3028</v>
      </c>
      <c r="B853" t="s">
        <v>2118</v>
      </c>
      <c r="C853" t="s">
        <v>56</v>
      </c>
      <c r="D853">
        <v>0</v>
      </c>
      <c r="E853">
        <v>0</v>
      </c>
      <c r="F853">
        <v>65.7</v>
      </c>
      <c r="G853" t="s">
        <v>3029</v>
      </c>
      <c r="H853" s="3" t="s">
        <v>3030</v>
      </c>
      <c r="I853" s="3" t="s">
        <v>3031</v>
      </c>
      <c r="J853">
        <f t="shared" si="169"/>
        <v>0</v>
      </c>
      <c r="K853">
        <f t="shared" si="170"/>
        <v>1</v>
      </c>
      <c r="L853">
        <f t="shared" si="171"/>
        <v>0</v>
      </c>
      <c r="M853">
        <f t="shared" si="172"/>
        <v>0</v>
      </c>
      <c r="N853">
        <f t="shared" si="173"/>
        <v>1</v>
      </c>
      <c r="O853">
        <f t="shared" si="174"/>
        <v>1</v>
      </c>
      <c r="P853">
        <f t="shared" si="175"/>
        <v>0</v>
      </c>
      <c r="Q853">
        <f t="shared" si="176"/>
        <v>0</v>
      </c>
      <c r="R853">
        <v>0</v>
      </c>
      <c r="S853">
        <v>0</v>
      </c>
      <c r="T853">
        <v>0</v>
      </c>
      <c r="U853">
        <v>0</v>
      </c>
      <c r="V853">
        <v>0</v>
      </c>
      <c r="W853">
        <v>1</v>
      </c>
      <c r="X853">
        <v>0</v>
      </c>
      <c r="Y853">
        <v>0</v>
      </c>
      <c r="Z853">
        <v>0</v>
      </c>
      <c r="AA853">
        <v>0</v>
      </c>
      <c r="AB853">
        <v>0</v>
      </c>
      <c r="AC853">
        <v>0</v>
      </c>
      <c r="AD853">
        <v>0</v>
      </c>
      <c r="AE853">
        <v>0</v>
      </c>
      <c r="AF853">
        <v>0</v>
      </c>
      <c r="AG853">
        <v>0</v>
      </c>
      <c r="AH853">
        <v>1</v>
      </c>
      <c r="AI853">
        <v>1</v>
      </c>
      <c r="AJ853">
        <v>0</v>
      </c>
      <c r="AK853">
        <v>0</v>
      </c>
      <c r="AL853">
        <v>0</v>
      </c>
      <c r="AM853">
        <v>0</v>
      </c>
      <c r="AN853">
        <v>0</v>
      </c>
      <c r="AO853">
        <v>0</v>
      </c>
      <c r="AP853">
        <v>0</v>
      </c>
      <c r="AQ853">
        <v>0</v>
      </c>
      <c r="AR853">
        <v>0</v>
      </c>
      <c r="AS853">
        <f t="shared" si="177"/>
        <v>3</v>
      </c>
      <c r="AT853">
        <f t="shared" si="178"/>
        <v>3</v>
      </c>
      <c r="AU853" s="3" t="s">
        <v>2761</v>
      </c>
      <c r="AV853">
        <f t="shared" si="179"/>
        <v>1</v>
      </c>
      <c r="AW853">
        <f t="shared" si="180"/>
        <v>0</v>
      </c>
      <c r="AX853">
        <f t="shared" si="181"/>
        <v>0</v>
      </c>
      <c r="AY853">
        <v>1</v>
      </c>
      <c r="AZ853" t="s">
        <v>60</v>
      </c>
      <c r="BA853" t="s">
        <v>61</v>
      </c>
      <c r="BB853" t="s">
        <v>8</v>
      </c>
    </row>
    <row r="854" ht="51" spans="1:54">
      <c r="A854" t="s">
        <v>3032</v>
      </c>
      <c r="B854" t="s">
        <v>2118</v>
      </c>
      <c r="C854" t="s">
        <v>56</v>
      </c>
      <c r="D854">
        <v>2</v>
      </c>
      <c r="E854">
        <v>0</v>
      </c>
      <c r="F854">
        <v>136.4</v>
      </c>
      <c r="G854" t="s">
        <v>772</v>
      </c>
      <c r="H854" s="3" t="s">
        <v>3033</v>
      </c>
      <c r="I854" s="3" t="s">
        <v>3034</v>
      </c>
      <c r="J854">
        <f t="shared" si="169"/>
        <v>0</v>
      </c>
      <c r="K854">
        <f t="shared" si="170"/>
        <v>0</v>
      </c>
      <c r="L854">
        <f t="shared" si="171"/>
        <v>0</v>
      </c>
      <c r="M854">
        <f t="shared" si="172"/>
        <v>0</v>
      </c>
      <c r="N854">
        <f t="shared" si="173"/>
        <v>0</v>
      </c>
      <c r="O854">
        <f t="shared" si="174"/>
        <v>0</v>
      </c>
      <c r="P854">
        <f t="shared" si="175"/>
        <v>0</v>
      </c>
      <c r="Q854">
        <f t="shared" si="176"/>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0</v>
      </c>
      <c r="AQ854">
        <v>0</v>
      </c>
      <c r="AR854">
        <v>0</v>
      </c>
      <c r="AS854">
        <f t="shared" si="177"/>
        <v>0</v>
      </c>
      <c r="AT854">
        <f t="shared" si="178"/>
        <v>0</v>
      </c>
      <c r="AU854" s="3" t="s">
        <v>118</v>
      </c>
      <c r="AV854">
        <f t="shared" si="179"/>
        <v>0</v>
      </c>
      <c r="AW854">
        <f t="shared" si="180"/>
        <v>1</v>
      </c>
      <c r="AX854">
        <f t="shared" si="181"/>
        <v>0</v>
      </c>
      <c r="AY854">
        <v>6.5</v>
      </c>
      <c r="AZ854" t="s">
        <v>60</v>
      </c>
      <c r="BA854" t="s">
        <v>61</v>
      </c>
      <c r="BB854" t="s">
        <v>8</v>
      </c>
    </row>
    <row r="855" ht="68" spans="1:54">
      <c r="A855" t="s">
        <v>3035</v>
      </c>
      <c r="B855" t="s">
        <v>2118</v>
      </c>
      <c r="C855" t="s">
        <v>56</v>
      </c>
      <c r="D855">
        <v>4</v>
      </c>
      <c r="E855">
        <v>0</v>
      </c>
      <c r="F855">
        <v>41.6</v>
      </c>
      <c r="G855" t="s">
        <v>3036</v>
      </c>
      <c r="H855" s="3" t="s">
        <v>3037</v>
      </c>
      <c r="I855" s="3" t="s">
        <v>3038</v>
      </c>
      <c r="J855">
        <f t="shared" si="169"/>
        <v>1</v>
      </c>
      <c r="K855">
        <f t="shared" si="170"/>
        <v>1</v>
      </c>
      <c r="L855">
        <f t="shared" si="171"/>
        <v>1</v>
      </c>
      <c r="M855">
        <f t="shared" si="172"/>
        <v>1</v>
      </c>
      <c r="N855">
        <f t="shared" si="173"/>
        <v>1</v>
      </c>
      <c r="O855">
        <f t="shared" si="174"/>
        <v>0</v>
      </c>
      <c r="P855">
        <f t="shared" si="175"/>
        <v>0</v>
      </c>
      <c r="Q855">
        <f t="shared" si="176"/>
        <v>0</v>
      </c>
      <c r="R855">
        <v>1</v>
      </c>
      <c r="S855">
        <v>0</v>
      </c>
      <c r="T855">
        <v>0</v>
      </c>
      <c r="U855">
        <v>0</v>
      </c>
      <c r="V855">
        <v>1</v>
      </c>
      <c r="W855">
        <v>0</v>
      </c>
      <c r="X855">
        <v>0</v>
      </c>
      <c r="Y855">
        <v>0</v>
      </c>
      <c r="Z855">
        <v>0</v>
      </c>
      <c r="AA855">
        <v>0</v>
      </c>
      <c r="AB855">
        <v>1</v>
      </c>
      <c r="AC855">
        <v>1</v>
      </c>
      <c r="AD855">
        <v>0</v>
      </c>
      <c r="AE855">
        <v>0</v>
      </c>
      <c r="AF855">
        <v>1</v>
      </c>
      <c r="AG855">
        <v>0</v>
      </c>
      <c r="AH855">
        <v>1</v>
      </c>
      <c r="AI855">
        <v>0</v>
      </c>
      <c r="AJ855">
        <v>0</v>
      </c>
      <c r="AK855">
        <v>0</v>
      </c>
      <c r="AL855">
        <v>0</v>
      </c>
      <c r="AM855">
        <v>0</v>
      </c>
      <c r="AN855">
        <v>0</v>
      </c>
      <c r="AO855">
        <v>0</v>
      </c>
      <c r="AP855">
        <v>0</v>
      </c>
      <c r="AQ855">
        <v>0</v>
      </c>
      <c r="AR855">
        <v>0</v>
      </c>
      <c r="AS855">
        <f t="shared" si="177"/>
        <v>5</v>
      </c>
      <c r="AT855">
        <f t="shared" si="178"/>
        <v>6</v>
      </c>
      <c r="AU855" s="3" t="s">
        <v>3039</v>
      </c>
      <c r="AV855">
        <f t="shared" si="179"/>
        <v>1</v>
      </c>
      <c r="AW855">
        <f t="shared" si="180"/>
        <v>0</v>
      </c>
      <c r="AX855">
        <f t="shared" si="181"/>
        <v>0</v>
      </c>
      <c r="AY855">
        <v>4.5</v>
      </c>
      <c r="AZ855" t="s">
        <v>60</v>
      </c>
      <c r="BA855" t="s">
        <v>61</v>
      </c>
      <c r="BB855" t="s">
        <v>8</v>
      </c>
    </row>
    <row r="856" ht="269" spans="1:54">
      <c r="A856" t="s">
        <v>3040</v>
      </c>
      <c r="B856" t="s">
        <v>2118</v>
      </c>
      <c r="C856" t="s">
        <v>56</v>
      </c>
      <c r="D856">
        <v>0</v>
      </c>
      <c r="E856">
        <v>0</v>
      </c>
      <c r="F856">
        <v>44.3</v>
      </c>
      <c r="G856" t="s">
        <v>781</v>
      </c>
      <c r="H856" s="3" t="s">
        <v>3041</v>
      </c>
      <c r="I856" s="3" t="s">
        <v>3042</v>
      </c>
      <c r="J856">
        <f t="shared" si="169"/>
        <v>1</v>
      </c>
      <c r="K856">
        <f t="shared" si="170"/>
        <v>1</v>
      </c>
      <c r="L856">
        <f t="shared" si="171"/>
        <v>0</v>
      </c>
      <c r="M856">
        <f t="shared" si="172"/>
        <v>0</v>
      </c>
      <c r="N856">
        <f t="shared" si="173"/>
        <v>0</v>
      </c>
      <c r="O856">
        <f t="shared" si="174"/>
        <v>1</v>
      </c>
      <c r="P856">
        <f t="shared" si="175"/>
        <v>0</v>
      </c>
      <c r="Q856">
        <f t="shared" si="176"/>
        <v>0</v>
      </c>
      <c r="R856">
        <v>1</v>
      </c>
      <c r="S856">
        <v>0</v>
      </c>
      <c r="T856">
        <v>1</v>
      </c>
      <c r="U856">
        <v>1</v>
      </c>
      <c r="V856">
        <v>0</v>
      </c>
      <c r="W856">
        <v>0</v>
      </c>
      <c r="X856">
        <v>0</v>
      </c>
      <c r="Y856">
        <v>0</v>
      </c>
      <c r="Z856">
        <v>0</v>
      </c>
      <c r="AA856">
        <v>0</v>
      </c>
      <c r="AB856">
        <v>0</v>
      </c>
      <c r="AC856">
        <v>0</v>
      </c>
      <c r="AD856">
        <v>0</v>
      </c>
      <c r="AE856">
        <v>0</v>
      </c>
      <c r="AF856">
        <v>0</v>
      </c>
      <c r="AG856">
        <v>0</v>
      </c>
      <c r="AH856">
        <v>0</v>
      </c>
      <c r="AI856">
        <v>1</v>
      </c>
      <c r="AJ856">
        <v>0</v>
      </c>
      <c r="AK856">
        <v>0</v>
      </c>
      <c r="AL856">
        <v>0</v>
      </c>
      <c r="AM856">
        <v>0</v>
      </c>
      <c r="AN856">
        <v>0</v>
      </c>
      <c r="AO856">
        <v>0</v>
      </c>
      <c r="AP856">
        <v>0</v>
      </c>
      <c r="AQ856">
        <v>0</v>
      </c>
      <c r="AR856">
        <v>0</v>
      </c>
      <c r="AS856">
        <f t="shared" si="177"/>
        <v>3</v>
      </c>
      <c r="AT856">
        <f t="shared" si="178"/>
        <v>4</v>
      </c>
      <c r="AU856" s="3" t="s">
        <v>3043</v>
      </c>
      <c r="AV856">
        <f t="shared" si="179"/>
        <v>1</v>
      </c>
      <c r="AW856">
        <f t="shared" si="180"/>
        <v>0</v>
      </c>
      <c r="AX856">
        <f t="shared" si="181"/>
        <v>0</v>
      </c>
      <c r="AY856">
        <v>3.5</v>
      </c>
      <c r="AZ856" t="s">
        <v>60</v>
      </c>
      <c r="BA856" t="s">
        <v>61</v>
      </c>
      <c r="BB856" t="s">
        <v>8</v>
      </c>
    </row>
    <row r="857" ht="409.5" spans="1:54">
      <c r="A857" t="s">
        <v>3044</v>
      </c>
      <c r="B857" t="s">
        <v>2118</v>
      </c>
      <c r="C857" t="s">
        <v>56</v>
      </c>
      <c r="D857">
        <v>0</v>
      </c>
      <c r="E857">
        <v>0</v>
      </c>
      <c r="F857">
        <v>42.5</v>
      </c>
      <c r="G857" t="s">
        <v>785</v>
      </c>
      <c r="H857" s="3" t="s">
        <v>3045</v>
      </c>
      <c r="I857" s="3" t="s">
        <v>3046</v>
      </c>
      <c r="J857">
        <f t="shared" si="169"/>
        <v>0</v>
      </c>
      <c r="K857">
        <f t="shared" si="170"/>
        <v>1</v>
      </c>
      <c r="L857">
        <f t="shared" si="171"/>
        <v>0</v>
      </c>
      <c r="M857">
        <f t="shared" si="172"/>
        <v>0</v>
      </c>
      <c r="N857">
        <f t="shared" si="173"/>
        <v>0</v>
      </c>
      <c r="O857">
        <f t="shared" si="174"/>
        <v>1</v>
      </c>
      <c r="P857">
        <f t="shared" si="175"/>
        <v>0</v>
      </c>
      <c r="Q857">
        <f t="shared" si="176"/>
        <v>0</v>
      </c>
      <c r="R857">
        <v>0</v>
      </c>
      <c r="S857">
        <v>0</v>
      </c>
      <c r="T857">
        <v>0</v>
      </c>
      <c r="U857">
        <v>1</v>
      </c>
      <c r="V857">
        <v>1</v>
      </c>
      <c r="W857">
        <v>1</v>
      </c>
      <c r="X857">
        <v>0</v>
      </c>
      <c r="Y857">
        <v>0</v>
      </c>
      <c r="Z857">
        <v>0</v>
      </c>
      <c r="AA857">
        <v>0</v>
      </c>
      <c r="AB857">
        <v>0</v>
      </c>
      <c r="AC857">
        <v>0</v>
      </c>
      <c r="AD857">
        <v>0</v>
      </c>
      <c r="AE857">
        <v>0</v>
      </c>
      <c r="AF857">
        <v>0</v>
      </c>
      <c r="AG857">
        <v>0</v>
      </c>
      <c r="AH857">
        <v>0</v>
      </c>
      <c r="AI857">
        <v>1</v>
      </c>
      <c r="AJ857">
        <v>0</v>
      </c>
      <c r="AK857">
        <v>0</v>
      </c>
      <c r="AL857">
        <v>1</v>
      </c>
      <c r="AM857">
        <v>0</v>
      </c>
      <c r="AN857">
        <v>0</v>
      </c>
      <c r="AO857">
        <v>0</v>
      </c>
      <c r="AP857">
        <v>0</v>
      </c>
      <c r="AQ857">
        <v>0</v>
      </c>
      <c r="AR857">
        <v>0</v>
      </c>
      <c r="AS857">
        <f t="shared" si="177"/>
        <v>2</v>
      </c>
      <c r="AT857">
        <f t="shared" si="178"/>
        <v>5</v>
      </c>
      <c r="AU857" s="3" t="s">
        <v>3047</v>
      </c>
      <c r="AV857">
        <f t="shared" si="179"/>
        <v>1</v>
      </c>
      <c r="AW857">
        <f t="shared" si="180"/>
        <v>0</v>
      </c>
      <c r="AX857">
        <f t="shared" si="181"/>
        <v>0</v>
      </c>
      <c r="AY857">
        <v>5.5</v>
      </c>
      <c r="AZ857" t="s">
        <v>60</v>
      </c>
      <c r="BA857" t="s">
        <v>61</v>
      </c>
      <c r="BB857" t="s">
        <v>8</v>
      </c>
    </row>
    <row r="858" ht="202" spans="1:54">
      <c r="A858" t="s">
        <v>3048</v>
      </c>
      <c r="B858" t="s">
        <v>2118</v>
      </c>
      <c r="C858" t="s">
        <v>56</v>
      </c>
      <c r="D858">
        <v>0</v>
      </c>
      <c r="E858">
        <v>0</v>
      </c>
      <c r="F858">
        <v>52.2</v>
      </c>
      <c r="G858" t="s">
        <v>2046</v>
      </c>
      <c r="H858" s="3" t="s">
        <v>3049</v>
      </c>
      <c r="I858" s="3" t="s">
        <v>3050</v>
      </c>
      <c r="J858">
        <f t="shared" si="169"/>
        <v>1</v>
      </c>
      <c r="K858">
        <f t="shared" si="170"/>
        <v>1</v>
      </c>
      <c r="L858">
        <f t="shared" si="171"/>
        <v>0</v>
      </c>
      <c r="M858">
        <f t="shared" si="172"/>
        <v>0</v>
      </c>
      <c r="N858">
        <f t="shared" si="173"/>
        <v>1</v>
      </c>
      <c r="O858">
        <f t="shared" si="174"/>
        <v>0</v>
      </c>
      <c r="P858">
        <f t="shared" si="175"/>
        <v>1</v>
      </c>
      <c r="Q858">
        <f t="shared" si="176"/>
        <v>0</v>
      </c>
      <c r="R858">
        <v>1</v>
      </c>
      <c r="S858">
        <v>0</v>
      </c>
      <c r="T858">
        <v>0</v>
      </c>
      <c r="U858">
        <v>1</v>
      </c>
      <c r="V858">
        <v>1</v>
      </c>
      <c r="W858">
        <v>0</v>
      </c>
      <c r="X858">
        <v>0</v>
      </c>
      <c r="Y858">
        <v>0</v>
      </c>
      <c r="Z858">
        <v>0</v>
      </c>
      <c r="AA858">
        <v>0</v>
      </c>
      <c r="AB858">
        <v>0</v>
      </c>
      <c r="AC858">
        <v>0</v>
      </c>
      <c r="AD858">
        <v>0</v>
      </c>
      <c r="AE858">
        <v>0</v>
      </c>
      <c r="AF858">
        <v>0</v>
      </c>
      <c r="AG858">
        <v>0</v>
      </c>
      <c r="AH858">
        <v>1</v>
      </c>
      <c r="AI858">
        <v>0</v>
      </c>
      <c r="AJ858">
        <v>0</v>
      </c>
      <c r="AK858">
        <v>0</v>
      </c>
      <c r="AL858">
        <v>0</v>
      </c>
      <c r="AM858">
        <v>0</v>
      </c>
      <c r="AN858">
        <v>0</v>
      </c>
      <c r="AO858">
        <v>0</v>
      </c>
      <c r="AP858">
        <v>1</v>
      </c>
      <c r="AQ858">
        <v>0</v>
      </c>
      <c r="AR858">
        <v>0</v>
      </c>
      <c r="AS858">
        <f t="shared" si="177"/>
        <v>4</v>
      </c>
      <c r="AT858">
        <f t="shared" si="178"/>
        <v>5</v>
      </c>
      <c r="AU858" s="3" t="s">
        <v>752</v>
      </c>
      <c r="AV858">
        <f t="shared" si="179"/>
        <v>1</v>
      </c>
      <c r="AW858">
        <f t="shared" si="180"/>
        <v>0</v>
      </c>
      <c r="AX858">
        <f t="shared" si="181"/>
        <v>0</v>
      </c>
      <c r="AY858">
        <v>6</v>
      </c>
      <c r="AZ858" t="s">
        <v>60</v>
      </c>
      <c r="BA858" t="s">
        <v>61</v>
      </c>
      <c r="BB858" t="s">
        <v>8</v>
      </c>
    </row>
    <row r="859" ht="202" spans="1:54">
      <c r="A859" t="s">
        <v>3051</v>
      </c>
      <c r="B859" t="s">
        <v>2118</v>
      </c>
      <c r="C859" t="s">
        <v>56</v>
      </c>
      <c r="D859">
        <v>0</v>
      </c>
      <c r="E859">
        <v>0</v>
      </c>
      <c r="F859">
        <v>91.5</v>
      </c>
      <c r="G859" t="s">
        <v>3052</v>
      </c>
      <c r="H859" s="3" t="s">
        <v>3053</v>
      </c>
      <c r="I859" s="3" t="s">
        <v>3054</v>
      </c>
      <c r="J859">
        <f t="shared" si="169"/>
        <v>0</v>
      </c>
      <c r="K859">
        <f t="shared" si="170"/>
        <v>1</v>
      </c>
      <c r="L859">
        <f t="shared" si="171"/>
        <v>0</v>
      </c>
      <c r="M859">
        <f t="shared" si="172"/>
        <v>0</v>
      </c>
      <c r="N859">
        <f t="shared" si="173"/>
        <v>0</v>
      </c>
      <c r="O859">
        <f t="shared" si="174"/>
        <v>1</v>
      </c>
      <c r="P859">
        <f t="shared" si="175"/>
        <v>0</v>
      </c>
      <c r="Q859">
        <f t="shared" si="176"/>
        <v>0</v>
      </c>
      <c r="R859">
        <v>0</v>
      </c>
      <c r="S859">
        <v>0</v>
      </c>
      <c r="T859">
        <v>0</v>
      </c>
      <c r="U859">
        <v>0</v>
      </c>
      <c r="V859">
        <v>0</v>
      </c>
      <c r="W859">
        <v>0</v>
      </c>
      <c r="X859">
        <v>1</v>
      </c>
      <c r="Y859">
        <v>0</v>
      </c>
      <c r="Z859">
        <v>0</v>
      </c>
      <c r="AA859">
        <v>0</v>
      </c>
      <c r="AB859">
        <v>0</v>
      </c>
      <c r="AC859">
        <v>0</v>
      </c>
      <c r="AD859">
        <v>0</v>
      </c>
      <c r="AE859">
        <v>0</v>
      </c>
      <c r="AF859">
        <v>0</v>
      </c>
      <c r="AG859">
        <v>0</v>
      </c>
      <c r="AH859">
        <v>0</v>
      </c>
      <c r="AI859">
        <v>1</v>
      </c>
      <c r="AJ859">
        <v>0</v>
      </c>
      <c r="AK859">
        <v>0</v>
      </c>
      <c r="AL859">
        <v>0</v>
      </c>
      <c r="AM859">
        <v>0</v>
      </c>
      <c r="AN859">
        <v>0</v>
      </c>
      <c r="AO859">
        <v>0</v>
      </c>
      <c r="AP859">
        <v>0</v>
      </c>
      <c r="AQ859">
        <v>0</v>
      </c>
      <c r="AR859">
        <v>0</v>
      </c>
      <c r="AS859">
        <f t="shared" si="177"/>
        <v>2</v>
      </c>
      <c r="AT859">
        <f t="shared" si="178"/>
        <v>2</v>
      </c>
      <c r="AU859" s="3" t="s">
        <v>3055</v>
      </c>
      <c r="AV859">
        <f t="shared" si="179"/>
        <v>1</v>
      </c>
      <c r="AW859">
        <f t="shared" si="180"/>
        <v>0</v>
      </c>
      <c r="AX859">
        <f t="shared" si="181"/>
        <v>0</v>
      </c>
      <c r="AY859">
        <v>-1</v>
      </c>
      <c r="AZ859" t="s">
        <v>133</v>
      </c>
      <c r="BA859" t="s">
        <v>134</v>
      </c>
      <c r="BB859" t="s">
        <v>8</v>
      </c>
    </row>
    <row r="860" ht="34" spans="1:54">
      <c r="A860" t="s">
        <v>3056</v>
      </c>
      <c r="B860" t="s">
        <v>2118</v>
      </c>
      <c r="C860" t="s">
        <v>56</v>
      </c>
      <c r="D860">
        <v>0</v>
      </c>
      <c r="E860">
        <v>0</v>
      </c>
      <c r="F860">
        <v>136.3</v>
      </c>
      <c r="G860" t="s">
        <v>789</v>
      </c>
      <c r="H860" s="3" t="s">
        <v>3057</v>
      </c>
      <c r="I860" s="3" t="s">
        <v>3058</v>
      </c>
      <c r="J860">
        <f t="shared" si="169"/>
        <v>0</v>
      </c>
      <c r="K860">
        <f t="shared" si="170"/>
        <v>1</v>
      </c>
      <c r="L860">
        <f t="shared" si="171"/>
        <v>0</v>
      </c>
      <c r="M860">
        <f t="shared" si="172"/>
        <v>0</v>
      </c>
      <c r="N860">
        <f t="shared" si="173"/>
        <v>1</v>
      </c>
      <c r="O860">
        <f t="shared" si="174"/>
        <v>0</v>
      </c>
      <c r="P860">
        <f t="shared" si="175"/>
        <v>0</v>
      </c>
      <c r="Q860">
        <f t="shared" si="176"/>
        <v>0</v>
      </c>
      <c r="R860">
        <v>0</v>
      </c>
      <c r="S860">
        <v>0</v>
      </c>
      <c r="T860">
        <v>0</v>
      </c>
      <c r="U860">
        <v>0</v>
      </c>
      <c r="V860">
        <v>0</v>
      </c>
      <c r="W860">
        <v>1</v>
      </c>
      <c r="X860">
        <v>0</v>
      </c>
      <c r="Y860">
        <v>0</v>
      </c>
      <c r="Z860">
        <v>0</v>
      </c>
      <c r="AA860">
        <v>0</v>
      </c>
      <c r="AB860">
        <v>0</v>
      </c>
      <c r="AC860">
        <v>0</v>
      </c>
      <c r="AD860">
        <v>0</v>
      </c>
      <c r="AE860">
        <v>0</v>
      </c>
      <c r="AF860">
        <v>0</v>
      </c>
      <c r="AG860">
        <v>0</v>
      </c>
      <c r="AH860">
        <v>1</v>
      </c>
      <c r="AI860">
        <v>0</v>
      </c>
      <c r="AJ860">
        <v>0</v>
      </c>
      <c r="AK860">
        <v>0</v>
      </c>
      <c r="AL860">
        <v>0</v>
      </c>
      <c r="AM860">
        <v>0</v>
      </c>
      <c r="AN860">
        <v>0</v>
      </c>
      <c r="AO860">
        <v>0</v>
      </c>
      <c r="AP860">
        <v>0</v>
      </c>
      <c r="AQ860">
        <v>0</v>
      </c>
      <c r="AR860">
        <v>0</v>
      </c>
      <c r="AS860">
        <f t="shared" si="177"/>
        <v>2</v>
      </c>
      <c r="AT860">
        <f t="shared" si="178"/>
        <v>2</v>
      </c>
      <c r="AU860" s="3" t="s">
        <v>1780</v>
      </c>
      <c r="AV860">
        <f t="shared" si="179"/>
        <v>1</v>
      </c>
      <c r="AW860">
        <f t="shared" si="180"/>
        <v>0</v>
      </c>
      <c r="AX860">
        <f t="shared" si="181"/>
        <v>0</v>
      </c>
      <c r="AY860">
        <v>4</v>
      </c>
      <c r="AZ860" t="s">
        <v>60</v>
      </c>
      <c r="BA860" t="s">
        <v>61</v>
      </c>
      <c r="BB860" t="s">
        <v>8</v>
      </c>
    </row>
    <row r="861" ht="152" spans="1:54">
      <c r="A861" t="s">
        <v>3059</v>
      </c>
      <c r="B861" t="s">
        <v>2118</v>
      </c>
      <c r="C861" t="s">
        <v>56</v>
      </c>
      <c r="D861">
        <v>0</v>
      </c>
      <c r="E861">
        <v>1</v>
      </c>
      <c r="F861">
        <v>33.2</v>
      </c>
      <c r="G861" t="s">
        <v>3060</v>
      </c>
      <c r="H861" s="3" t="s">
        <v>3061</v>
      </c>
      <c r="I861" s="3" t="s">
        <v>3062</v>
      </c>
      <c r="J861">
        <f t="shared" si="169"/>
        <v>0</v>
      </c>
      <c r="K861">
        <f t="shared" si="170"/>
        <v>0</v>
      </c>
      <c r="L861">
        <f t="shared" si="171"/>
        <v>0</v>
      </c>
      <c r="M861">
        <f t="shared" si="172"/>
        <v>0</v>
      </c>
      <c r="N861">
        <f t="shared" si="173"/>
        <v>0</v>
      </c>
      <c r="O861">
        <f t="shared" si="174"/>
        <v>0</v>
      </c>
      <c r="P861">
        <f t="shared" si="175"/>
        <v>0</v>
      </c>
      <c r="Q861">
        <f t="shared" si="176"/>
        <v>1</v>
      </c>
      <c r="R861">
        <v>0</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v>0</v>
      </c>
      <c r="AO861">
        <v>0</v>
      </c>
      <c r="AP861">
        <v>0</v>
      </c>
      <c r="AQ861">
        <v>0</v>
      </c>
      <c r="AR861">
        <v>1</v>
      </c>
      <c r="AS861">
        <f t="shared" si="177"/>
        <v>1</v>
      </c>
      <c r="AT861">
        <f t="shared" si="178"/>
        <v>1</v>
      </c>
      <c r="AU861" s="3" t="s">
        <v>157</v>
      </c>
      <c r="AV861">
        <f t="shared" si="179"/>
        <v>1</v>
      </c>
      <c r="AW861">
        <f t="shared" si="180"/>
        <v>0</v>
      </c>
      <c r="AX861">
        <f t="shared" si="181"/>
        <v>0</v>
      </c>
      <c r="AY861">
        <v>1.5</v>
      </c>
      <c r="AZ861" t="s">
        <v>60</v>
      </c>
      <c r="BA861" t="s">
        <v>61</v>
      </c>
      <c r="BB861" t="s">
        <v>8</v>
      </c>
    </row>
    <row r="862" ht="51" spans="1:54">
      <c r="A862" t="s">
        <v>3063</v>
      </c>
      <c r="B862" t="s">
        <v>2118</v>
      </c>
      <c r="C862" t="s">
        <v>56</v>
      </c>
      <c r="D862">
        <v>0</v>
      </c>
      <c r="E862">
        <v>0</v>
      </c>
      <c r="F862">
        <v>19.3</v>
      </c>
      <c r="G862" t="s">
        <v>3064</v>
      </c>
      <c r="H862" s="3" t="s">
        <v>3065</v>
      </c>
      <c r="I862" s="3" t="s">
        <v>3066</v>
      </c>
      <c r="J862">
        <f t="shared" si="169"/>
        <v>1</v>
      </c>
      <c r="K862">
        <f t="shared" si="170"/>
        <v>0</v>
      </c>
      <c r="L862">
        <f t="shared" si="171"/>
        <v>0</v>
      </c>
      <c r="M862">
        <f t="shared" si="172"/>
        <v>0</v>
      </c>
      <c r="N862">
        <f t="shared" si="173"/>
        <v>0</v>
      </c>
      <c r="O862">
        <f t="shared" si="174"/>
        <v>0</v>
      </c>
      <c r="P862">
        <f t="shared" si="175"/>
        <v>0</v>
      </c>
      <c r="Q862">
        <f t="shared" si="176"/>
        <v>0</v>
      </c>
      <c r="R862">
        <v>0</v>
      </c>
      <c r="S862">
        <v>0</v>
      </c>
      <c r="T862">
        <v>1</v>
      </c>
      <c r="U862">
        <v>0</v>
      </c>
      <c r="V862">
        <v>0</v>
      </c>
      <c r="W862">
        <v>0</v>
      </c>
      <c r="X862">
        <v>0</v>
      </c>
      <c r="Y862">
        <v>0</v>
      </c>
      <c r="Z862">
        <v>0</v>
      </c>
      <c r="AA862">
        <v>0</v>
      </c>
      <c r="AB862">
        <v>0</v>
      </c>
      <c r="AC862">
        <v>0</v>
      </c>
      <c r="AD862">
        <v>0</v>
      </c>
      <c r="AE862">
        <v>0</v>
      </c>
      <c r="AF862">
        <v>0</v>
      </c>
      <c r="AG862">
        <v>0</v>
      </c>
      <c r="AH862">
        <v>0</v>
      </c>
      <c r="AI862">
        <v>0</v>
      </c>
      <c r="AJ862">
        <v>0</v>
      </c>
      <c r="AK862">
        <v>0</v>
      </c>
      <c r="AL862">
        <v>0</v>
      </c>
      <c r="AM862">
        <v>0</v>
      </c>
      <c r="AN862">
        <v>0</v>
      </c>
      <c r="AO862">
        <v>0</v>
      </c>
      <c r="AP862">
        <v>0</v>
      </c>
      <c r="AQ862">
        <v>0</v>
      </c>
      <c r="AR862">
        <v>0</v>
      </c>
      <c r="AS862">
        <f t="shared" si="177"/>
        <v>1</v>
      </c>
      <c r="AT862">
        <f t="shared" si="178"/>
        <v>1</v>
      </c>
      <c r="AU862" s="3" t="s">
        <v>2570</v>
      </c>
      <c r="AV862">
        <f t="shared" si="179"/>
        <v>1</v>
      </c>
      <c r="AW862">
        <f t="shared" si="180"/>
        <v>0</v>
      </c>
      <c r="AX862">
        <f t="shared" si="181"/>
        <v>0</v>
      </c>
      <c r="AY862">
        <v>-4.5</v>
      </c>
      <c r="AZ862" t="s">
        <v>133</v>
      </c>
      <c r="BA862" t="s">
        <v>134</v>
      </c>
      <c r="BB862" t="s">
        <v>8</v>
      </c>
    </row>
    <row r="863" ht="152" spans="1:54">
      <c r="A863" t="s">
        <v>3067</v>
      </c>
      <c r="B863" t="s">
        <v>2118</v>
      </c>
      <c r="C863" t="s">
        <v>56</v>
      </c>
      <c r="D863">
        <v>2</v>
      </c>
      <c r="E863">
        <v>0</v>
      </c>
      <c r="F863">
        <v>51.5</v>
      </c>
      <c r="G863" t="s">
        <v>806</v>
      </c>
      <c r="H863" s="3" t="s">
        <v>3068</v>
      </c>
      <c r="I863" s="3" t="s">
        <v>3069</v>
      </c>
      <c r="J863">
        <f t="shared" si="169"/>
        <v>1</v>
      </c>
      <c r="K863">
        <f t="shared" si="170"/>
        <v>0</v>
      </c>
      <c r="L863">
        <f t="shared" si="171"/>
        <v>0</v>
      </c>
      <c r="M863">
        <f t="shared" si="172"/>
        <v>0</v>
      </c>
      <c r="N863">
        <f t="shared" si="173"/>
        <v>0</v>
      </c>
      <c r="O863">
        <f t="shared" si="174"/>
        <v>1</v>
      </c>
      <c r="P863">
        <f t="shared" si="175"/>
        <v>0</v>
      </c>
      <c r="Q863">
        <f t="shared" si="176"/>
        <v>0</v>
      </c>
      <c r="R863">
        <v>0</v>
      </c>
      <c r="S863">
        <v>0</v>
      </c>
      <c r="T863">
        <v>1</v>
      </c>
      <c r="U863">
        <v>0</v>
      </c>
      <c r="V863">
        <v>0</v>
      </c>
      <c r="W863">
        <v>0</v>
      </c>
      <c r="X863">
        <v>0</v>
      </c>
      <c r="Y863">
        <v>0</v>
      </c>
      <c r="Z863">
        <v>0</v>
      </c>
      <c r="AA863">
        <v>0</v>
      </c>
      <c r="AB863">
        <v>0</v>
      </c>
      <c r="AC863">
        <v>0</v>
      </c>
      <c r="AD863">
        <v>0</v>
      </c>
      <c r="AE863">
        <v>0</v>
      </c>
      <c r="AF863">
        <v>0</v>
      </c>
      <c r="AG863">
        <v>0</v>
      </c>
      <c r="AH863">
        <v>0</v>
      </c>
      <c r="AI863">
        <v>1</v>
      </c>
      <c r="AJ863">
        <v>0</v>
      </c>
      <c r="AK863">
        <v>0</v>
      </c>
      <c r="AL863">
        <v>0</v>
      </c>
      <c r="AM863">
        <v>0</v>
      </c>
      <c r="AN863">
        <v>0</v>
      </c>
      <c r="AO863">
        <v>0</v>
      </c>
      <c r="AP863">
        <v>0</v>
      </c>
      <c r="AQ863">
        <v>0</v>
      </c>
      <c r="AR863">
        <v>0</v>
      </c>
      <c r="AS863">
        <f t="shared" si="177"/>
        <v>2</v>
      </c>
      <c r="AT863">
        <f t="shared" si="178"/>
        <v>2</v>
      </c>
      <c r="AU863" s="3" t="s">
        <v>3070</v>
      </c>
      <c r="AV863">
        <f t="shared" si="179"/>
        <v>1</v>
      </c>
      <c r="AW863">
        <f t="shared" si="180"/>
        <v>0</v>
      </c>
      <c r="AX863">
        <f t="shared" si="181"/>
        <v>0</v>
      </c>
      <c r="AY863">
        <v>6</v>
      </c>
      <c r="AZ863" t="s">
        <v>60</v>
      </c>
      <c r="BA863" t="s">
        <v>61</v>
      </c>
      <c r="BB863" t="s">
        <v>8</v>
      </c>
    </row>
    <row r="864" ht="51" spans="1:54">
      <c r="A864" t="s">
        <v>3071</v>
      </c>
      <c r="B864" t="s">
        <v>2118</v>
      </c>
      <c r="C864" t="s">
        <v>56</v>
      </c>
      <c r="D864">
        <v>0</v>
      </c>
      <c r="E864">
        <v>0</v>
      </c>
      <c r="F864">
        <v>74.4</v>
      </c>
      <c r="G864" t="s">
        <v>806</v>
      </c>
      <c r="H864" s="3" t="s">
        <v>3072</v>
      </c>
      <c r="I864" s="3" t="s">
        <v>3073</v>
      </c>
      <c r="J864">
        <f t="shared" si="169"/>
        <v>0</v>
      </c>
      <c r="K864">
        <f t="shared" si="170"/>
        <v>0</v>
      </c>
      <c r="L864">
        <f t="shared" si="171"/>
        <v>0</v>
      </c>
      <c r="M864">
        <f t="shared" si="172"/>
        <v>0</v>
      </c>
      <c r="N864">
        <f t="shared" si="173"/>
        <v>0</v>
      </c>
      <c r="O864">
        <f t="shared" si="174"/>
        <v>1</v>
      </c>
      <c r="P864">
        <f t="shared" si="175"/>
        <v>0</v>
      </c>
      <c r="Q864">
        <f t="shared" si="176"/>
        <v>0</v>
      </c>
      <c r="R864">
        <v>0</v>
      </c>
      <c r="S864">
        <v>0</v>
      </c>
      <c r="T864">
        <v>0</v>
      </c>
      <c r="U864">
        <v>0</v>
      </c>
      <c r="V864">
        <v>0</v>
      </c>
      <c r="W864">
        <v>0</v>
      </c>
      <c r="X864">
        <v>0</v>
      </c>
      <c r="Y864">
        <v>0</v>
      </c>
      <c r="Z864">
        <v>0</v>
      </c>
      <c r="AA864">
        <v>0</v>
      </c>
      <c r="AB864">
        <v>0</v>
      </c>
      <c r="AC864">
        <v>0</v>
      </c>
      <c r="AD864">
        <v>0</v>
      </c>
      <c r="AE864">
        <v>0</v>
      </c>
      <c r="AF864">
        <v>0</v>
      </c>
      <c r="AG864">
        <v>0</v>
      </c>
      <c r="AH864">
        <v>0</v>
      </c>
      <c r="AI864">
        <v>1</v>
      </c>
      <c r="AJ864">
        <v>0</v>
      </c>
      <c r="AK864">
        <v>0</v>
      </c>
      <c r="AL864">
        <v>0</v>
      </c>
      <c r="AM864">
        <v>0</v>
      </c>
      <c r="AN864">
        <v>0</v>
      </c>
      <c r="AO864">
        <v>0</v>
      </c>
      <c r="AP864">
        <v>0</v>
      </c>
      <c r="AQ864">
        <v>0</v>
      </c>
      <c r="AR864">
        <v>0</v>
      </c>
      <c r="AS864">
        <f t="shared" si="177"/>
        <v>1</v>
      </c>
      <c r="AT864">
        <f t="shared" si="178"/>
        <v>1</v>
      </c>
      <c r="AU864" s="3" t="s">
        <v>79</v>
      </c>
      <c r="AV864">
        <f t="shared" si="179"/>
        <v>1</v>
      </c>
      <c r="AW864">
        <f t="shared" si="180"/>
        <v>0</v>
      </c>
      <c r="AX864">
        <f t="shared" si="181"/>
        <v>0</v>
      </c>
      <c r="AY864">
        <v>4</v>
      </c>
      <c r="AZ864" t="s">
        <v>60</v>
      </c>
      <c r="BA864" t="s">
        <v>61</v>
      </c>
      <c r="BB864" t="s">
        <v>8</v>
      </c>
    </row>
    <row r="865" ht="135" spans="1:54">
      <c r="A865" t="s">
        <v>3074</v>
      </c>
      <c r="B865" t="s">
        <v>2118</v>
      </c>
      <c r="C865" t="s">
        <v>116</v>
      </c>
      <c r="D865">
        <v>2</v>
      </c>
      <c r="E865">
        <v>0</v>
      </c>
      <c r="F865">
        <v>44.2</v>
      </c>
      <c r="G865" t="s">
        <v>3075</v>
      </c>
      <c r="H865" s="3" t="s">
        <v>3076</v>
      </c>
      <c r="I865" s="3" t="s">
        <v>3077</v>
      </c>
      <c r="J865">
        <f t="shared" si="169"/>
        <v>0</v>
      </c>
      <c r="K865">
        <f t="shared" si="170"/>
        <v>1</v>
      </c>
      <c r="L865">
        <f t="shared" si="171"/>
        <v>0</v>
      </c>
      <c r="M865">
        <f t="shared" si="172"/>
        <v>1</v>
      </c>
      <c r="N865">
        <f t="shared" si="173"/>
        <v>0</v>
      </c>
      <c r="O865">
        <f t="shared" si="174"/>
        <v>0</v>
      </c>
      <c r="P865">
        <f t="shared" si="175"/>
        <v>0</v>
      </c>
      <c r="Q865">
        <f t="shared" si="176"/>
        <v>0</v>
      </c>
      <c r="R865">
        <v>0</v>
      </c>
      <c r="S865">
        <v>0</v>
      </c>
      <c r="T865">
        <v>0</v>
      </c>
      <c r="U865">
        <v>1</v>
      </c>
      <c r="V865">
        <v>0</v>
      </c>
      <c r="W865">
        <v>0</v>
      </c>
      <c r="X865">
        <v>0</v>
      </c>
      <c r="Y865">
        <v>0</v>
      </c>
      <c r="Z865">
        <v>0</v>
      </c>
      <c r="AA865">
        <v>0</v>
      </c>
      <c r="AB865">
        <v>0</v>
      </c>
      <c r="AC865">
        <v>0</v>
      </c>
      <c r="AD865">
        <v>0</v>
      </c>
      <c r="AE865">
        <v>1</v>
      </c>
      <c r="AF865">
        <v>1</v>
      </c>
      <c r="AG865">
        <v>0</v>
      </c>
      <c r="AH865">
        <v>0</v>
      </c>
      <c r="AI865">
        <v>0</v>
      </c>
      <c r="AJ865">
        <v>0</v>
      </c>
      <c r="AK865">
        <v>0</v>
      </c>
      <c r="AL865">
        <v>0</v>
      </c>
      <c r="AM865">
        <v>0</v>
      </c>
      <c r="AN865">
        <v>0</v>
      </c>
      <c r="AO865">
        <v>0</v>
      </c>
      <c r="AP865">
        <v>0</v>
      </c>
      <c r="AQ865">
        <v>0</v>
      </c>
      <c r="AR865">
        <v>0</v>
      </c>
      <c r="AS865">
        <f t="shared" si="177"/>
        <v>2</v>
      </c>
      <c r="AT865">
        <f t="shared" si="178"/>
        <v>3</v>
      </c>
      <c r="AU865" s="3" t="s">
        <v>3078</v>
      </c>
      <c r="AV865">
        <f t="shared" si="179"/>
        <v>1</v>
      </c>
      <c r="AW865">
        <f t="shared" si="180"/>
        <v>0</v>
      </c>
      <c r="AX865">
        <f t="shared" si="181"/>
        <v>0</v>
      </c>
      <c r="AY865">
        <v>-3</v>
      </c>
      <c r="AZ865" t="s">
        <v>133</v>
      </c>
      <c r="BA865" t="s">
        <v>134</v>
      </c>
      <c r="BB865" t="s">
        <v>8</v>
      </c>
    </row>
    <row r="866" ht="202" spans="1:54">
      <c r="A866" t="s">
        <v>3079</v>
      </c>
      <c r="B866" t="s">
        <v>2118</v>
      </c>
      <c r="C866" t="s">
        <v>56</v>
      </c>
      <c r="D866">
        <v>0</v>
      </c>
      <c r="E866">
        <v>0</v>
      </c>
      <c r="F866">
        <v>20.9</v>
      </c>
      <c r="G866" t="s">
        <v>814</v>
      </c>
      <c r="H866" s="3" t="s">
        <v>3080</v>
      </c>
      <c r="I866" s="3" t="s">
        <v>3081</v>
      </c>
      <c r="J866">
        <f t="shared" si="169"/>
        <v>1</v>
      </c>
      <c r="K866">
        <f t="shared" si="170"/>
        <v>0</v>
      </c>
      <c r="L866">
        <f t="shared" si="171"/>
        <v>1</v>
      </c>
      <c r="M866">
        <f t="shared" si="172"/>
        <v>0</v>
      </c>
      <c r="N866">
        <f t="shared" si="173"/>
        <v>1</v>
      </c>
      <c r="O866">
        <f t="shared" si="174"/>
        <v>0</v>
      </c>
      <c r="P866">
        <f t="shared" si="175"/>
        <v>0</v>
      </c>
      <c r="Q866">
        <f t="shared" si="176"/>
        <v>0</v>
      </c>
      <c r="R866">
        <v>0</v>
      </c>
      <c r="S866">
        <v>1</v>
      </c>
      <c r="T866">
        <v>1</v>
      </c>
      <c r="U866">
        <v>0</v>
      </c>
      <c r="V866">
        <v>0</v>
      </c>
      <c r="W866">
        <v>0</v>
      </c>
      <c r="X866">
        <v>0</v>
      </c>
      <c r="Y866">
        <v>0</v>
      </c>
      <c r="Z866">
        <v>1</v>
      </c>
      <c r="AA866">
        <v>0</v>
      </c>
      <c r="AB866">
        <v>0</v>
      </c>
      <c r="AC866">
        <v>0</v>
      </c>
      <c r="AD866">
        <v>0</v>
      </c>
      <c r="AE866">
        <v>0</v>
      </c>
      <c r="AF866">
        <v>0</v>
      </c>
      <c r="AG866">
        <v>0</v>
      </c>
      <c r="AH866">
        <v>1</v>
      </c>
      <c r="AI866">
        <v>0</v>
      </c>
      <c r="AJ866">
        <v>0</v>
      </c>
      <c r="AK866">
        <v>0</v>
      </c>
      <c r="AL866">
        <v>0</v>
      </c>
      <c r="AM866">
        <v>0</v>
      </c>
      <c r="AN866">
        <v>0</v>
      </c>
      <c r="AO866">
        <v>0</v>
      </c>
      <c r="AP866">
        <v>0</v>
      </c>
      <c r="AQ866">
        <v>0</v>
      </c>
      <c r="AR866">
        <v>0</v>
      </c>
      <c r="AS866">
        <f t="shared" si="177"/>
        <v>3</v>
      </c>
      <c r="AT866">
        <f t="shared" si="178"/>
        <v>4</v>
      </c>
      <c r="AU866" s="3" t="s">
        <v>3082</v>
      </c>
      <c r="AV866">
        <f t="shared" si="179"/>
        <v>1</v>
      </c>
      <c r="AW866">
        <f t="shared" si="180"/>
        <v>0</v>
      </c>
      <c r="AX866">
        <f t="shared" si="181"/>
        <v>0</v>
      </c>
      <c r="AY866">
        <v>4.5</v>
      </c>
      <c r="AZ866" t="s">
        <v>60</v>
      </c>
      <c r="BA866" t="s">
        <v>61</v>
      </c>
      <c r="BB866" t="s">
        <v>8</v>
      </c>
    </row>
    <row r="867" ht="101" spans="1:54">
      <c r="A867" t="s">
        <v>3083</v>
      </c>
      <c r="B867" t="s">
        <v>2118</v>
      </c>
      <c r="C867" t="s">
        <v>56</v>
      </c>
      <c r="D867">
        <v>0</v>
      </c>
      <c r="E867">
        <v>0</v>
      </c>
      <c r="F867">
        <v>47</v>
      </c>
      <c r="G867" t="s">
        <v>3084</v>
      </c>
      <c r="H867" s="3" t="s">
        <v>3085</v>
      </c>
      <c r="I867" s="3" t="s">
        <v>3086</v>
      </c>
      <c r="J867">
        <f t="shared" si="169"/>
        <v>0</v>
      </c>
      <c r="K867">
        <f t="shared" si="170"/>
        <v>1</v>
      </c>
      <c r="L867">
        <f t="shared" si="171"/>
        <v>0</v>
      </c>
      <c r="M867">
        <f t="shared" si="172"/>
        <v>0</v>
      </c>
      <c r="N867">
        <f t="shared" si="173"/>
        <v>0</v>
      </c>
      <c r="O867">
        <f t="shared" si="174"/>
        <v>0</v>
      </c>
      <c r="P867">
        <f t="shared" si="175"/>
        <v>0</v>
      </c>
      <c r="Q867">
        <f t="shared" si="176"/>
        <v>0</v>
      </c>
      <c r="R867">
        <v>0</v>
      </c>
      <c r="S867">
        <v>0</v>
      </c>
      <c r="T867">
        <v>0</v>
      </c>
      <c r="U867">
        <v>1</v>
      </c>
      <c r="V867">
        <v>0</v>
      </c>
      <c r="W867">
        <v>1</v>
      </c>
      <c r="X867">
        <v>0</v>
      </c>
      <c r="Y867">
        <v>0</v>
      </c>
      <c r="Z867">
        <v>0</v>
      </c>
      <c r="AA867">
        <v>0</v>
      </c>
      <c r="AB867">
        <v>0</v>
      </c>
      <c r="AC867">
        <v>0</v>
      </c>
      <c r="AD867">
        <v>0</v>
      </c>
      <c r="AE867">
        <v>0</v>
      </c>
      <c r="AF867">
        <v>0</v>
      </c>
      <c r="AG867">
        <v>0</v>
      </c>
      <c r="AH867">
        <v>0</v>
      </c>
      <c r="AI867">
        <v>0</v>
      </c>
      <c r="AJ867">
        <v>0</v>
      </c>
      <c r="AK867">
        <v>0</v>
      </c>
      <c r="AL867">
        <v>0</v>
      </c>
      <c r="AM867">
        <v>0</v>
      </c>
      <c r="AN867">
        <v>0</v>
      </c>
      <c r="AO867">
        <v>0</v>
      </c>
      <c r="AP867">
        <v>0</v>
      </c>
      <c r="AQ867">
        <v>0</v>
      </c>
      <c r="AR867">
        <v>0</v>
      </c>
      <c r="AS867">
        <f t="shared" si="177"/>
        <v>1</v>
      </c>
      <c r="AT867">
        <f t="shared" si="178"/>
        <v>2</v>
      </c>
      <c r="AU867" s="3" t="s">
        <v>1707</v>
      </c>
      <c r="AV867">
        <f t="shared" si="179"/>
        <v>1</v>
      </c>
      <c r="AW867">
        <f t="shared" si="180"/>
        <v>0</v>
      </c>
      <c r="AX867">
        <f t="shared" si="181"/>
        <v>0</v>
      </c>
      <c r="AY867">
        <v>0</v>
      </c>
      <c r="AZ867" t="s">
        <v>147</v>
      </c>
      <c r="BA867" t="s">
        <v>148</v>
      </c>
      <c r="BB867" t="s">
        <v>8</v>
      </c>
    </row>
    <row r="868" ht="34" spans="1:54">
      <c r="A868" t="s">
        <v>3087</v>
      </c>
      <c r="B868" t="s">
        <v>2118</v>
      </c>
      <c r="C868" t="s">
        <v>56</v>
      </c>
      <c r="D868">
        <v>0</v>
      </c>
      <c r="E868">
        <v>0</v>
      </c>
      <c r="F868">
        <v>37</v>
      </c>
      <c r="G868" t="s">
        <v>3088</v>
      </c>
      <c r="H868" s="3" t="s">
        <v>3089</v>
      </c>
      <c r="I868" s="3" t="s">
        <v>3090</v>
      </c>
      <c r="J868">
        <f t="shared" si="169"/>
        <v>0</v>
      </c>
      <c r="K868">
        <f t="shared" si="170"/>
        <v>0</v>
      </c>
      <c r="L868">
        <f t="shared" si="171"/>
        <v>0</v>
      </c>
      <c r="M868">
        <f t="shared" si="172"/>
        <v>0</v>
      </c>
      <c r="N868">
        <f t="shared" si="173"/>
        <v>1</v>
      </c>
      <c r="O868">
        <f t="shared" si="174"/>
        <v>0</v>
      </c>
      <c r="P868">
        <f t="shared" si="175"/>
        <v>0</v>
      </c>
      <c r="Q868">
        <f t="shared" si="176"/>
        <v>0</v>
      </c>
      <c r="R868">
        <v>0</v>
      </c>
      <c r="S868">
        <v>0</v>
      </c>
      <c r="T868">
        <v>0</v>
      </c>
      <c r="U868">
        <v>0</v>
      </c>
      <c r="V868">
        <v>0</v>
      </c>
      <c r="W868">
        <v>0</v>
      </c>
      <c r="X868">
        <v>0</v>
      </c>
      <c r="Y868">
        <v>0</v>
      </c>
      <c r="Z868">
        <v>0</v>
      </c>
      <c r="AA868">
        <v>0</v>
      </c>
      <c r="AB868">
        <v>0</v>
      </c>
      <c r="AC868">
        <v>0</v>
      </c>
      <c r="AD868">
        <v>0</v>
      </c>
      <c r="AE868">
        <v>0</v>
      </c>
      <c r="AF868">
        <v>0</v>
      </c>
      <c r="AG868">
        <v>0</v>
      </c>
      <c r="AH868">
        <v>1</v>
      </c>
      <c r="AI868">
        <v>0</v>
      </c>
      <c r="AJ868">
        <v>0</v>
      </c>
      <c r="AK868">
        <v>0</v>
      </c>
      <c r="AL868">
        <v>0</v>
      </c>
      <c r="AM868">
        <v>0</v>
      </c>
      <c r="AN868">
        <v>0</v>
      </c>
      <c r="AO868">
        <v>0</v>
      </c>
      <c r="AP868">
        <v>0</v>
      </c>
      <c r="AQ868">
        <v>0</v>
      </c>
      <c r="AR868">
        <v>0</v>
      </c>
      <c r="AS868">
        <f t="shared" si="177"/>
        <v>1</v>
      </c>
      <c r="AT868">
        <f t="shared" si="178"/>
        <v>1</v>
      </c>
      <c r="AU868" s="3" t="s">
        <v>129</v>
      </c>
      <c r="AV868">
        <f t="shared" si="179"/>
        <v>1</v>
      </c>
      <c r="AW868">
        <f t="shared" si="180"/>
        <v>0</v>
      </c>
      <c r="AX868">
        <f t="shared" si="181"/>
        <v>0</v>
      </c>
      <c r="AY868">
        <v>-1</v>
      </c>
      <c r="AZ868" t="s">
        <v>133</v>
      </c>
      <c r="BA868" t="s">
        <v>134</v>
      </c>
      <c r="BB868" t="s">
        <v>8</v>
      </c>
    </row>
    <row r="869" ht="370" spans="1:54">
      <c r="A869" t="s">
        <v>3091</v>
      </c>
      <c r="B869" t="s">
        <v>2118</v>
      </c>
      <c r="C869" t="s">
        <v>56</v>
      </c>
      <c r="D869">
        <v>0</v>
      </c>
      <c r="E869">
        <v>0</v>
      </c>
      <c r="F869">
        <v>43.2</v>
      </c>
      <c r="G869" t="s">
        <v>843</v>
      </c>
      <c r="H869" s="3" t="s">
        <v>3092</v>
      </c>
      <c r="I869" s="3" t="s">
        <v>3093</v>
      </c>
      <c r="J869">
        <f t="shared" si="169"/>
        <v>1</v>
      </c>
      <c r="K869">
        <f t="shared" si="170"/>
        <v>1</v>
      </c>
      <c r="L869">
        <f t="shared" si="171"/>
        <v>0</v>
      </c>
      <c r="M869">
        <f t="shared" si="172"/>
        <v>0</v>
      </c>
      <c r="N869">
        <f t="shared" si="173"/>
        <v>0</v>
      </c>
      <c r="O869">
        <f t="shared" si="174"/>
        <v>0</v>
      </c>
      <c r="P869">
        <f t="shared" si="175"/>
        <v>0</v>
      </c>
      <c r="Q869">
        <f t="shared" si="176"/>
        <v>0</v>
      </c>
      <c r="R869">
        <v>1</v>
      </c>
      <c r="S869">
        <v>0</v>
      </c>
      <c r="T869">
        <v>0</v>
      </c>
      <c r="U869">
        <v>1</v>
      </c>
      <c r="V869">
        <v>1</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f t="shared" si="177"/>
        <v>2</v>
      </c>
      <c r="AT869">
        <f t="shared" si="178"/>
        <v>3</v>
      </c>
      <c r="AU869" s="3" t="s">
        <v>2898</v>
      </c>
      <c r="AV869">
        <f t="shared" si="179"/>
        <v>1</v>
      </c>
      <c r="AW869">
        <f t="shared" si="180"/>
        <v>0</v>
      </c>
      <c r="AX869">
        <f t="shared" si="181"/>
        <v>0</v>
      </c>
      <c r="AY869">
        <v>3</v>
      </c>
      <c r="AZ869" t="s">
        <v>60</v>
      </c>
      <c r="BA869" t="s">
        <v>61</v>
      </c>
      <c r="BB869" t="s">
        <v>8</v>
      </c>
    </row>
    <row r="870" ht="185" spans="1:54">
      <c r="A870" t="s">
        <v>3094</v>
      </c>
      <c r="B870" t="s">
        <v>2118</v>
      </c>
      <c r="C870" t="s">
        <v>56</v>
      </c>
      <c r="D870">
        <v>0</v>
      </c>
      <c r="E870">
        <v>0</v>
      </c>
      <c r="F870">
        <v>43.5</v>
      </c>
      <c r="G870" t="s">
        <v>843</v>
      </c>
      <c r="H870" s="3" t="s">
        <v>3095</v>
      </c>
      <c r="I870" s="3" t="s">
        <v>3096</v>
      </c>
      <c r="J870">
        <f t="shared" si="169"/>
        <v>1</v>
      </c>
      <c r="K870">
        <f t="shared" si="170"/>
        <v>1</v>
      </c>
      <c r="L870">
        <f t="shared" si="171"/>
        <v>1</v>
      </c>
      <c r="M870">
        <f t="shared" si="172"/>
        <v>0</v>
      </c>
      <c r="N870">
        <f t="shared" si="173"/>
        <v>1</v>
      </c>
      <c r="O870">
        <f t="shared" si="174"/>
        <v>0</v>
      </c>
      <c r="P870">
        <f t="shared" si="175"/>
        <v>0</v>
      </c>
      <c r="Q870">
        <f t="shared" si="176"/>
        <v>0</v>
      </c>
      <c r="R870">
        <v>0</v>
      </c>
      <c r="S870">
        <v>0</v>
      </c>
      <c r="T870">
        <v>1</v>
      </c>
      <c r="U870">
        <v>0</v>
      </c>
      <c r="V870">
        <v>1</v>
      </c>
      <c r="W870">
        <v>0</v>
      </c>
      <c r="X870">
        <v>0</v>
      </c>
      <c r="Y870">
        <v>0</v>
      </c>
      <c r="Z870">
        <v>0</v>
      </c>
      <c r="AA870">
        <v>0</v>
      </c>
      <c r="AB870">
        <v>1</v>
      </c>
      <c r="AC870">
        <v>0</v>
      </c>
      <c r="AD870">
        <v>0</v>
      </c>
      <c r="AE870">
        <v>0</v>
      </c>
      <c r="AF870">
        <v>0</v>
      </c>
      <c r="AG870">
        <v>0</v>
      </c>
      <c r="AH870">
        <v>1</v>
      </c>
      <c r="AI870">
        <v>0</v>
      </c>
      <c r="AJ870">
        <v>0</v>
      </c>
      <c r="AK870">
        <v>0</v>
      </c>
      <c r="AL870">
        <v>0</v>
      </c>
      <c r="AM870">
        <v>0</v>
      </c>
      <c r="AN870">
        <v>0</v>
      </c>
      <c r="AO870">
        <v>0</v>
      </c>
      <c r="AP870">
        <v>0</v>
      </c>
      <c r="AQ870">
        <v>0</v>
      </c>
      <c r="AR870">
        <v>0</v>
      </c>
      <c r="AS870">
        <f t="shared" si="177"/>
        <v>4</v>
      </c>
      <c r="AT870">
        <f t="shared" si="178"/>
        <v>4</v>
      </c>
      <c r="AU870" s="3" t="s">
        <v>3097</v>
      </c>
      <c r="AV870">
        <f t="shared" si="179"/>
        <v>1</v>
      </c>
      <c r="AW870">
        <f t="shared" si="180"/>
        <v>0</v>
      </c>
      <c r="AX870">
        <f t="shared" si="181"/>
        <v>0</v>
      </c>
      <c r="AY870">
        <v>-1.5</v>
      </c>
      <c r="AZ870" t="s">
        <v>133</v>
      </c>
      <c r="BA870" t="s">
        <v>134</v>
      </c>
      <c r="BB870" t="s">
        <v>8</v>
      </c>
    </row>
    <row r="871" ht="34" spans="1:54">
      <c r="A871" t="s">
        <v>3098</v>
      </c>
      <c r="B871" t="s">
        <v>2118</v>
      </c>
      <c r="C871" t="s">
        <v>56</v>
      </c>
      <c r="D871">
        <v>6</v>
      </c>
      <c r="E871">
        <v>0</v>
      </c>
      <c r="F871">
        <v>67.1</v>
      </c>
      <c r="G871" t="s">
        <v>3099</v>
      </c>
      <c r="H871" s="3" t="s">
        <v>3100</v>
      </c>
      <c r="I871" s="3" t="s">
        <v>3101</v>
      </c>
      <c r="J871">
        <f t="shared" si="169"/>
        <v>0</v>
      </c>
      <c r="K871">
        <f t="shared" si="170"/>
        <v>1</v>
      </c>
      <c r="L871">
        <f t="shared" si="171"/>
        <v>0</v>
      </c>
      <c r="M871">
        <f t="shared" si="172"/>
        <v>0</v>
      </c>
      <c r="N871">
        <f t="shared" si="173"/>
        <v>1</v>
      </c>
      <c r="O871">
        <f t="shared" si="174"/>
        <v>0</v>
      </c>
      <c r="P871">
        <f t="shared" si="175"/>
        <v>0</v>
      </c>
      <c r="Q871">
        <f t="shared" si="176"/>
        <v>0</v>
      </c>
      <c r="R871">
        <v>0</v>
      </c>
      <c r="S871">
        <v>0</v>
      </c>
      <c r="T871">
        <v>0</v>
      </c>
      <c r="U871">
        <v>0</v>
      </c>
      <c r="V871">
        <v>0</v>
      </c>
      <c r="W871">
        <v>1</v>
      </c>
      <c r="X871">
        <v>0</v>
      </c>
      <c r="Y871">
        <v>0</v>
      </c>
      <c r="Z871">
        <v>0</v>
      </c>
      <c r="AA871">
        <v>0</v>
      </c>
      <c r="AB871">
        <v>0</v>
      </c>
      <c r="AC871">
        <v>0</v>
      </c>
      <c r="AD871">
        <v>0</v>
      </c>
      <c r="AE871">
        <v>0</v>
      </c>
      <c r="AF871">
        <v>0</v>
      </c>
      <c r="AG871">
        <v>0</v>
      </c>
      <c r="AH871">
        <v>1</v>
      </c>
      <c r="AI871">
        <v>0</v>
      </c>
      <c r="AJ871">
        <v>0</v>
      </c>
      <c r="AK871">
        <v>0</v>
      </c>
      <c r="AL871">
        <v>0</v>
      </c>
      <c r="AM871">
        <v>0</v>
      </c>
      <c r="AN871">
        <v>0</v>
      </c>
      <c r="AO871">
        <v>0</v>
      </c>
      <c r="AP871">
        <v>0</v>
      </c>
      <c r="AQ871">
        <v>0</v>
      </c>
      <c r="AR871">
        <v>0</v>
      </c>
      <c r="AS871">
        <f t="shared" si="177"/>
        <v>2</v>
      </c>
      <c r="AT871">
        <f t="shared" si="178"/>
        <v>2</v>
      </c>
      <c r="AU871" s="3" t="s">
        <v>1780</v>
      </c>
      <c r="AV871">
        <f t="shared" si="179"/>
        <v>1</v>
      </c>
      <c r="AW871">
        <f t="shared" si="180"/>
        <v>0</v>
      </c>
      <c r="AX871">
        <f t="shared" si="181"/>
        <v>0</v>
      </c>
      <c r="AY871">
        <v>-2</v>
      </c>
      <c r="AZ871" t="s">
        <v>133</v>
      </c>
      <c r="BA871" t="s">
        <v>134</v>
      </c>
      <c r="BB871" t="s">
        <v>8</v>
      </c>
    </row>
    <row r="872" ht="34" spans="1:54">
      <c r="A872" t="s">
        <v>3102</v>
      </c>
      <c r="B872" t="s">
        <v>2118</v>
      </c>
      <c r="C872" t="s">
        <v>56</v>
      </c>
      <c r="D872">
        <v>0</v>
      </c>
      <c r="E872">
        <v>0</v>
      </c>
      <c r="F872">
        <v>36.9</v>
      </c>
      <c r="G872" t="s">
        <v>3103</v>
      </c>
      <c r="H872" s="3" t="s">
        <v>3104</v>
      </c>
      <c r="I872" s="3" t="s">
        <v>3105</v>
      </c>
      <c r="J872">
        <f t="shared" si="169"/>
        <v>0</v>
      </c>
      <c r="K872">
        <f t="shared" si="170"/>
        <v>0</v>
      </c>
      <c r="L872">
        <f t="shared" si="171"/>
        <v>0</v>
      </c>
      <c r="M872">
        <f t="shared" si="172"/>
        <v>0</v>
      </c>
      <c r="N872">
        <f t="shared" si="173"/>
        <v>0</v>
      </c>
      <c r="O872">
        <f t="shared" si="174"/>
        <v>1</v>
      </c>
      <c r="P872">
        <f t="shared" si="175"/>
        <v>0</v>
      </c>
      <c r="Q872">
        <f t="shared" si="176"/>
        <v>0</v>
      </c>
      <c r="R872">
        <v>0</v>
      </c>
      <c r="S872">
        <v>0</v>
      </c>
      <c r="T872">
        <v>0</v>
      </c>
      <c r="U872">
        <v>0</v>
      </c>
      <c r="V872">
        <v>0</v>
      </c>
      <c r="W872">
        <v>0</v>
      </c>
      <c r="X872">
        <v>0</v>
      </c>
      <c r="Y872">
        <v>0</v>
      </c>
      <c r="Z872">
        <v>0</v>
      </c>
      <c r="AA872">
        <v>0</v>
      </c>
      <c r="AB872">
        <v>0</v>
      </c>
      <c r="AC872">
        <v>0</v>
      </c>
      <c r="AD872">
        <v>0</v>
      </c>
      <c r="AE872">
        <v>0</v>
      </c>
      <c r="AF872">
        <v>0</v>
      </c>
      <c r="AG872">
        <v>0</v>
      </c>
      <c r="AH872">
        <v>0</v>
      </c>
      <c r="AI872">
        <v>1</v>
      </c>
      <c r="AJ872">
        <v>0</v>
      </c>
      <c r="AK872">
        <v>1</v>
      </c>
      <c r="AL872">
        <v>0</v>
      </c>
      <c r="AM872">
        <v>0</v>
      </c>
      <c r="AN872">
        <v>0</v>
      </c>
      <c r="AO872">
        <v>0</v>
      </c>
      <c r="AP872">
        <v>0</v>
      </c>
      <c r="AQ872">
        <v>0</v>
      </c>
      <c r="AR872">
        <v>0</v>
      </c>
      <c r="AS872">
        <f t="shared" si="177"/>
        <v>1</v>
      </c>
      <c r="AT872">
        <f t="shared" si="178"/>
        <v>2</v>
      </c>
      <c r="AU872" s="3" t="s">
        <v>3106</v>
      </c>
      <c r="AV872">
        <f t="shared" si="179"/>
        <v>1</v>
      </c>
      <c r="AW872">
        <f t="shared" si="180"/>
        <v>0</v>
      </c>
      <c r="AX872">
        <f t="shared" si="181"/>
        <v>0</v>
      </c>
      <c r="AY872">
        <v>-0.5</v>
      </c>
      <c r="AZ872" t="s">
        <v>133</v>
      </c>
      <c r="BA872" t="s">
        <v>134</v>
      </c>
      <c r="BB872" t="s">
        <v>8</v>
      </c>
    </row>
    <row r="873" ht="101" spans="1:54">
      <c r="A873" t="s">
        <v>3107</v>
      </c>
      <c r="B873" t="s">
        <v>2118</v>
      </c>
      <c r="C873" t="s">
        <v>56</v>
      </c>
      <c r="D873">
        <v>2</v>
      </c>
      <c r="E873">
        <v>0</v>
      </c>
      <c r="F873">
        <v>71.7</v>
      </c>
      <c r="G873" t="s">
        <v>3108</v>
      </c>
      <c r="H873" s="3" t="s">
        <v>3109</v>
      </c>
      <c r="I873" s="3" t="s">
        <v>3110</v>
      </c>
      <c r="J873">
        <f t="shared" si="169"/>
        <v>1</v>
      </c>
      <c r="K873">
        <f t="shared" si="170"/>
        <v>0</v>
      </c>
      <c r="L873">
        <f t="shared" si="171"/>
        <v>0</v>
      </c>
      <c r="M873">
        <f t="shared" si="172"/>
        <v>0</v>
      </c>
      <c r="N873">
        <f t="shared" si="173"/>
        <v>1</v>
      </c>
      <c r="O873">
        <f t="shared" si="174"/>
        <v>1</v>
      </c>
      <c r="P873">
        <f t="shared" si="175"/>
        <v>0</v>
      </c>
      <c r="Q873">
        <f t="shared" si="176"/>
        <v>0</v>
      </c>
      <c r="R873">
        <v>0</v>
      </c>
      <c r="S873">
        <v>0</v>
      </c>
      <c r="T873">
        <v>1</v>
      </c>
      <c r="U873">
        <v>0</v>
      </c>
      <c r="V873">
        <v>0</v>
      </c>
      <c r="W873">
        <v>0</v>
      </c>
      <c r="X873">
        <v>0</v>
      </c>
      <c r="Y873">
        <v>0</v>
      </c>
      <c r="Z873">
        <v>0</v>
      </c>
      <c r="AA873">
        <v>0</v>
      </c>
      <c r="AB873">
        <v>0</v>
      </c>
      <c r="AC873">
        <v>0</v>
      </c>
      <c r="AD873">
        <v>0</v>
      </c>
      <c r="AE873">
        <v>0</v>
      </c>
      <c r="AF873">
        <v>0</v>
      </c>
      <c r="AG873">
        <v>0</v>
      </c>
      <c r="AH873">
        <v>1</v>
      </c>
      <c r="AI873">
        <v>1</v>
      </c>
      <c r="AJ873">
        <v>0</v>
      </c>
      <c r="AK873">
        <v>1</v>
      </c>
      <c r="AL873">
        <v>0</v>
      </c>
      <c r="AM873">
        <v>0</v>
      </c>
      <c r="AN873">
        <v>0</v>
      </c>
      <c r="AO873">
        <v>0</v>
      </c>
      <c r="AP873">
        <v>0</v>
      </c>
      <c r="AQ873">
        <v>0</v>
      </c>
      <c r="AR873">
        <v>0</v>
      </c>
      <c r="AS873">
        <f t="shared" si="177"/>
        <v>3</v>
      </c>
      <c r="AT873">
        <f t="shared" si="178"/>
        <v>4</v>
      </c>
      <c r="AU873" s="3" t="s">
        <v>3111</v>
      </c>
      <c r="AV873">
        <f t="shared" si="179"/>
        <v>1</v>
      </c>
      <c r="AW873">
        <f t="shared" si="180"/>
        <v>0</v>
      </c>
      <c r="AX873">
        <f t="shared" si="181"/>
        <v>0</v>
      </c>
      <c r="AY873">
        <v>8</v>
      </c>
      <c r="AZ873" t="s">
        <v>60</v>
      </c>
      <c r="BA873" t="s">
        <v>61</v>
      </c>
      <c r="BB873" t="s">
        <v>8</v>
      </c>
    </row>
    <row r="874" ht="219" spans="1:54">
      <c r="A874" t="s">
        <v>3112</v>
      </c>
      <c r="B874" t="s">
        <v>2118</v>
      </c>
      <c r="C874" t="s">
        <v>56</v>
      </c>
      <c r="D874">
        <v>0</v>
      </c>
      <c r="E874">
        <v>0</v>
      </c>
      <c r="F874">
        <v>52.2</v>
      </c>
      <c r="G874" t="s">
        <v>3108</v>
      </c>
      <c r="H874" s="3" t="s">
        <v>3113</v>
      </c>
      <c r="I874" s="3" t="s">
        <v>3114</v>
      </c>
      <c r="J874">
        <f t="shared" si="169"/>
        <v>1</v>
      </c>
      <c r="K874">
        <f t="shared" si="170"/>
        <v>0</v>
      </c>
      <c r="L874">
        <f t="shared" si="171"/>
        <v>0</v>
      </c>
      <c r="M874">
        <f t="shared" si="172"/>
        <v>0</v>
      </c>
      <c r="N874">
        <f t="shared" si="173"/>
        <v>1</v>
      </c>
      <c r="O874">
        <f t="shared" si="174"/>
        <v>1</v>
      </c>
      <c r="P874">
        <f t="shared" si="175"/>
        <v>0</v>
      </c>
      <c r="Q874">
        <f t="shared" si="176"/>
        <v>0</v>
      </c>
      <c r="R874">
        <v>1</v>
      </c>
      <c r="S874">
        <v>0</v>
      </c>
      <c r="T874">
        <v>0</v>
      </c>
      <c r="U874">
        <v>0</v>
      </c>
      <c r="V874">
        <v>0</v>
      </c>
      <c r="W874">
        <v>0</v>
      </c>
      <c r="X874">
        <v>0</v>
      </c>
      <c r="Y874">
        <v>0</v>
      </c>
      <c r="Z874">
        <v>0</v>
      </c>
      <c r="AA874">
        <v>0</v>
      </c>
      <c r="AB874">
        <v>0</v>
      </c>
      <c r="AC874">
        <v>0</v>
      </c>
      <c r="AD874">
        <v>0</v>
      </c>
      <c r="AE874">
        <v>0</v>
      </c>
      <c r="AF874">
        <v>0</v>
      </c>
      <c r="AG874">
        <v>0</v>
      </c>
      <c r="AH874">
        <v>1</v>
      </c>
      <c r="AI874">
        <v>1</v>
      </c>
      <c r="AJ874">
        <v>0</v>
      </c>
      <c r="AK874">
        <v>0</v>
      </c>
      <c r="AL874">
        <v>0</v>
      </c>
      <c r="AM874">
        <v>0</v>
      </c>
      <c r="AN874">
        <v>0</v>
      </c>
      <c r="AO874">
        <v>0</v>
      </c>
      <c r="AP874">
        <v>0</v>
      </c>
      <c r="AQ874">
        <v>0</v>
      </c>
      <c r="AR874">
        <v>0</v>
      </c>
      <c r="AS874">
        <f t="shared" si="177"/>
        <v>3</v>
      </c>
      <c r="AT874">
        <f t="shared" si="178"/>
        <v>3</v>
      </c>
      <c r="AU874" s="3" t="s">
        <v>3115</v>
      </c>
      <c r="AV874">
        <f t="shared" si="179"/>
        <v>1</v>
      </c>
      <c r="AW874">
        <f t="shared" si="180"/>
        <v>0</v>
      </c>
      <c r="AX874">
        <f t="shared" si="181"/>
        <v>0</v>
      </c>
      <c r="AY874">
        <v>2</v>
      </c>
      <c r="AZ874" t="s">
        <v>60</v>
      </c>
      <c r="BA874" t="s">
        <v>61</v>
      </c>
      <c r="BB874" t="s">
        <v>8</v>
      </c>
    </row>
    <row r="875" ht="34" spans="1:54">
      <c r="A875" t="s">
        <v>3116</v>
      </c>
      <c r="B875" t="s">
        <v>2118</v>
      </c>
      <c r="C875" t="s">
        <v>116</v>
      </c>
      <c r="D875">
        <v>4</v>
      </c>
      <c r="E875">
        <v>0</v>
      </c>
      <c r="F875">
        <v>13.3</v>
      </c>
      <c r="G875" t="s">
        <v>3117</v>
      </c>
      <c r="H875" s="3" t="s">
        <v>3118</v>
      </c>
      <c r="I875" s="3" t="s">
        <v>3119</v>
      </c>
      <c r="J875">
        <f t="shared" si="169"/>
        <v>1</v>
      </c>
      <c r="K875">
        <f t="shared" si="170"/>
        <v>1</v>
      </c>
      <c r="L875">
        <f t="shared" si="171"/>
        <v>1</v>
      </c>
      <c r="M875">
        <f t="shared" si="172"/>
        <v>0</v>
      </c>
      <c r="N875">
        <f t="shared" si="173"/>
        <v>0</v>
      </c>
      <c r="O875">
        <f t="shared" si="174"/>
        <v>0</v>
      </c>
      <c r="P875">
        <f t="shared" si="175"/>
        <v>0</v>
      </c>
      <c r="Q875">
        <f t="shared" si="176"/>
        <v>0</v>
      </c>
      <c r="R875">
        <v>1</v>
      </c>
      <c r="S875">
        <v>0</v>
      </c>
      <c r="T875">
        <v>0</v>
      </c>
      <c r="U875">
        <v>1</v>
      </c>
      <c r="V875">
        <v>1</v>
      </c>
      <c r="W875">
        <v>0</v>
      </c>
      <c r="X875">
        <v>0</v>
      </c>
      <c r="Y875">
        <v>0</v>
      </c>
      <c r="Z875">
        <v>0</v>
      </c>
      <c r="AA875">
        <v>0</v>
      </c>
      <c r="AB875">
        <v>0</v>
      </c>
      <c r="AC875">
        <v>1</v>
      </c>
      <c r="AD875">
        <v>0</v>
      </c>
      <c r="AE875">
        <v>0</v>
      </c>
      <c r="AF875">
        <v>0</v>
      </c>
      <c r="AG875">
        <v>0</v>
      </c>
      <c r="AH875">
        <v>0</v>
      </c>
      <c r="AI875">
        <v>0</v>
      </c>
      <c r="AJ875">
        <v>0</v>
      </c>
      <c r="AK875">
        <v>0</v>
      </c>
      <c r="AL875">
        <v>0</v>
      </c>
      <c r="AM875">
        <v>0</v>
      </c>
      <c r="AN875">
        <v>0</v>
      </c>
      <c r="AO875">
        <v>0</v>
      </c>
      <c r="AP875">
        <v>0</v>
      </c>
      <c r="AQ875">
        <v>0</v>
      </c>
      <c r="AR875">
        <v>0</v>
      </c>
      <c r="AS875">
        <f t="shared" si="177"/>
        <v>3</v>
      </c>
      <c r="AT875">
        <f t="shared" si="178"/>
        <v>4</v>
      </c>
      <c r="AU875" s="3" t="s">
        <v>3120</v>
      </c>
      <c r="AV875">
        <f t="shared" si="179"/>
        <v>1</v>
      </c>
      <c r="AW875">
        <f t="shared" si="180"/>
        <v>0</v>
      </c>
      <c r="AX875">
        <f t="shared" si="181"/>
        <v>0</v>
      </c>
      <c r="AY875">
        <v>2</v>
      </c>
      <c r="AZ875" t="s">
        <v>60</v>
      </c>
      <c r="BA875" t="s">
        <v>61</v>
      </c>
      <c r="BB875" t="s">
        <v>8</v>
      </c>
    </row>
    <row r="876" ht="84" spans="1:54">
      <c r="A876" t="s">
        <v>3121</v>
      </c>
      <c r="B876" t="s">
        <v>2118</v>
      </c>
      <c r="C876" t="s">
        <v>56</v>
      </c>
      <c r="D876">
        <v>0</v>
      </c>
      <c r="E876">
        <v>0</v>
      </c>
      <c r="F876">
        <v>1.7</v>
      </c>
      <c r="G876" t="s">
        <v>3122</v>
      </c>
      <c r="H876" s="3" t="s">
        <v>3123</v>
      </c>
      <c r="I876" s="3" t="s">
        <v>3124</v>
      </c>
      <c r="J876">
        <f t="shared" si="169"/>
        <v>0</v>
      </c>
      <c r="K876">
        <f t="shared" si="170"/>
        <v>1</v>
      </c>
      <c r="L876">
        <f t="shared" si="171"/>
        <v>1</v>
      </c>
      <c r="M876">
        <f t="shared" si="172"/>
        <v>0</v>
      </c>
      <c r="N876">
        <f t="shared" si="173"/>
        <v>1</v>
      </c>
      <c r="O876">
        <f t="shared" si="174"/>
        <v>0</v>
      </c>
      <c r="P876">
        <f t="shared" si="175"/>
        <v>0</v>
      </c>
      <c r="Q876">
        <f t="shared" si="176"/>
        <v>0</v>
      </c>
      <c r="R876">
        <v>0</v>
      </c>
      <c r="S876">
        <v>0</v>
      </c>
      <c r="T876">
        <v>0</v>
      </c>
      <c r="U876">
        <v>0</v>
      </c>
      <c r="V876">
        <v>1</v>
      </c>
      <c r="W876">
        <v>1</v>
      </c>
      <c r="X876">
        <v>0</v>
      </c>
      <c r="Y876">
        <v>0</v>
      </c>
      <c r="Z876">
        <v>0</v>
      </c>
      <c r="AA876">
        <v>0</v>
      </c>
      <c r="AB876">
        <v>0</v>
      </c>
      <c r="AC876">
        <v>1</v>
      </c>
      <c r="AD876">
        <v>0</v>
      </c>
      <c r="AE876">
        <v>0</v>
      </c>
      <c r="AF876">
        <v>0</v>
      </c>
      <c r="AG876">
        <v>0</v>
      </c>
      <c r="AH876">
        <v>1</v>
      </c>
      <c r="AI876">
        <v>0</v>
      </c>
      <c r="AJ876">
        <v>0</v>
      </c>
      <c r="AK876">
        <v>0</v>
      </c>
      <c r="AL876">
        <v>0</v>
      </c>
      <c r="AM876">
        <v>0</v>
      </c>
      <c r="AN876">
        <v>0</v>
      </c>
      <c r="AO876">
        <v>0</v>
      </c>
      <c r="AP876">
        <v>0</v>
      </c>
      <c r="AQ876">
        <v>0</v>
      </c>
      <c r="AR876">
        <v>0</v>
      </c>
      <c r="AS876">
        <f t="shared" si="177"/>
        <v>3</v>
      </c>
      <c r="AT876">
        <f t="shared" si="178"/>
        <v>4</v>
      </c>
      <c r="AU876" s="3" t="s">
        <v>2529</v>
      </c>
      <c r="AV876">
        <f t="shared" si="179"/>
        <v>1</v>
      </c>
      <c r="AW876">
        <f t="shared" si="180"/>
        <v>0</v>
      </c>
      <c r="AX876">
        <f t="shared" si="181"/>
        <v>0</v>
      </c>
      <c r="AY876">
        <v>5</v>
      </c>
      <c r="AZ876" t="s">
        <v>60</v>
      </c>
      <c r="BA876" t="s">
        <v>61</v>
      </c>
      <c r="BB876" t="s">
        <v>8</v>
      </c>
    </row>
    <row r="877" ht="34" spans="1:54">
      <c r="A877" t="s">
        <v>3125</v>
      </c>
      <c r="B877" t="s">
        <v>2118</v>
      </c>
      <c r="C877" t="s">
        <v>56</v>
      </c>
      <c r="D877">
        <v>2</v>
      </c>
      <c r="E877">
        <v>0</v>
      </c>
      <c r="F877">
        <v>51.4</v>
      </c>
      <c r="G877" t="s">
        <v>3126</v>
      </c>
      <c r="H877" s="3" t="s">
        <v>3127</v>
      </c>
      <c r="I877" s="3" t="s">
        <v>3128</v>
      </c>
      <c r="J877">
        <f t="shared" si="169"/>
        <v>1</v>
      </c>
      <c r="K877">
        <f t="shared" si="170"/>
        <v>1</v>
      </c>
      <c r="L877">
        <f t="shared" si="171"/>
        <v>0</v>
      </c>
      <c r="M877">
        <f t="shared" si="172"/>
        <v>0</v>
      </c>
      <c r="N877">
        <f t="shared" si="173"/>
        <v>0</v>
      </c>
      <c r="O877">
        <f t="shared" si="174"/>
        <v>0</v>
      </c>
      <c r="P877">
        <f t="shared" si="175"/>
        <v>0</v>
      </c>
      <c r="Q877">
        <f t="shared" si="176"/>
        <v>0</v>
      </c>
      <c r="R877">
        <v>0</v>
      </c>
      <c r="S877">
        <v>0</v>
      </c>
      <c r="T877">
        <v>1</v>
      </c>
      <c r="U877">
        <v>0</v>
      </c>
      <c r="V877">
        <v>1</v>
      </c>
      <c r="W877">
        <v>0</v>
      </c>
      <c r="X877">
        <v>0</v>
      </c>
      <c r="Y877">
        <v>0</v>
      </c>
      <c r="Z877">
        <v>0</v>
      </c>
      <c r="AA877">
        <v>0</v>
      </c>
      <c r="AB877">
        <v>0</v>
      </c>
      <c r="AC877">
        <v>0</v>
      </c>
      <c r="AD877">
        <v>0</v>
      </c>
      <c r="AE877">
        <v>0</v>
      </c>
      <c r="AF877">
        <v>0</v>
      </c>
      <c r="AG877">
        <v>0</v>
      </c>
      <c r="AH877">
        <v>0</v>
      </c>
      <c r="AI877">
        <v>0</v>
      </c>
      <c r="AJ877">
        <v>0</v>
      </c>
      <c r="AK877">
        <v>0</v>
      </c>
      <c r="AL877">
        <v>0</v>
      </c>
      <c r="AM877">
        <v>0</v>
      </c>
      <c r="AN877">
        <v>0</v>
      </c>
      <c r="AO877">
        <v>0</v>
      </c>
      <c r="AP877">
        <v>0</v>
      </c>
      <c r="AQ877">
        <v>0</v>
      </c>
      <c r="AR877">
        <v>0</v>
      </c>
      <c r="AS877">
        <f t="shared" si="177"/>
        <v>2</v>
      </c>
      <c r="AT877">
        <f t="shared" si="178"/>
        <v>2</v>
      </c>
      <c r="AU877" s="3" t="s">
        <v>3129</v>
      </c>
      <c r="AV877">
        <f t="shared" si="179"/>
        <v>1</v>
      </c>
      <c r="AW877">
        <f t="shared" si="180"/>
        <v>0</v>
      </c>
      <c r="AX877">
        <f t="shared" si="181"/>
        <v>0</v>
      </c>
      <c r="AY877">
        <v>3</v>
      </c>
      <c r="AZ877" t="s">
        <v>60</v>
      </c>
      <c r="BA877" t="s">
        <v>61</v>
      </c>
      <c r="BB877" t="s">
        <v>8</v>
      </c>
    </row>
    <row r="878" ht="34" spans="1:54">
      <c r="A878" t="s">
        <v>3130</v>
      </c>
      <c r="B878" t="s">
        <v>2118</v>
      </c>
      <c r="C878" t="s">
        <v>56</v>
      </c>
      <c r="D878">
        <v>31</v>
      </c>
      <c r="E878">
        <v>23</v>
      </c>
      <c r="F878">
        <v>85.8</v>
      </c>
      <c r="G878" t="s">
        <v>577</v>
      </c>
      <c r="H878" s="3" t="s">
        <v>3131</v>
      </c>
      <c r="I878" s="3" t="s">
        <v>3132</v>
      </c>
      <c r="J878">
        <f t="shared" si="169"/>
        <v>0</v>
      </c>
      <c r="K878">
        <f t="shared" si="170"/>
        <v>0</v>
      </c>
      <c r="L878">
        <f t="shared" si="171"/>
        <v>0</v>
      </c>
      <c r="M878">
        <f t="shared" si="172"/>
        <v>0</v>
      </c>
      <c r="N878">
        <f t="shared" si="173"/>
        <v>0</v>
      </c>
      <c r="O878">
        <f t="shared" si="174"/>
        <v>0</v>
      </c>
      <c r="P878">
        <f t="shared" si="175"/>
        <v>0</v>
      </c>
      <c r="Q878">
        <f t="shared" si="176"/>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0</v>
      </c>
      <c r="AO878">
        <v>0</v>
      </c>
      <c r="AP878">
        <v>0</v>
      </c>
      <c r="AQ878">
        <v>0</v>
      </c>
      <c r="AR878">
        <v>0</v>
      </c>
      <c r="AS878">
        <f t="shared" si="177"/>
        <v>0</v>
      </c>
      <c r="AT878">
        <f t="shared" si="178"/>
        <v>0</v>
      </c>
      <c r="AU878" s="3" t="s">
        <v>118</v>
      </c>
      <c r="AV878">
        <f t="shared" si="179"/>
        <v>0</v>
      </c>
      <c r="AW878">
        <f t="shared" si="180"/>
        <v>1</v>
      </c>
      <c r="AX878">
        <f t="shared" si="181"/>
        <v>0</v>
      </c>
      <c r="AY878">
        <v>0</v>
      </c>
      <c r="AZ878" t="s">
        <v>147</v>
      </c>
      <c r="BA878" t="s">
        <v>148</v>
      </c>
      <c r="BB878" t="s">
        <v>8</v>
      </c>
    </row>
    <row r="879" ht="34" spans="1:54">
      <c r="A879" t="s">
        <v>3133</v>
      </c>
      <c r="B879" t="s">
        <v>2118</v>
      </c>
      <c r="C879" t="s">
        <v>56</v>
      </c>
      <c r="D879">
        <v>0</v>
      </c>
      <c r="E879">
        <v>0</v>
      </c>
      <c r="F879">
        <v>29.4</v>
      </c>
      <c r="G879" t="s">
        <v>3134</v>
      </c>
      <c r="H879" s="3" t="s">
        <v>3135</v>
      </c>
      <c r="I879" s="3" t="s">
        <v>3136</v>
      </c>
      <c r="J879">
        <f t="shared" si="169"/>
        <v>1</v>
      </c>
      <c r="K879">
        <f t="shared" si="170"/>
        <v>0</v>
      </c>
      <c r="L879">
        <f t="shared" si="171"/>
        <v>0</v>
      </c>
      <c r="M879">
        <f t="shared" si="172"/>
        <v>0</v>
      </c>
      <c r="N879">
        <f t="shared" si="173"/>
        <v>1</v>
      </c>
      <c r="O879">
        <f t="shared" si="174"/>
        <v>0</v>
      </c>
      <c r="P879">
        <f t="shared" si="175"/>
        <v>0</v>
      </c>
      <c r="Q879">
        <f t="shared" si="176"/>
        <v>0</v>
      </c>
      <c r="R879">
        <v>1</v>
      </c>
      <c r="S879">
        <v>0</v>
      </c>
      <c r="T879">
        <v>0</v>
      </c>
      <c r="U879">
        <v>0</v>
      </c>
      <c r="V879">
        <v>0</v>
      </c>
      <c r="W879">
        <v>0</v>
      </c>
      <c r="X879">
        <v>0</v>
      </c>
      <c r="Y879">
        <v>0</v>
      </c>
      <c r="Z879">
        <v>0</v>
      </c>
      <c r="AA879">
        <v>0</v>
      </c>
      <c r="AB879">
        <v>0</v>
      </c>
      <c r="AC879">
        <v>0</v>
      </c>
      <c r="AD879">
        <v>0</v>
      </c>
      <c r="AE879">
        <v>0</v>
      </c>
      <c r="AF879">
        <v>0</v>
      </c>
      <c r="AG879">
        <v>0</v>
      </c>
      <c r="AH879">
        <v>1</v>
      </c>
      <c r="AI879">
        <v>0</v>
      </c>
      <c r="AJ879">
        <v>0</v>
      </c>
      <c r="AK879">
        <v>0</v>
      </c>
      <c r="AL879">
        <v>0</v>
      </c>
      <c r="AM879">
        <v>0</v>
      </c>
      <c r="AN879">
        <v>0</v>
      </c>
      <c r="AO879">
        <v>0</v>
      </c>
      <c r="AP879">
        <v>0</v>
      </c>
      <c r="AQ879">
        <v>0</v>
      </c>
      <c r="AR879">
        <v>0</v>
      </c>
      <c r="AS879">
        <f t="shared" si="177"/>
        <v>2</v>
      </c>
      <c r="AT879">
        <f t="shared" si="178"/>
        <v>2</v>
      </c>
      <c r="AU879" s="3" t="s">
        <v>1596</v>
      </c>
      <c r="AV879">
        <f t="shared" si="179"/>
        <v>1</v>
      </c>
      <c r="AW879">
        <f t="shared" si="180"/>
        <v>0</v>
      </c>
      <c r="AX879">
        <f t="shared" si="181"/>
        <v>0</v>
      </c>
      <c r="AY879">
        <v>3</v>
      </c>
      <c r="AZ879" t="s">
        <v>60</v>
      </c>
      <c r="BA879" t="s">
        <v>61</v>
      </c>
      <c r="BB879" t="s">
        <v>8</v>
      </c>
    </row>
    <row r="880" ht="152" spans="1:54">
      <c r="A880" t="s">
        <v>3137</v>
      </c>
      <c r="B880" t="s">
        <v>2118</v>
      </c>
      <c r="C880" t="s">
        <v>56</v>
      </c>
      <c r="D880">
        <v>3</v>
      </c>
      <c r="E880">
        <v>2</v>
      </c>
      <c r="F880">
        <v>44.5</v>
      </c>
      <c r="G880" t="s">
        <v>3138</v>
      </c>
      <c r="H880" s="3" t="s">
        <v>3139</v>
      </c>
      <c r="I880" s="3" t="s">
        <v>3140</v>
      </c>
      <c r="J880">
        <f t="shared" si="169"/>
        <v>0</v>
      </c>
      <c r="K880">
        <f t="shared" si="170"/>
        <v>1</v>
      </c>
      <c r="L880">
        <f t="shared" si="171"/>
        <v>1</v>
      </c>
      <c r="M880">
        <f t="shared" si="172"/>
        <v>0</v>
      </c>
      <c r="N880">
        <f t="shared" si="173"/>
        <v>0</v>
      </c>
      <c r="O880">
        <f t="shared" si="174"/>
        <v>0</v>
      </c>
      <c r="P880">
        <f t="shared" si="175"/>
        <v>0</v>
      </c>
      <c r="Q880">
        <f t="shared" si="176"/>
        <v>0</v>
      </c>
      <c r="R880">
        <v>0</v>
      </c>
      <c r="S880">
        <v>0</v>
      </c>
      <c r="T880">
        <v>0</v>
      </c>
      <c r="U880">
        <v>0</v>
      </c>
      <c r="V880">
        <v>1</v>
      </c>
      <c r="W880">
        <v>0</v>
      </c>
      <c r="X880">
        <v>0</v>
      </c>
      <c r="Y880">
        <v>0</v>
      </c>
      <c r="Z880">
        <v>1</v>
      </c>
      <c r="AA880">
        <v>0</v>
      </c>
      <c r="AB880">
        <v>0</v>
      </c>
      <c r="AC880">
        <v>1</v>
      </c>
      <c r="AD880">
        <v>0</v>
      </c>
      <c r="AE880">
        <v>0</v>
      </c>
      <c r="AF880">
        <v>0</v>
      </c>
      <c r="AG880">
        <v>0</v>
      </c>
      <c r="AH880">
        <v>0</v>
      </c>
      <c r="AI880">
        <v>0</v>
      </c>
      <c r="AJ880">
        <v>0</v>
      </c>
      <c r="AK880">
        <v>0</v>
      </c>
      <c r="AL880">
        <v>0</v>
      </c>
      <c r="AM880">
        <v>0</v>
      </c>
      <c r="AN880">
        <v>0</v>
      </c>
      <c r="AO880">
        <v>0</v>
      </c>
      <c r="AP880">
        <v>0</v>
      </c>
      <c r="AQ880">
        <v>0</v>
      </c>
      <c r="AR880">
        <v>0</v>
      </c>
      <c r="AS880">
        <f t="shared" si="177"/>
        <v>2</v>
      </c>
      <c r="AT880">
        <f t="shared" si="178"/>
        <v>3</v>
      </c>
      <c r="AU880" s="3" t="s">
        <v>1344</v>
      </c>
      <c r="AV880">
        <f t="shared" si="179"/>
        <v>1</v>
      </c>
      <c r="AW880">
        <f t="shared" si="180"/>
        <v>0</v>
      </c>
      <c r="AX880">
        <f t="shared" si="181"/>
        <v>0</v>
      </c>
      <c r="AY880">
        <v>3.5</v>
      </c>
      <c r="AZ880" t="s">
        <v>60</v>
      </c>
      <c r="BA880" t="s">
        <v>61</v>
      </c>
      <c r="BB880" t="s">
        <v>8</v>
      </c>
    </row>
    <row r="881" ht="68" spans="1:54">
      <c r="A881" t="s">
        <v>3141</v>
      </c>
      <c r="B881" t="s">
        <v>2118</v>
      </c>
      <c r="C881" t="s">
        <v>56</v>
      </c>
      <c r="D881">
        <v>0</v>
      </c>
      <c r="E881">
        <v>0</v>
      </c>
      <c r="F881">
        <v>117.4</v>
      </c>
      <c r="G881" t="s">
        <v>3142</v>
      </c>
      <c r="H881" s="3" t="s">
        <v>3143</v>
      </c>
      <c r="I881" s="3" t="s">
        <v>3144</v>
      </c>
      <c r="J881">
        <f t="shared" si="169"/>
        <v>1</v>
      </c>
      <c r="K881">
        <f t="shared" si="170"/>
        <v>1</v>
      </c>
      <c r="L881">
        <f t="shared" si="171"/>
        <v>0</v>
      </c>
      <c r="M881">
        <f t="shared" si="172"/>
        <v>0</v>
      </c>
      <c r="N881">
        <f t="shared" si="173"/>
        <v>0</v>
      </c>
      <c r="O881">
        <f t="shared" si="174"/>
        <v>1</v>
      </c>
      <c r="P881">
        <f t="shared" si="175"/>
        <v>0</v>
      </c>
      <c r="Q881">
        <f t="shared" si="176"/>
        <v>0</v>
      </c>
      <c r="R881">
        <v>1</v>
      </c>
      <c r="S881">
        <v>1</v>
      </c>
      <c r="T881">
        <v>1</v>
      </c>
      <c r="U881">
        <v>1</v>
      </c>
      <c r="V881">
        <v>0</v>
      </c>
      <c r="W881">
        <v>0</v>
      </c>
      <c r="X881">
        <v>0</v>
      </c>
      <c r="Y881">
        <v>0</v>
      </c>
      <c r="Z881">
        <v>0</v>
      </c>
      <c r="AA881">
        <v>0</v>
      </c>
      <c r="AB881">
        <v>0</v>
      </c>
      <c r="AC881">
        <v>0</v>
      </c>
      <c r="AD881">
        <v>0</v>
      </c>
      <c r="AE881">
        <v>0</v>
      </c>
      <c r="AF881">
        <v>0</v>
      </c>
      <c r="AG881">
        <v>0</v>
      </c>
      <c r="AH881">
        <v>0</v>
      </c>
      <c r="AI881">
        <v>0</v>
      </c>
      <c r="AJ881">
        <v>0</v>
      </c>
      <c r="AK881">
        <v>1</v>
      </c>
      <c r="AL881">
        <v>0</v>
      </c>
      <c r="AM881">
        <v>0</v>
      </c>
      <c r="AN881">
        <v>0</v>
      </c>
      <c r="AO881">
        <v>0</v>
      </c>
      <c r="AP881">
        <v>0</v>
      </c>
      <c r="AQ881">
        <v>0</v>
      </c>
      <c r="AR881">
        <v>0</v>
      </c>
      <c r="AS881">
        <f t="shared" si="177"/>
        <v>3</v>
      </c>
      <c r="AT881">
        <f t="shared" si="178"/>
        <v>5</v>
      </c>
      <c r="AU881" s="3" t="s">
        <v>3145</v>
      </c>
      <c r="AV881">
        <f t="shared" si="179"/>
        <v>1</v>
      </c>
      <c r="AW881">
        <f t="shared" si="180"/>
        <v>0</v>
      </c>
      <c r="AX881">
        <f t="shared" si="181"/>
        <v>0</v>
      </c>
      <c r="AY881">
        <v>-0.5</v>
      </c>
      <c r="AZ881" t="s">
        <v>133</v>
      </c>
      <c r="BA881" t="s">
        <v>134</v>
      </c>
      <c r="BB881" t="s">
        <v>8</v>
      </c>
    </row>
    <row r="882" ht="51" spans="1:54">
      <c r="A882" t="s">
        <v>3146</v>
      </c>
      <c r="B882" t="s">
        <v>2118</v>
      </c>
      <c r="C882" t="s">
        <v>56</v>
      </c>
      <c r="D882">
        <v>0</v>
      </c>
      <c r="E882">
        <v>0</v>
      </c>
      <c r="F882">
        <v>60.9</v>
      </c>
      <c r="G882" t="s">
        <v>3147</v>
      </c>
      <c r="H882" s="3" t="s">
        <v>3148</v>
      </c>
      <c r="I882" s="3" t="s">
        <v>3149</v>
      </c>
      <c r="J882">
        <f t="shared" si="169"/>
        <v>0</v>
      </c>
      <c r="K882">
        <f t="shared" si="170"/>
        <v>0</v>
      </c>
      <c r="L882">
        <f t="shared" si="171"/>
        <v>1</v>
      </c>
      <c r="M882">
        <f t="shared" si="172"/>
        <v>0</v>
      </c>
      <c r="N882">
        <f t="shared" si="173"/>
        <v>0</v>
      </c>
      <c r="O882">
        <f t="shared" si="174"/>
        <v>0</v>
      </c>
      <c r="P882">
        <f t="shared" si="175"/>
        <v>0</v>
      </c>
      <c r="Q882">
        <f t="shared" si="176"/>
        <v>0</v>
      </c>
      <c r="R882">
        <v>0</v>
      </c>
      <c r="S882">
        <v>0</v>
      </c>
      <c r="T882">
        <v>0</v>
      </c>
      <c r="U882">
        <v>0</v>
      </c>
      <c r="V882">
        <v>0</v>
      </c>
      <c r="W882">
        <v>0</v>
      </c>
      <c r="X882">
        <v>0</v>
      </c>
      <c r="Y882">
        <v>0</v>
      </c>
      <c r="Z882">
        <v>0</v>
      </c>
      <c r="AA882">
        <v>0</v>
      </c>
      <c r="AB882">
        <v>0</v>
      </c>
      <c r="AC882">
        <v>1</v>
      </c>
      <c r="AD882">
        <v>0</v>
      </c>
      <c r="AE882">
        <v>0</v>
      </c>
      <c r="AF882">
        <v>0</v>
      </c>
      <c r="AG882">
        <v>0</v>
      </c>
      <c r="AH882">
        <v>0</v>
      </c>
      <c r="AI882">
        <v>0</v>
      </c>
      <c r="AJ882">
        <v>0</v>
      </c>
      <c r="AK882">
        <v>0</v>
      </c>
      <c r="AL882">
        <v>0</v>
      </c>
      <c r="AM882">
        <v>0</v>
      </c>
      <c r="AN882">
        <v>0</v>
      </c>
      <c r="AO882">
        <v>0</v>
      </c>
      <c r="AP882">
        <v>0</v>
      </c>
      <c r="AQ882">
        <v>0</v>
      </c>
      <c r="AR882">
        <v>0</v>
      </c>
      <c r="AS882">
        <f t="shared" si="177"/>
        <v>1</v>
      </c>
      <c r="AT882">
        <f t="shared" si="178"/>
        <v>1</v>
      </c>
      <c r="AU882" s="3" t="s">
        <v>3150</v>
      </c>
      <c r="AV882">
        <f t="shared" si="179"/>
        <v>1</v>
      </c>
      <c r="AW882">
        <f t="shared" si="180"/>
        <v>0</v>
      </c>
      <c r="AX882">
        <f t="shared" si="181"/>
        <v>0</v>
      </c>
      <c r="AY882">
        <v>2.5</v>
      </c>
      <c r="AZ882" t="s">
        <v>60</v>
      </c>
      <c r="BA882" t="s">
        <v>61</v>
      </c>
      <c r="BB882" t="s">
        <v>8</v>
      </c>
    </row>
    <row r="883" ht="51" spans="1:54">
      <c r="A883" t="s">
        <v>3151</v>
      </c>
      <c r="B883" t="s">
        <v>2118</v>
      </c>
      <c r="C883" t="s">
        <v>116</v>
      </c>
      <c r="D883">
        <v>0</v>
      </c>
      <c r="E883">
        <v>0</v>
      </c>
      <c r="F883">
        <v>55.4</v>
      </c>
      <c r="G883" t="s">
        <v>3152</v>
      </c>
      <c r="H883" s="3" t="s">
        <v>3153</v>
      </c>
      <c r="I883" s="3" t="s">
        <v>3154</v>
      </c>
      <c r="J883">
        <f t="shared" si="169"/>
        <v>1</v>
      </c>
      <c r="K883">
        <f t="shared" si="170"/>
        <v>0</v>
      </c>
      <c r="L883">
        <f t="shared" si="171"/>
        <v>0</v>
      </c>
      <c r="M883">
        <f t="shared" si="172"/>
        <v>1</v>
      </c>
      <c r="N883">
        <f t="shared" si="173"/>
        <v>0</v>
      </c>
      <c r="O883">
        <f t="shared" si="174"/>
        <v>0</v>
      </c>
      <c r="P883">
        <f t="shared" si="175"/>
        <v>0</v>
      </c>
      <c r="Q883">
        <f t="shared" si="176"/>
        <v>0</v>
      </c>
      <c r="R883">
        <v>1</v>
      </c>
      <c r="S883">
        <v>0</v>
      </c>
      <c r="T883">
        <v>0</v>
      </c>
      <c r="U883">
        <v>0</v>
      </c>
      <c r="V883">
        <v>0</v>
      </c>
      <c r="W883">
        <v>0</v>
      </c>
      <c r="X883">
        <v>0</v>
      </c>
      <c r="Y883">
        <v>0</v>
      </c>
      <c r="Z883">
        <v>0</v>
      </c>
      <c r="AA883">
        <v>0</v>
      </c>
      <c r="AB883">
        <v>0</v>
      </c>
      <c r="AC883">
        <v>0</v>
      </c>
      <c r="AD883">
        <v>1</v>
      </c>
      <c r="AE883">
        <v>0</v>
      </c>
      <c r="AF883">
        <v>0</v>
      </c>
      <c r="AG883">
        <v>0</v>
      </c>
      <c r="AH883">
        <v>0</v>
      </c>
      <c r="AI883">
        <v>0</v>
      </c>
      <c r="AJ883">
        <v>0</v>
      </c>
      <c r="AK883">
        <v>0</v>
      </c>
      <c r="AL883">
        <v>0</v>
      </c>
      <c r="AM883">
        <v>0</v>
      </c>
      <c r="AN883">
        <v>0</v>
      </c>
      <c r="AO883">
        <v>0</v>
      </c>
      <c r="AP883">
        <v>0</v>
      </c>
      <c r="AQ883">
        <v>0</v>
      </c>
      <c r="AR883">
        <v>0</v>
      </c>
      <c r="AS883">
        <f t="shared" si="177"/>
        <v>2</v>
      </c>
      <c r="AT883">
        <f t="shared" si="178"/>
        <v>2</v>
      </c>
      <c r="AU883" s="3" t="s">
        <v>3155</v>
      </c>
      <c r="AV883">
        <f t="shared" si="179"/>
        <v>1</v>
      </c>
      <c r="AW883">
        <f t="shared" si="180"/>
        <v>0</v>
      </c>
      <c r="AX883">
        <f t="shared" si="181"/>
        <v>0</v>
      </c>
      <c r="AY883">
        <v>4</v>
      </c>
      <c r="AZ883" t="s">
        <v>60</v>
      </c>
      <c r="BA883" t="s">
        <v>61</v>
      </c>
      <c r="BB883" t="s">
        <v>8</v>
      </c>
    </row>
    <row r="884" ht="51" spans="1:54">
      <c r="A884" t="s">
        <v>3156</v>
      </c>
      <c r="B884" t="s">
        <v>2118</v>
      </c>
      <c r="C884" t="s">
        <v>56</v>
      </c>
      <c r="D884">
        <v>6</v>
      </c>
      <c r="E884">
        <v>0</v>
      </c>
      <c r="F884">
        <v>28.1</v>
      </c>
      <c r="G884" t="s">
        <v>777</v>
      </c>
      <c r="H884" s="3" t="s">
        <v>3157</v>
      </c>
      <c r="I884" s="3" t="s">
        <v>3158</v>
      </c>
      <c r="J884">
        <f t="shared" si="169"/>
        <v>0</v>
      </c>
      <c r="K884">
        <f t="shared" si="170"/>
        <v>1</v>
      </c>
      <c r="L884">
        <f t="shared" si="171"/>
        <v>0</v>
      </c>
      <c r="M884">
        <f t="shared" si="172"/>
        <v>0</v>
      </c>
      <c r="N884">
        <f t="shared" si="173"/>
        <v>1</v>
      </c>
      <c r="O884">
        <f t="shared" si="174"/>
        <v>1</v>
      </c>
      <c r="P884">
        <f t="shared" si="175"/>
        <v>0</v>
      </c>
      <c r="Q884">
        <f t="shared" si="176"/>
        <v>0</v>
      </c>
      <c r="R884">
        <v>0</v>
      </c>
      <c r="S884">
        <v>0</v>
      </c>
      <c r="T884">
        <v>0</v>
      </c>
      <c r="U884">
        <v>0</v>
      </c>
      <c r="V884">
        <v>1</v>
      </c>
      <c r="W884">
        <v>0</v>
      </c>
      <c r="X884">
        <v>0</v>
      </c>
      <c r="Y884">
        <v>0</v>
      </c>
      <c r="Z884">
        <v>0</v>
      </c>
      <c r="AA884">
        <v>0</v>
      </c>
      <c r="AB884">
        <v>0</v>
      </c>
      <c r="AC884">
        <v>0</v>
      </c>
      <c r="AD884">
        <v>0</v>
      </c>
      <c r="AE884">
        <v>0</v>
      </c>
      <c r="AF884">
        <v>0</v>
      </c>
      <c r="AG884">
        <v>0</v>
      </c>
      <c r="AH884">
        <v>1</v>
      </c>
      <c r="AI884">
        <v>1</v>
      </c>
      <c r="AJ884">
        <v>0</v>
      </c>
      <c r="AK884">
        <v>0</v>
      </c>
      <c r="AL884">
        <v>0</v>
      </c>
      <c r="AM884">
        <v>0</v>
      </c>
      <c r="AN884">
        <v>0</v>
      </c>
      <c r="AO884">
        <v>0</v>
      </c>
      <c r="AP884">
        <v>0</v>
      </c>
      <c r="AQ884">
        <v>0</v>
      </c>
      <c r="AR884">
        <v>0</v>
      </c>
      <c r="AS884">
        <f t="shared" si="177"/>
        <v>3</v>
      </c>
      <c r="AT884">
        <f t="shared" si="178"/>
        <v>3</v>
      </c>
      <c r="AU884" s="3" t="s">
        <v>3159</v>
      </c>
      <c r="AV884">
        <f t="shared" si="179"/>
        <v>1</v>
      </c>
      <c r="AW884">
        <f t="shared" si="180"/>
        <v>0</v>
      </c>
      <c r="AX884">
        <f t="shared" si="181"/>
        <v>0</v>
      </c>
      <c r="AY884">
        <v>2</v>
      </c>
      <c r="AZ884" t="s">
        <v>60</v>
      </c>
      <c r="BA884" t="s">
        <v>61</v>
      </c>
      <c r="BB884" t="s">
        <v>8</v>
      </c>
    </row>
    <row r="885" ht="286" spans="1:54">
      <c r="A885" t="s">
        <v>3160</v>
      </c>
      <c r="B885" t="s">
        <v>2118</v>
      </c>
      <c r="C885" t="s">
        <v>116</v>
      </c>
      <c r="D885">
        <v>0</v>
      </c>
      <c r="E885">
        <v>0</v>
      </c>
      <c r="F885">
        <v>96.1</v>
      </c>
      <c r="G885" t="s">
        <v>910</v>
      </c>
      <c r="H885" s="3" t="s">
        <v>3161</v>
      </c>
      <c r="I885" s="3" t="s">
        <v>3162</v>
      </c>
      <c r="J885">
        <f t="shared" si="169"/>
        <v>1</v>
      </c>
      <c r="K885">
        <f t="shared" si="170"/>
        <v>1</v>
      </c>
      <c r="L885">
        <f t="shared" si="171"/>
        <v>0</v>
      </c>
      <c r="M885">
        <f t="shared" si="172"/>
        <v>0</v>
      </c>
      <c r="N885">
        <f t="shared" si="173"/>
        <v>0</v>
      </c>
      <c r="O885">
        <f t="shared" si="174"/>
        <v>1</v>
      </c>
      <c r="P885">
        <f t="shared" si="175"/>
        <v>0</v>
      </c>
      <c r="Q885">
        <f t="shared" si="176"/>
        <v>0</v>
      </c>
      <c r="R885">
        <v>1</v>
      </c>
      <c r="S885">
        <v>0</v>
      </c>
      <c r="T885">
        <v>0</v>
      </c>
      <c r="U885">
        <v>0</v>
      </c>
      <c r="V885">
        <v>1</v>
      </c>
      <c r="W885">
        <v>0</v>
      </c>
      <c r="X885">
        <v>0</v>
      </c>
      <c r="Y885">
        <v>0</v>
      </c>
      <c r="Z885">
        <v>0</v>
      </c>
      <c r="AA885">
        <v>0</v>
      </c>
      <c r="AB885">
        <v>0</v>
      </c>
      <c r="AC885">
        <v>0</v>
      </c>
      <c r="AD885">
        <v>0</v>
      </c>
      <c r="AE885">
        <v>0</v>
      </c>
      <c r="AF885">
        <v>0</v>
      </c>
      <c r="AG885">
        <v>0</v>
      </c>
      <c r="AH885">
        <v>0</v>
      </c>
      <c r="AI885">
        <v>1</v>
      </c>
      <c r="AJ885">
        <v>1</v>
      </c>
      <c r="AK885">
        <v>0</v>
      </c>
      <c r="AL885">
        <v>0</v>
      </c>
      <c r="AM885">
        <v>0</v>
      </c>
      <c r="AN885">
        <v>0</v>
      </c>
      <c r="AO885">
        <v>0</v>
      </c>
      <c r="AP885">
        <v>0</v>
      </c>
      <c r="AQ885">
        <v>0</v>
      </c>
      <c r="AR885">
        <v>0</v>
      </c>
      <c r="AS885">
        <f t="shared" si="177"/>
        <v>3</v>
      </c>
      <c r="AT885">
        <f t="shared" si="178"/>
        <v>4</v>
      </c>
      <c r="AU885" s="3" t="s">
        <v>3163</v>
      </c>
      <c r="AV885">
        <f t="shared" si="179"/>
        <v>1</v>
      </c>
      <c r="AW885">
        <f t="shared" si="180"/>
        <v>0</v>
      </c>
      <c r="AX885">
        <f t="shared" si="181"/>
        <v>0</v>
      </c>
      <c r="AY885">
        <v>0.5</v>
      </c>
      <c r="AZ885" t="s">
        <v>60</v>
      </c>
      <c r="BA885" t="s">
        <v>61</v>
      </c>
      <c r="BB885" t="s">
        <v>8</v>
      </c>
    </row>
    <row r="886" ht="409.5" spans="1:54">
      <c r="A886" t="s">
        <v>3164</v>
      </c>
      <c r="B886" t="s">
        <v>2118</v>
      </c>
      <c r="C886" t="s">
        <v>56</v>
      </c>
      <c r="D886">
        <v>0</v>
      </c>
      <c r="E886">
        <v>0</v>
      </c>
      <c r="F886">
        <v>50.6</v>
      </c>
      <c r="G886" t="s">
        <v>2075</v>
      </c>
      <c r="H886" s="3" t="s">
        <v>3165</v>
      </c>
      <c r="I886" s="3" t="s">
        <v>3166</v>
      </c>
      <c r="J886">
        <f t="shared" si="169"/>
        <v>1</v>
      </c>
      <c r="K886">
        <f t="shared" si="170"/>
        <v>1</v>
      </c>
      <c r="L886">
        <f t="shared" si="171"/>
        <v>1</v>
      </c>
      <c r="M886">
        <f t="shared" si="172"/>
        <v>0</v>
      </c>
      <c r="N886">
        <f t="shared" si="173"/>
        <v>1</v>
      </c>
      <c r="O886">
        <f t="shared" si="174"/>
        <v>0</v>
      </c>
      <c r="P886">
        <f t="shared" si="175"/>
        <v>0</v>
      </c>
      <c r="Q886">
        <f t="shared" si="176"/>
        <v>0</v>
      </c>
      <c r="R886">
        <v>1</v>
      </c>
      <c r="S886">
        <v>0</v>
      </c>
      <c r="T886">
        <v>0</v>
      </c>
      <c r="U886">
        <v>1</v>
      </c>
      <c r="V886">
        <v>1</v>
      </c>
      <c r="W886">
        <v>0</v>
      </c>
      <c r="X886">
        <v>0</v>
      </c>
      <c r="Y886">
        <v>0</v>
      </c>
      <c r="Z886">
        <v>1</v>
      </c>
      <c r="AA886">
        <v>0</v>
      </c>
      <c r="AB886">
        <v>0</v>
      </c>
      <c r="AC886">
        <v>0</v>
      </c>
      <c r="AD886">
        <v>0</v>
      </c>
      <c r="AE886">
        <v>0</v>
      </c>
      <c r="AF886">
        <v>0</v>
      </c>
      <c r="AG886">
        <v>0</v>
      </c>
      <c r="AH886">
        <v>1</v>
      </c>
      <c r="AI886">
        <v>0</v>
      </c>
      <c r="AJ886">
        <v>0</v>
      </c>
      <c r="AK886">
        <v>0</v>
      </c>
      <c r="AL886">
        <v>0</v>
      </c>
      <c r="AM886">
        <v>0</v>
      </c>
      <c r="AN886">
        <v>0</v>
      </c>
      <c r="AO886">
        <v>0</v>
      </c>
      <c r="AP886">
        <v>0</v>
      </c>
      <c r="AQ886">
        <v>0</v>
      </c>
      <c r="AR886">
        <v>0</v>
      </c>
      <c r="AS886">
        <f t="shared" si="177"/>
        <v>4</v>
      </c>
      <c r="AT886">
        <f t="shared" si="178"/>
        <v>5</v>
      </c>
      <c r="AU886" s="3" t="s">
        <v>3167</v>
      </c>
      <c r="AV886">
        <f t="shared" si="179"/>
        <v>1</v>
      </c>
      <c r="AW886">
        <f t="shared" si="180"/>
        <v>0</v>
      </c>
      <c r="AX886">
        <f t="shared" si="181"/>
        <v>0</v>
      </c>
      <c r="AY886">
        <v>7</v>
      </c>
      <c r="AZ886" t="s">
        <v>60</v>
      </c>
      <c r="BA886" t="s">
        <v>61</v>
      </c>
      <c r="BB886" t="s">
        <v>8</v>
      </c>
    </row>
    <row r="887" ht="51" spans="1:54">
      <c r="A887" t="s">
        <v>3168</v>
      </c>
      <c r="B887" t="s">
        <v>2118</v>
      </c>
      <c r="C887" t="s">
        <v>116</v>
      </c>
      <c r="D887">
        <v>3</v>
      </c>
      <c r="E887">
        <v>0</v>
      </c>
      <c r="F887">
        <v>42.4</v>
      </c>
      <c r="G887" t="s">
        <v>2080</v>
      </c>
      <c r="H887" s="3" t="s">
        <v>3169</v>
      </c>
      <c r="I887" s="3" t="s">
        <v>3170</v>
      </c>
      <c r="J887">
        <f t="shared" si="169"/>
        <v>0</v>
      </c>
      <c r="K887">
        <f t="shared" si="170"/>
        <v>1</v>
      </c>
      <c r="L887">
        <f t="shared" si="171"/>
        <v>1</v>
      </c>
      <c r="M887">
        <f t="shared" si="172"/>
        <v>0</v>
      </c>
      <c r="N887">
        <f t="shared" si="173"/>
        <v>1</v>
      </c>
      <c r="O887">
        <f t="shared" si="174"/>
        <v>0</v>
      </c>
      <c r="P887">
        <f t="shared" si="175"/>
        <v>0</v>
      </c>
      <c r="Q887">
        <f t="shared" si="176"/>
        <v>0</v>
      </c>
      <c r="R887">
        <v>0</v>
      </c>
      <c r="S887">
        <v>0</v>
      </c>
      <c r="T887">
        <v>0</v>
      </c>
      <c r="U887">
        <v>1</v>
      </c>
      <c r="V887">
        <v>0</v>
      </c>
      <c r="W887">
        <v>0</v>
      </c>
      <c r="X887">
        <v>0</v>
      </c>
      <c r="Y887">
        <v>0</v>
      </c>
      <c r="Z887">
        <v>1</v>
      </c>
      <c r="AA887">
        <v>0</v>
      </c>
      <c r="AB887">
        <v>0</v>
      </c>
      <c r="AC887">
        <v>0</v>
      </c>
      <c r="AD887">
        <v>0</v>
      </c>
      <c r="AE887">
        <v>0</v>
      </c>
      <c r="AF887">
        <v>0</v>
      </c>
      <c r="AG887">
        <v>0</v>
      </c>
      <c r="AH887">
        <v>1</v>
      </c>
      <c r="AI887">
        <v>0</v>
      </c>
      <c r="AJ887">
        <v>0</v>
      </c>
      <c r="AK887">
        <v>0</v>
      </c>
      <c r="AL887">
        <v>0</v>
      </c>
      <c r="AM887">
        <v>0</v>
      </c>
      <c r="AN887">
        <v>0</v>
      </c>
      <c r="AO887">
        <v>0</v>
      </c>
      <c r="AP887">
        <v>0</v>
      </c>
      <c r="AQ887">
        <v>0</v>
      </c>
      <c r="AR887">
        <v>0</v>
      </c>
      <c r="AS887">
        <f t="shared" si="177"/>
        <v>3</v>
      </c>
      <c r="AT887">
        <f t="shared" si="178"/>
        <v>3</v>
      </c>
      <c r="AU887" s="3" t="s">
        <v>2014</v>
      </c>
      <c r="AV887">
        <f t="shared" si="179"/>
        <v>1</v>
      </c>
      <c r="AW887">
        <f t="shared" si="180"/>
        <v>0</v>
      </c>
      <c r="AX887">
        <f t="shared" si="181"/>
        <v>0</v>
      </c>
      <c r="AY887">
        <v>1</v>
      </c>
      <c r="AZ887" t="s">
        <v>60</v>
      </c>
      <c r="BA887" t="s">
        <v>61</v>
      </c>
      <c r="BB887" t="s">
        <v>8</v>
      </c>
    </row>
    <row r="888" ht="51" spans="1:54">
      <c r="A888" t="s">
        <v>3171</v>
      </c>
      <c r="B888" t="s">
        <v>2118</v>
      </c>
      <c r="C888" t="s">
        <v>116</v>
      </c>
      <c r="D888">
        <v>0</v>
      </c>
      <c r="E888">
        <v>0</v>
      </c>
      <c r="F888">
        <v>67.6</v>
      </c>
      <c r="G888" t="s">
        <v>3172</v>
      </c>
      <c r="H888" s="3" t="s">
        <v>3173</v>
      </c>
      <c r="I888" s="3" t="s">
        <v>3174</v>
      </c>
      <c r="J888">
        <f t="shared" si="169"/>
        <v>0</v>
      </c>
      <c r="K888">
        <f t="shared" si="170"/>
        <v>1</v>
      </c>
      <c r="L888">
        <f t="shared" si="171"/>
        <v>0</v>
      </c>
      <c r="M888">
        <f t="shared" si="172"/>
        <v>1</v>
      </c>
      <c r="N888">
        <f t="shared" si="173"/>
        <v>0</v>
      </c>
      <c r="O888">
        <f t="shared" si="174"/>
        <v>1</v>
      </c>
      <c r="P888">
        <f t="shared" si="175"/>
        <v>0</v>
      </c>
      <c r="Q888">
        <f t="shared" si="176"/>
        <v>0</v>
      </c>
      <c r="R888">
        <v>0</v>
      </c>
      <c r="S888">
        <v>0</v>
      </c>
      <c r="T888">
        <v>0</v>
      </c>
      <c r="U888">
        <v>0</v>
      </c>
      <c r="V888">
        <v>0</v>
      </c>
      <c r="W888">
        <v>1</v>
      </c>
      <c r="X888">
        <v>0</v>
      </c>
      <c r="Y888">
        <v>0</v>
      </c>
      <c r="Z888">
        <v>0</v>
      </c>
      <c r="AA888">
        <v>0</v>
      </c>
      <c r="AB888">
        <v>0</v>
      </c>
      <c r="AC888">
        <v>0</v>
      </c>
      <c r="AD888">
        <v>1</v>
      </c>
      <c r="AE888">
        <v>0</v>
      </c>
      <c r="AF888">
        <v>0</v>
      </c>
      <c r="AG888">
        <v>0</v>
      </c>
      <c r="AH888">
        <v>0</v>
      </c>
      <c r="AI888">
        <v>1</v>
      </c>
      <c r="AJ888">
        <v>0</v>
      </c>
      <c r="AK888">
        <v>0</v>
      </c>
      <c r="AL888">
        <v>0</v>
      </c>
      <c r="AM888">
        <v>0</v>
      </c>
      <c r="AN888">
        <v>0</v>
      </c>
      <c r="AO888">
        <v>0</v>
      </c>
      <c r="AP888">
        <v>0</v>
      </c>
      <c r="AQ888">
        <v>0</v>
      </c>
      <c r="AR888">
        <v>0</v>
      </c>
      <c r="AS888">
        <f t="shared" si="177"/>
        <v>3</v>
      </c>
      <c r="AT888">
        <f t="shared" si="178"/>
        <v>3</v>
      </c>
      <c r="AU888" s="3" t="s">
        <v>3175</v>
      </c>
      <c r="AV888">
        <f t="shared" si="179"/>
        <v>1</v>
      </c>
      <c r="AW888">
        <f t="shared" si="180"/>
        <v>0</v>
      </c>
      <c r="AX888">
        <f t="shared" si="181"/>
        <v>0</v>
      </c>
      <c r="AY888">
        <v>0</v>
      </c>
      <c r="AZ888" t="s">
        <v>147</v>
      </c>
      <c r="BA888" t="s">
        <v>148</v>
      </c>
      <c r="BB888" t="s">
        <v>8</v>
      </c>
    </row>
    <row r="889" ht="135" spans="1:54">
      <c r="A889" t="s">
        <v>3176</v>
      </c>
      <c r="B889" t="s">
        <v>2118</v>
      </c>
      <c r="C889" t="s">
        <v>56</v>
      </c>
      <c r="D889">
        <v>0</v>
      </c>
      <c r="E889">
        <v>0</v>
      </c>
      <c r="F889">
        <v>43.4</v>
      </c>
      <c r="G889" t="s">
        <v>669</v>
      </c>
      <c r="H889" s="3" t="s">
        <v>3177</v>
      </c>
      <c r="I889" s="3" t="s">
        <v>3178</v>
      </c>
      <c r="J889">
        <f t="shared" si="169"/>
        <v>1</v>
      </c>
      <c r="K889">
        <f t="shared" si="170"/>
        <v>1</v>
      </c>
      <c r="L889">
        <f t="shared" si="171"/>
        <v>1</v>
      </c>
      <c r="M889">
        <f t="shared" si="172"/>
        <v>0</v>
      </c>
      <c r="N889">
        <f t="shared" si="173"/>
        <v>1</v>
      </c>
      <c r="O889">
        <f t="shared" si="174"/>
        <v>1</v>
      </c>
      <c r="P889">
        <f t="shared" si="175"/>
        <v>0</v>
      </c>
      <c r="Q889">
        <f t="shared" si="176"/>
        <v>0</v>
      </c>
      <c r="R889">
        <v>1</v>
      </c>
      <c r="S889">
        <v>0</v>
      </c>
      <c r="T889">
        <v>0</v>
      </c>
      <c r="U889">
        <v>0</v>
      </c>
      <c r="V889">
        <v>0</v>
      </c>
      <c r="W889">
        <v>1</v>
      </c>
      <c r="X889">
        <v>0</v>
      </c>
      <c r="Y889">
        <v>0</v>
      </c>
      <c r="Z889">
        <v>0</v>
      </c>
      <c r="AA889">
        <v>0</v>
      </c>
      <c r="AB889">
        <v>0</v>
      </c>
      <c r="AC889">
        <v>1</v>
      </c>
      <c r="AD889">
        <v>0</v>
      </c>
      <c r="AE889">
        <v>0</v>
      </c>
      <c r="AF889">
        <v>0</v>
      </c>
      <c r="AG889">
        <v>0</v>
      </c>
      <c r="AH889">
        <v>1</v>
      </c>
      <c r="AI889">
        <v>1</v>
      </c>
      <c r="AJ889">
        <v>0</v>
      </c>
      <c r="AK889">
        <v>0</v>
      </c>
      <c r="AL889">
        <v>0</v>
      </c>
      <c r="AM889">
        <v>0</v>
      </c>
      <c r="AN889">
        <v>0</v>
      </c>
      <c r="AO889">
        <v>0</v>
      </c>
      <c r="AP889">
        <v>0</v>
      </c>
      <c r="AQ889">
        <v>0</v>
      </c>
      <c r="AR889">
        <v>0</v>
      </c>
      <c r="AS889">
        <f t="shared" si="177"/>
        <v>5</v>
      </c>
      <c r="AT889">
        <f t="shared" si="178"/>
        <v>5</v>
      </c>
      <c r="AU889" s="3" t="s">
        <v>3179</v>
      </c>
      <c r="AV889">
        <f t="shared" si="179"/>
        <v>1</v>
      </c>
      <c r="AW889">
        <f t="shared" si="180"/>
        <v>0</v>
      </c>
      <c r="AX889">
        <f t="shared" si="181"/>
        <v>0</v>
      </c>
      <c r="AY889">
        <v>6</v>
      </c>
      <c r="AZ889" t="s">
        <v>60</v>
      </c>
      <c r="BA889" t="s">
        <v>61</v>
      </c>
      <c r="BB889" t="s">
        <v>8</v>
      </c>
    </row>
    <row r="890" ht="409.5" spans="1:54">
      <c r="A890" t="s">
        <v>3180</v>
      </c>
      <c r="B890" t="s">
        <v>2118</v>
      </c>
      <c r="C890" t="s">
        <v>56</v>
      </c>
      <c r="D890">
        <v>3</v>
      </c>
      <c r="E890">
        <v>0</v>
      </c>
      <c r="F890">
        <v>58.3</v>
      </c>
      <c r="G890" t="s">
        <v>3181</v>
      </c>
      <c r="H890" s="3" t="s">
        <v>3182</v>
      </c>
      <c r="I890" s="3" t="s">
        <v>3183</v>
      </c>
      <c r="J890">
        <f t="shared" si="169"/>
        <v>0</v>
      </c>
      <c r="K890">
        <f t="shared" si="170"/>
        <v>1</v>
      </c>
      <c r="L890">
        <f t="shared" si="171"/>
        <v>0</v>
      </c>
      <c r="M890">
        <f t="shared" si="172"/>
        <v>0</v>
      </c>
      <c r="N890">
        <f t="shared" si="173"/>
        <v>0</v>
      </c>
      <c r="O890">
        <f t="shared" si="174"/>
        <v>1</v>
      </c>
      <c r="P890">
        <f t="shared" si="175"/>
        <v>0</v>
      </c>
      <c r="Q890">
        <f t="shared" si="176"/>
        <v>1</v>
      </c>
      <c r="R890">
        <v>0</v>
      </c>
      <c r="S890">
        <v>0</v>
      </c>
      <c r="T890">
        <v>0</v>
      </c>
      <c r="U890">
        <v>0</v>
      </c>
      <c r="V890">
        <v>1</v>
      </c>
      <c r="W890">
        <v>0</v>
      </c>
      <c r="X890">
        <v>0</v>
      </c>
      <c r="Y890">
        <v>0</v>
      </c>
      <c r="Z890">
        <v>0</v>
      </c>
      <c r="AA890">
        <v>0</v>
      </c>
      <c r="AB890">
        <v>0</v>
      </c>
      <c r="AC890">
        <v>0</v>
      </c>
      <c r="AD890">
        <v>0</v>
      </c>
      <c r="AE890">
        <v>0</v>
      </c>
      <c r="AF890">
        <v>0</v>
      </c>
      <c r="AG890">
        <v>0</v>
      </c>
      <c r="AH890">
        <v>0</v>
      </c>
      <c r="AI890">
        <v>1</v>
      </c>
      <c r="AJ890">
        <v>0</v>
      </c>
      <c r="AK890">
        <v>0</v>
      </c>
      <c r="AL890">
        <v>0</v>
      </c>
      <c r="AM890">
        <v>0</v>
      </c>
      <c r="AN890">
        <v>0</v>
      </c>
      <c r="AO890">
        <v>0</v>
      </c>
      <c r="AP890">
        <v>0</v>
      </c>
      <c r="AQ890">
        <v>0</v>
      </c>
      <c r="AR890">
        <v>1</v>
      </c>
      <c r="AS890">
        <f t="shared" si="177"/>
        <v>3</v>
      </c>
      <c r="AT890">
        <f t="shared" si="178"/>
        <v>3</v>
      </c>
      <c r="AU890" s="3" t="s">
        <v>3184</v>
      </c>
      <c r="AV890">
        <f t="shared" si="179"/>
        <v>1</v>
      </c>
      <c r="AW890">
        <f t="shared" si="180"/>
        <v>0</v>
      </c>
      <c r="AX890">
        <f t="shared" si="181"/>
        <v>0</v>
      </c>
      <c r="AY890">
        <v>2.5</v>
      </c>
      <c r="AZ890" t="s">
        <v>60</v>
      </c>
      <c r="BA890" t="s">
        <v>61</v>
      </c>
      <c r="BB890" t="s">
        <v>8</v>
      </c>
    </row>
    <row r="891" ht="135" spans="1:54">
      <c r="A891" t="s">
        <v>3185</v>
      </c>
      <c r="B891" t="s">
        <v>2118</v>
      </c>
      <c r="C891" t="s">
        <v>56</v>
      </c>
      <c r="D891">
        <v>2</v>
      </c>
      <c r="E891">
        <v>0</v>
      </c>
      <c r="F891">
        <v>40.1</v>
      </c>
      <c r="G891" t="s">
        <v>3186</v>
      </c>
      <c r="H891" s="3" t="s">
        <v>3187</v>
      </c>
      <c r="I891" s="3" t="s">
        <v>3188</v>
      </c>
      <c r="J891">
        <f t="shared" si="169"/>
        <v>0</v>
      </c>
      <c r="K891">
        <f t="shared" si="170"/>
        <v>1</v>
      </c>
      <c r="L891">
        <f t="shared" si="171"/>
        <v>0</v>
      </c>
      <c r="M891">
        <f t="shared" si="172"/>
        <v>1</v>
      </c>
      <c r="N891">
        <f t="shared" si="173"/>
        <v>1</v>
      </c>
      <c r="O891">
        <f t="shared" si="174"/>
        <v>1</v>
      </c>
      <c r="P891">
        <f t="shared" si="175"/>
        <v>0</v>
      </c>
      <c r="Q891">
        <f t="shared" si="176"/>
        <v>0</v>
      </c>
      <c r="R891">
        <v>0</v>
      </c>
      <c r="S891">
        <v>0</v>
      </c>
      <c r="T891">
        <v>0</v>
      </c>
      <c r="U891">
        <v>0</v>
      </c>
      <c r="V891">
        <v>0</v>
      </c>
      <c r="W891">
        <v>1</v>
      </c>
      <c r="X891">
        <v>0</v>
      </c>
      <c r="Y891">
        <v>0</v>
      </c>
      <c r="Z891">
        <v>0</v>
      </c>
      <c r="AA891">
        <v>0</v>
      </c>
      <c r="AB891">
        <v>0</v>
      </c>
      <c r="AC891">
        <v>0</v>
      </c>
      <c r="AD891">
        <v>1</v>
      </c>
      <c r="AE891">
        <v>0</v>
      </c>
      <c r="AF891">
        <v>0</v>
      </c>
      <c r="AG891">
        <v>1</v>
      </c>
      <c r="AH891">
        <v>1</v>
      </c>
      <c r="AI891">
        <v>1</v>
      </c>
      <c r="AJ891">
        <v>0</v>
      </c>
      <c r="AK891">
        <v>0</v>
      </c>
      <c r="AL891">
        <v>1</v>
      </c>
      <c r="AM891">
        <v>0</v>
      </c>
      <c r="AN891">
        <v>0</v>
      </c>
      <c r="AO891">
        <v>0</v>
      </c>
      <c r="AP891">
        <v>0</v>
      </c>
      <c r="AQ891">
        <v>0</v>
      </c>
      <c r="AR891">
        <v>0</v>
      </c>
      <c r="AS891">
        <f t="shared" si="177"/>
        <v>4</v>
      </c>
      <c r="AT891">
        <f t="shared" si="178"/>
        <v>6</v>
      </c>
      <c r="AU891" s="3" t="s">
        <v>3189</v>
      </c>
      <c r="AV891">
        <f t="shared" si="179"/>
        <v>1</v>
      </c>
      <c r="AW891">
        <f t="shared" si="180"/>
        <v>0</v>
      </c>
      <c r="AX891">
        <f t="shared" si="181"/>
        <v>0</v>
      </c>
      <c r="AY891">
        <v>1.5</v>
      </c>
      <c r="AZ891" t="s">
        <v>60</v>
      </c>
      <c r="BA891" t="s">
        <v>61</v>
      </c>
      <c r="BB891" t="s">
        <v>8</v>
      </c>
    </row>
    <row r="892" ht="68" spans="1:54">
      <c r="A892" t="s">
        <v>3190</v>
      </c>
      <c r="B892" t="s">
        <v>2118</v>
      </c>
      <c r="C892" t="s">
        <v>116</v>
      </c>
      <c r="D892">
        <v>0</v>
      </c>
      <c r="E892">
        <v>0</v>
      </c>
      <c r="F892">
        <v>68.2</v>
      </c>
      <c r="G892" t="s">
        <v>3191</v>
      </c>
      <c r="H892" s="3" t="s">
        <v>3192</v>
      </c>
      <c r="I892" s="3" t="s">
        <v>3193</v>
      </c>
      <c r="J892">
        <f t="shared" si="169"/>
        <v>0</v>
      </c>
      <c r="K892">
        <f t="shared" si="170"/>
        <v>1</v>
      </c>
      <c r="L892">
        <f t="shared" si="171"/>
        <v>1</v>
      </c>
      <c r="M892">
        <f t="shared" si="172"/>
        <v>0</v>
      </c>
      <c r="N892">
        <f t="shared" si="173"/>
        <v>0</v>
      </c>
      <c r="O892">
        <f t="shared" si="174"/>
        <v>1</v>
      </c>
      <c r="P892">
        <f t="shared" si="175"/>
        <v>0</v>
      </c>
      <c r="Q892">
        <f t="shared" si="176"/>
        <v>0</v>
      </c>
      <c r="R892">
        <v>0</v>
      </c>
      <c r="S892">
        <v>0</v>
      </c>
      <c r="T892">
        <v>0</v>
      </c>
      <c r="U892">
        <v>0</v>
      </c>
      <c r="V892">
        <v>0</v>
      </c>
      <c r="W892">
        <v>1</v>
      </c>
      <c r="X892">
        <v>0</v>
      </c>
      <c r="Y892">
        <v>0</v>
      </c>
      <c r="Z892">
        <v>1</v>
      </c>
      <c r="AA892">
        <v>0</v>
      </c>
      <c r="AB892">
        <v>1</v>
      </c>
      <c r="AC892">
        <v>0</v>
      </c>
      <c r="AD892">
        <v>0</v>
      </c>
      <c r="AE892">
        <v>0</v>
      </c>
      <c r="AF892">
        <v>0</v>
      </c>
      <c r="AG892">
        <v>0</v>
      </c>
      <c r="AH892">
        <v>0</v>
      </c>
      <c r="AI892">
        <v>1</v>
      </c>
      <c r="AJ892">
        <v>0</v>
      </c>
      <c r="AK892">
        <v>0</v>
      </c>
      <c r="AL892">
        <v>0</v>
      </c>
      <c r="AM892">
        <v>0</v>
      </c>
      <c r="AN892">
        <v>0</v>
      </c>
      <c r="AO892">
        <v>0</v>
      </c>
      <c r="AP892">
        <v>0</v>
      </c>
      <c r="AQ892">
        <v>0</v>
      </c>
      <c r="AR892">
        <v>0</v>
      </c>
      <c r="AS892">
        <f t="shared" si="177"/>
        <v>3</v>
      </c>
      <c r="AT892">
        <f t="shared" si="178"/>
        <v>4</v>
      </c>
      <c r="AU892" s="3" t="s">
        <v>3194</v>
      </c>
      <c r="AV892">
        <f t="shared" si="179"/>
        <v>1</v>
      </c>
      <c r="AW892">
        <f t="shared" si="180"/>
        <v>0</v>
      </c>
      <c r="AX892">
        <f t="shared" si="181"/>
        <v>0</v>
      </c>
      <c r="AY892">
        <v>-4</v>
      </c>
      <c r="AZ892" t="s">
        <v>133</v>
      </c>
      <c r="BA892" t="s">
        <v>134</v>
      </c>
      <c r="BB892" t="s">
        <v>8</v>
      </c>
    </row>
    <row r="893" ht="68" spans="1:54">
      <c r="A893" t="s">
        <v>3195</v>
      </c>
      <c r="B893" t="s">
        <v>2118</v>
      </c>
      <c r="C893" t="s">
        <v>56</v>
      </c>
      <c r="D893">
        <v>14</v>
      </c>
      <c r="E893">
        <v>1</v>
      </c>
      <c r="F893">
        <v>32.1</v>
      </c>
      <c r="G893" t="s">
        <v>3196</v>
      </c>
      <c r="H893" s="3" t="s">
        <v>3197</v>
      </c>
      <c r="I893" s="3" t="s">
        <v>3198</v>
      </c>
      <c r="J893">
        <f t="shared" si="169"/>
        <v>0</v>
      </c>
      <c r="K893">
        <f t="shared" si="170"/>
        <v>1</v>
      </c>
      <c r="L893">
        <f t="shared" si="171"/>
        <v>1</v>
      </c>
      <c r="M893">
        <f t="shared" si="172"/>
        <v>0</v>
      </c>
      <c r="N893">
        <f t="shared" si="173"/>
        <v>1</v>
      </c>
      <c r="O893">
        <f t="shared" si="174"/>
        <v>0</v>
      </c>
      <c r="P893">
        <f t="shared" si="175"/>
        <v>0</v>
      </c>
      <c r="Q893">
        <f t="shared" si="176"/>
        <v>0</v>
      </c>
      <c r="R893">
        <v>0</v>
      </c>
      <c r="S893">
        <v>0</v>
      </c>
      <c r="T893">
        <v>0</v>
      </c>
      <c r="U893">
        <v>0</v>
      </c>
      <c r="V893">
        <v>1</v>
      </c>
      <c r="W893">
        <v>1</v>
      </c>
      <c r="X893">
        <v>0</v>
      </c>
      <c r="Y893">
        <v>0</v>
      </c>
      <c r="Z893">
        <v>0</v>
      </c>
      <c r="AA893">
        <v>0</v>
      </c>
      <c r="AB893">
        <v>1</v>
      </c>
      <c r="AC893">
        <v>0</v>
      </c>
      <c r="AD893">
        <v>0</v>
      </c>
      <c r="AE893">
        <v>0</v>
      </c>
      <c r="AF893">
        <v>0</v>
      </c>
      <c r="AG893">
        <v>0</v>
      </c>
      <c r="AH893">
        <v>1</v>
      </c>
      <c r="AI893">
        <v>0</v>
      </c>
      <c r="AJ893">
        <v>0</v>
      </c>
      <c r="AK893">
        <v>0</v>
      </c>
      <c r="AL893">
        <v>0</v>
      </c>
      <c r="AM893">
        <v>0</v>
      </c>
      <c r="AN893">
        <v>0</v>
      </c>
      <c r="AO893">
        <v>0</v>
      </c>
      <c r="AP893">
        <v>0</v>
      </c>
      <c r="AQ893">
        <v>0</v>
      </c>
      <c r="AR893">
        <v>0</v>
      </c>
      <c r="AS893">
        <f t="shared" si="177"/>
        <v>3</v>
      </c>
      <c r="AT893">
        <f t="shared" si="178"/>
        <v>4</v>
      </c>
      <c r="AU893" s="3" t="s">
        <v>1517</v>
      </c>
      <c r="AV893">
        <f t="shared" si="179"/>
        <v>1</v>
      </c>
      <c r="AW893">
        <f t="shared" si="180"/>
        <v>0</v>
      </c>
      <c r="AX893">
        <f t="shared" si="181"/>
        <v>0</v>
      </c>
      <c r="AY893">
        <v>6</v>
      </c>
      <c r="AZ893" t="s">
        <v>60</v>
      </c>
      <c r="BA893" t="s">
        <v>61</v>
      </c>
      <c r="BB893" t="s">
        <v>8</v>
      </c>
    </row>
    <row r="894" ht="118" spans="1:54">
      <c r="A894" t="s">
        <v>3199</v>
      </c>
      <c r="B894" t="s">
        <v>2118</v>
      </c>
      <c r="C894" t="s">
        <v>56</v>
      </c>
      <c r="D894">
        <v>2</v>
      </c>
      <c r="E894">
        <v>0</v>
      </c>
      <c r="F894">
        <v>77.2</v>
      </c>
      <c r="G894" t="s">
        <v>2089</v>
      </c>
      <c r="H894" s="3" t="s">
        <v>3200</v>
      </c>
      <c r="I894" s="3" t="s">
        <v>3201</v>
      </c>
      <c r="J894">
        <f t="shared" si="169"/>
        <v>0</v>
      </c>
      <c r="K894">
        <f t="shared" si="170"/>
        <v>1</v>
      </c>
      <c r="L894">
        <f t="shared" si="171"/>
        <v>0</v>
      </c>
      <c r="M894">
        <f t="shared" si="172"/>
        <v>1</v>
      </c>
      <c r="N894">
        <f t="shared" si="173"/>
        <v>1</v>
      </c>
      <c r="O894">
        <f t="shared" si="174"/>
        <v>0</v>
      </c>
      <c r="P894">
        <f t="shared" si="175"/>
        <v>0</v>
      </c>
      <c r="Q894">
        <f t="shared" si="176"/>
        <v>0</v>
      </c>
      <c r="R894">
        <v>0</v>
      </c>
      <c r="S894">
        <v>0</v>
      </c>
      <c r="T894">
        <v>0</v>
      </c>
      <c r="U894">
        <v>0</v>
      </c>
      <c r="V894">
        <v>0</v>
      </c>
      <c r="W894">
        <v>1</v>
      </c>
      <c r="X894">
        <v>0</v>
      </c>
      <c r="Y894">
        <v>0</v>
      </c>
      <c r="Z894">
        <v>0</v>
      </c>
      <c r="AA894">
        <v>0</v>
      </c>
      <c r="AB894">
        <v>0</v>
      </c>
      <c r="AC894">
        <v>0</v>
      </c>
      <c r="AD894">
        <v>1</v>
      </c>
      <c r="AE894">
        <v>0</v>
      </c>
      <c r="AF894">
        <v>0</v>
      </c>
      <c r="AG894">
        <v>0</v>
      </c>
      <c r="AH894">
        <v>1</v>
      </c>
      <c r="AI894">
        <v>0</v>
      </c>
      <c r="AJ894">
        <v>0</v>
      </c>
      <c r="AK894">
        <v>0</v>
      </c>
      <c r="AL894">
        <v>0</v>
      </c>
      <c r="AM894">
        <v>0</v>
      </c>
      <c r="AN894">
        <v>0</v>
      </c>
      <c r="AO894">
        <v>0</v>
      </c>
      <c r="AP894">
        <v>0</v>
      </c>
      <c r="AQ894">
        <v>0</v>
      </c>
      <c r="AR894">
        <v>0</v>
      </c>
      <c r="AS894">
        <f t="shared" si="177"/>
        <v>3</v>
      </c>
      <c r="AT894">
        <f t="shared" si="178"/>
        <v>3</v>
      </c>
      <c r="AU894" s="3" t="s">
        <v>2388</v>
      </c>
      <c r="AV894">
        <f t="shared" si="179"/>
        <v>1</v>
      </c>
      <c r="AW894">
        <f t="shared" si="180"/>
        <v>0</v>
      </c>
      <c r="AX894">
        <f t="shared" si="181"/>
        <v>0</v>
      </c>
      <c r="AY894">
        <v>3</v>
      </c>
      <c r="AZ894" t="s">
        <v>60</v>
      </c>
      <c r="BA894" t="s">
        <v>61</v>
      </c>
      <c r="BB894" t="s">
        <v>8</v>
      </c>
    </row>
    <row r="895" ht="409.5" spans="1:54">
      <c r="A895" t="s">
        <v>3202</v>
      </c>
      <c r="B895" t="s">
        <v>2118</v>
      </c>
      <c r="C895" t="s">
        <v>116</v>
      </c>
      <c r="D895">
        <v>2</v>
      </c>
      <c r="E895">
        <v>0</v>
      </c>
      <c r="F895">
        <v>13.9</v>
      </c>
      <c r="G895" t="s">
        <v>963</v>
      </c>
      <c r="H895" s="3" t="s">
        <v>3203</v>
      </c>
      <c r="I895" s="3" t="s">
        <v>3204</v>
      </c>
      <c r="J895">
        <f t="shared" si="169"/>
        <v>0</v>
      </c>
      <c r="K895">
        <f t="shared" si="170"/>
        <v>1</v>
      </c>
      <c r="L895">
        <f t="shared" si="171"/>
        <v>1</v>
      </c>
      <c r="M895">
        <f t="shared" si="172"/>
        <v>0</v>
      </c>
      <c r="N895">
        <f t="shared" si="173"/>
        <v>1</v>
      </c>
      <c r="O895">
        <f t="shared" si="174"/>
        <v>0</v>
      </c>
      <c r="P895">
        <f t="shared" si="175"/>
        <v>0</v>
      </c>
      <c r="Q895">
        <f t="shared" si="176"/>
        <v>0</v>
      </c>
      <c r="R895">
        <v>0</v>
      </c>
      <c r="S895">
        <v>0</v>
      </c>
      <c r="T895">
        <v>0</v>
      </c>
      <c r="U895">
        <v>0</v>
      </c>
      <c r="V895">
        <v>1</v>
      </c>
      <c r="W895">
        <v>0</v>
      </c>
      <c r="X895">
        <v>0</v>
      </c>
      <c r="Y895">
        <v>0</v>
      </c>
      <c r="Z895">
        <v>0</v>
      </c>
      <c r="AA895">
        <v>0</v>
      </c>
      <c r="AB895">
        <v>0</v>
      </c>
      <c r="AC895">
        <v>1</v>
      </c>
      <c r="AD895">
        <v>0</v>
      </c>
      <c r="AE895">
        <v>0</v>
      </c>
      <c r="AF895">
        <v>0</v>
      </c>
      <c r="AG895">
        <v>0</v>
      </c>
      <c r="AH895">
        <v>1</v>
      </c>
      <c r="AI895">
        <v>0</v>
      </c>
      <c r="AJ895">
        <v>0</v>
      </c>
      <c r="AK895">
        <v>0</v>
      </c>
      <c r="AL895">
        <v>0</v>
      </c>
      <c r="AM895">
        <v>0</v>
      </c>
      <c r="AN895">
        <v>0</v>
      </c>
      <c r="AO895">
        <v>0</v>
      </c>
      <c r="AP895">
        <v>0</v>
      </c>
      <c r="AQ895">
        <v>0</v>
      </c>
      <c r="AR895">
        <v>0</v>
      </c>
      <c r="AS895">
        <f t="shared" si="177"/>
        <v>3</v>
      </c>
      <c r="AT895">
        <f t="shared" si="178"/>
        <v>3</v>
      </c>
      <c r="AU895" s="3" t="s">
        <v>3205</v>
      </c>
      <c r="AV895">
        <f t="shared" si="179"/>
        <v>1</v>
      </c>
      <c r="AW895">
        <f t="shared" si="180"/>
        <v>0</v>
      </c>
      <c r="AX895">
        <f t="shared" si="181"/>
        <v>0</v>
      </c>
      <c r="AY895">
        <v>-2.5</v>
      </c>
      <c r="AZ895" t="s">
        <v>133</v>
      </c>
      <c r="BA895" t="s">
        <v>134</v>
      </c>
      <c r="BB895" t="s">
        <v>8</v>
      </c>
    </row>
    <row r="896" ht="269" spans="1:54">
      <c r="A896" t="s">
        <v>3206</v>
      </c>
      <c r="B896" t="s">
        <v>2118</v>
      </c>
      <c r="C896" t="s">
        <v>56</v>
      </c>
      <c r="D896">
        <v>2</v>
      </c>
      <c r="E896">
        <v>0</v>
      </c>
      <c r="F896">
        <v>37.8</v>
      </c>
      <c r="G896" t="s">
        <v>1000</v>
      </c>
      <c r="H896" s="3" t="s">
        <v>3207</v>
      </c>
      <c r="I896" s="3" t="s">
        <v>3208</v>
      </c>
      <c r="J896">
        <f t="shared" si="169"/>
        <v>0</v>
      </c>
      <c r="K896">
        <f t="shared" si="170"/>
        <v>1</v>
      </c>
      <c r="L896">
        <f t="shared" si="171"/>
        <v>0</v>
      </c>
      <c r="M896">
        <f t="shared" si="172"/>
        <v>0</v>
      </c>
      <c r="N896">
        <f t="shared" si="173"/>
        <v>1</v>
      </c>
      <c r="O896">
        <f t="shared" si="174"/>
        <v>0</v>
      </c>
      <c r="P896">
        <f t="shared" si="175"/>
        <v>0</v>
      </c>
      <c r="Q896">
        <f t="shared" si="176"/>
        <v>0</v>
      </c>
      <c r="R896">
        <v>0</v>
      </c>
      <c r="S896">
        <v>0</v>
      </c>
      <c r="T896">
        <v>0</v>
      </c>
      <c r="U896">
        <v>0</v>
      </c>
      <c r="V896">
        <v>1</v>
      </c>
      <c r="W896">
        <v>1</v>
      </c>
      <c r="X896">
        <v>0</v>
      </c>
      <c r="Y896">
        <v>0</v>
      </c>
      <c r="Z896">
        <v>0</v>
      </c>
      <c r="AA896">
        <v>0</v>
      </c>
      <c r="AB896">
        <v>0</v>
      </c>
      <c r="AC896">
        <v>0</v>
      </c>
      <c r="AD896">
        <v>0</v>
      </c>
      <c r="AE896">
        <v>0</v>
      </c>
      <c r="AF896">
        <v>0</v>
      </c>
      <c r="AG896">
        <v>0</v>
      </c>
      <c r="AH896">
        <v>1</v>
      </c>
      <c r="AI896">
        <v>0</v>
      </c>
      <c r="AJ896">
        <v>0</v>
      </c>
      <c r="AK896">
        <v>0</v>
      </c>
      <c r="AL896">
        <v>0</v>
      </c>
      <c r="AM896">
        <v>0</v>
      </c>
      <c r="AN896">
        <v>0</v>
      </c>
      <c r="AO896">
        <v>0</v>
      </c>
      <c r="AP896">
        <v>0</v>
      </c>
      <c r="AQ896">
        <v>0</v>
      </c>
      <c r="AR896">
        <v>0</v>
      </c>
      <c r="AS896">
        <f t="shared" si="177"/>
        <v>2</v>
      </c>
      <c r="AT896">
        <f t="shared" si="178"/>
        <v>3</v>
      </c>
      <c r="AU896" s="3" t="s">
        <v>1143</v>
      </c>
      <c r="AV896">
        <f t="shared" si="179"/>
        <v>1</v>
      </c>
      <c r="AW896">
        <f t="shared" si="180"/>
        <v>0</v>
      </c>
      <c r="AX896">
        <f t="shared" si="181"/>
        <v>0</v>
      </c>
      <c r="AY896">
        <v>1</v>
      </c>
      <c r="AZ896" t="s">
        <v>60</v>
      </c>
      <c r="BA896" t="s">
        <v>61</v>
      </c>
      <c r="BB896" t="s">
        <v>8</v>
      </c>
    </row>
    <row r="897" ht="286" spans="1:54">
      <c r="A897" t="s">
        <v>3209</v>
      </c>
      <c r="B897" t="s">
        <v>2118</v>
      </c>
      <c r="C897" t="s">
        <v>56</v>
      </c>
      <c r="D897">
        <v>0</v>
      </c>
      <c r="E897">
        <v>0</v>
      </c>
      <c r="F897">
        <v>71.4</v>
      </c>
      <c r="G897" t="s">
        <v>3210</v>
      </c>
      <c r="H897" s="3" t="s">
        <v>3211</v>
      </c>
      <c r="I897" s="3" t="s">
        <v>3212</v>
      </c>
      <c r="J897">
        <f t="shared" si="169"/>
        <v>0</v>
      </c>
      <c r="K897">
        <f t="shared" si="170"/>
        <v>0</v>
      </c>
      <c r="L897">
        <f t="shared" si="171"/>
        <v>0</v>
      </c>
      <c r="M897">
        <f t="shared" si="172"/>
        <v>0</v>
      </c>
      <c r="N897">
        <f t="shared" si="173"/>
        <v>1</v>
      </c>
      <c r="O897">
        <f t="shared" si="174"/>
        <v>1</v>
      </c>
      <c r="P897">
        <f t="shared" si="175"/>
        <v>0</v>
      </c>
      <c r="Q897">
        <f t="shared" si="176"/>
        <v>0</v>
      </c>
      <c r="R897">
        <v>0</v>
      </c>
      <c r="S897">
        <v>0</v>
      </c>
      <c r="T897">
        <v>0</v>
      </c>
      <c r="U897">
        <v>0</v>
      </c>
      <c r="V897">
        <v>0</v>
      </c>
      <c r="W897">
        <v>0</v>
      </c>
      <c r="X897">
        <v>0</v>
      </c>
      <c r="Y897">
        <v>0</v>
      </c>
      <c r="Z897">
        <v>0</v>
      </c>
      <c r="AA897">
        <v>0</v>
      </c>
      <c r="AB897">
        <v>0</v>
      </c>
      <c r="AC897">
        <v>0</v>
      </c>
      <c r="AD897">
        <v>0</v>
      </c>
      <c r="AE897">
        <v>0</v>
      </c>
      <c r="AF897">
        <v>0</v>
      </c>
      <c r="AG897">
        <v>0</v>
      </c>
      <c r="AH897">
        <v>1</v>
      </c>
      <c r="AI897">
        <v>1</v>
      </c>
      <c r="AJ897">
        <v>0</v>
      </c>
      <c r="AK897">
        <v>0</v>
      </c>
      <c r="AL897">
        <v>0</v>
      </c>
      <c r="AM897">
        <v>0</v>
      </c>
      <c r="AN897">
        <v>0</v>
      </c>
      <c r="AO897">
        <v>0</v>
      </c>
      <c r="AP897">
        <v>0</v>
      </c>
      <c r="AQ897">
        <v>0</v>
      </c>
      <c r="AR897">
        <v>0</v>
      </c>
      <c r="AS897">
        <f t="shared" si="177"/>
        <v>2</v>
      </c>
      <c r="AT897">
        <f t="shared" si="178"/>
        <v>2</v>
      </c>
      <c r="AU897" s="3" t="s">
        <v>103</v>
      </c>
      <c r="AV897">
        <f t="shared" si="179"/>
        <v>1</v>
      </c>
      <c r="AW897">
        <f t="shared" si="180"/>
        <v>0</v>
      </c>
      <c r="AX897">
        <f t="shared" si="181"/>
        <v>0</v>
      </c>
      <c r="AY897">
        <v>7</v>
      </c>
      <c r="AZ897" t="s">
        <v>60</v>
      </c>
      <c r="BA897" t="s">
        <v>61</v>
      </c>
      <c r="BB897" t="s">
        <v>8</v>
      </c>
    </row>
    <row r="898" ht="34" spans="1:54">
      <c r="A898" t="s">
        <v>3213</v>
      </c>
      <c r="B898" t="s">
        <v>2118</v>
      </c>
      <c r="C898" t="s">
        <v>116</v>
      </c>
      <c r="D898">
        <v>8</v>
      </c>
      <c r="E898">
        <v>1</v>
      </c>
      <c r="F898">
        <v>6.4</v>
      </c>
      <c r="G898" t="s">
        <v>1011</v>
      </c>
      <c r="H898" s="3" t="s">
        <v>3214</v>
      </c>
      <c r="I898" s="3" t="s">
        <v>3215</v>
      </c>
      <c r="J898">
        <f>IF(SUM(R898:T898)&gt;0,1,0)</f>
        <v>0</v>
      </c>
      <c r="K898">
        <f>IF(SUM(U898:Y898)&gt;0,1,0)</f>
        <v>0</v>
      </c>
      <c r="L898">
        <f>IF(SUM(Z898:AC898)&gt;0,1,0)</f>
        <v>1</v>
      </c>
      <c r="M898">
        <f>IF(SUM(AD898:AF898)&gt;0,1,0)</f>
        <v>0</v>
      </c>
      <c r="N898">
        <f>IF(SUM(AG898:AH898)&gt;0,1,0)</f>
        <v>0</v>
      </c>
      <c r="O898">
        <f>IF(SUM(AI898:AL898)&gt;0,1,0)</f>
        <v>0</v>
      </c>
      <c r="P898">
        <f>IF(SUM(AM898:AQ898)&gt;0,1,0)</f>
        <v>0</v>
      </c>
      <c r="Q898">
        <f>IF(AR898&gt;0,1,0)</f>
        <v>0</v>
      </c>
      <c r="R898">
        <v>0</v>
      </c>
      <c r="S898">
        <v>0</v>
      </c>
      <c r="T898">
        <v>0</v>
      </c>
      <c r="U898">
        <v>0</v>
      </c>
      <c r="V898">
        <v>0</v>
      </c>
      <c r="W898">
        <v>0</v>
      </c>
      <c r="X898">
        <v>0</v>
      </c>
      <c r="Y898">
        <v>0</v>
      </c>
      <c r="Z898">
        <v>1</v>
      </c>
      <c r="AA898">
        <v>0</v>
      </c>
      <c r="AB898">
        <v>0</v>
      </c>
      <c r="AC898">
        <v>0</v>
      </c>
      <c r="AD898">
        <v>0</v>
      </c>
      <c r="AE898">
        <v>0</v>
      </c>
      <c r="AF898">
        <v>0</v>
      </c>
      <c r="AG898">
        <v>0</v>
      </c>
      <c r="AH898">
        <v>0</v>
      </c>
      <c r="AI898">
        <v>0</v>
      </c>
      <c r="AJ898">
        <v>0</v>
      </c>
      <c r="AK898">
        <v>0</v>
      </c>
      <c r="AL898">
        <v>0</v>
      </c>
      <c r="AM898">
        <v>0</v>
      </c>
      <c r="AN898">
        <v>0</v>
      </c>
      <c r="AO898">
        <v>0</v>
      </c>
      <c r="AP898">
        <v>0</v>
      </c>
      <c r="AQ898">
        <v>0</v>
      </c>
      <c r="AR898">
        <v>0</v>
      </c>
      <c r="AS898">
        <f>SUM(J898:Q898)</f>
        <v>1</v>
      </c>
      <c r="AT898">
        <f>SUM(R898:AR898)</f>
        <v>1</v>
      </c>
      <c r="AU898" s="3" t="s">
        <v>146</v>
      </c>
      <c r="AV898">
        <f>IF(AT898&gt;0,1,0)</f>
        <v>1</v>
      </c>
      <c r="AW898">
        <f>IF(AT898=0,1,0)</f>
        <v>0</v>
      </c>
      <c r="AX898">
        <f>IF(AT898&gt;=8,1,0)</f>
        <v>0</v>
      </c>
      <c r="AY898">
        <v>-2.5</v>
      </c>
      <c r="AZ898" t="s">
        <v>133</v>
      </c>
      <c r="BA898" t="s">
        <v>134</v>
      </c>
      <c r="BB898" t="s">
        <v>8</v>
      </c>
    </row>
    <row r="899" ht="34" spans="1:54">
      <c r="A899" t="s">
        <v>3216</v>
      </c>
      <c r="B899" t="s">
        <v>2118</v>
      </c>
      <c r="C899" t="s">
        <v>116</v>
      </c>
      <c r="D899">
        <v>8</v>
      </c>
      <c r="E899">
        <v>0</v>
      </c>
      <c r="F899">
        <v>5.4</v>
      </c>
      <c r="G899" t="s">
        <v>3217</v>
      </c>
      <c r="H899" s="3" t="s">
        <v>3218</v>
      </c>
      <c r="I899" s="3" t="s">
        <v>3219</v>
      </c>
      <c r="J899">
        <f>IF(SUM(R899:T899)&gt;0,1,0)</f>
        <v>0</v>
      </c>
      <c r="K899">
        <f>IF(SUM(U899:Y899)&gt;0,1,0)</f>
        <v>1</v>
      </c>
      <c r="L899">
        <f>IF(SUM(Z899:AC899)&gt;0,1,0)</f>
        <v>0</v>
      </c>
      <c r="M899">
        <f>IF(SUM(AD899:AF899)&gt;0,1,0)</f>
        <v>0</v>
      </c>
      <c r="N899">
        <f>IF(SUM(AG899:AH899)&gt;0,1,0)</f>
        <v>1</v>
      </c>
      <c r="O899">
        <f>IF(SUM(AI899:AL899)&gt;0,1,0)</f>
        <v>0</v>
      </c>
      <c r="P899">
        <f>IF(SUM(AM899:AQ899)&gt;0,1,0)</f>
        <v>0</v>
      </c>
      <c r="Q899">
        <f>IF(AR899&gt;0,1,0)</f>
        <v>0</v>
      </c>
      <c r="R899">
        <v>0</v>
      </c>
      <c r="S899">
        <v>0</v>
      </c>
      <c r="T899">
        <v>0</v>
      </c>
      <c r="U899">
        <v>0</v>
      </c>
      <c r="V899">
        <v>1</v>
      </c>
      <c r="W899">
        <v>0</v>
      </c>
      <c r="X899">
        <v>0</v>
      </c>
      <c r="Y899">
        <v>0</v>
      </c>
      <c r="Z899">
        <v>0</v>
      </c>
      <c r="AA899">
        <v>0</v>
      </c>
      <c r="AB899">
        <v>0</v>
      </c>
      <c r="AC899">
        <v>0</v>
      </c>
      <c r="AD899">
        <v>0</v>
      </c>
      <c r="AE899">
        <v>0</v>
      </c>
      <c r="AF899">
        <v>0</v>
      </c>
      <c r="AG899">
        <v>0</v>
      </c>
      <c r="AH899">
        <v>1</v>
      </c>
      <c r="AI899">
        <v>0</v>
      </c>
      <c r="AJ899">
        <v>0</v>
      </c>
      <c r="AK899">
        <v>0</v>
      </c>
      <c r="AL899">
        <v>0</v>
      </c>
      <c r="AM899">
        <v>0</v>
      </c>
      <c r="AN899">
        <v>0</v>
      </c>
      <c r="AO899">
        <v>0</v>
      </c>
      <c r="AP899">
        <v>0</v>
      </c>
      <c r="AQ899">
        <v>0</v>
      </c>
      <c r="AR899">
        <v>0</v>
      </c>
      <c r="AS899">
        <f>SUM(J899:Q899)</f>
        <v>2</v>
      </c>
      <c r="AT899">
        <f>SUM(R899:AR899)</f>
        <v>2</v>
      </c>
      <c r="AU899" s="3" t="s">
        <v>1124</v>
      </c>
      <c r="AV899">
        <f>IF(AT899&gt;0,1,0)</f>
        <v>1</v>
      </c>
      <c r="AW899">
        <f>IF(AT899=0,1,0)</f>
        <v>0</v>
      </c>
      <c r="AX899">
        <f>IF(AT899&gt;=8,1,0)</f>
        <v>0</v>
      </c>
      <c r="AY899">
        <v>-2</v>
      </c>
      <c r="AZ899" t="s">
        <v>133</v>
      </c>
      <c r="BA899" t="s">
        <v>134</v>
      </c>
      <c r="BB899" t="s">
        <v>8</v>
      </c>
    </row>
    <row r="900" ht="185" spans="1:54">
      <c r="A900" t="s">
        <v>3220</v>
      </c>
      <c r="B900" t="s">
        <v>2118</v>
      </c>
      <c r="C900" t="s">
        <v>116</v>
      </c>
      <c r="D900">
        <v>6</v>
      </c>
      <c r="E900">
        <v>0</v>
      </c>
      <c r="F900">
        <v>40.9</v>
      </c>
      <c r="G900" t="s">
        <v>3221</v>
      </c>
      <c r="H900" s="3" t="s">
        <v>3222</v>
      </c>
      <c r="I900" s="3" t="s">
        <v>3223</v>
      </c>
      <c r="J900">
        <f>IF(SUM(R900:T900)&gt;0,1,0)</f>
        <v>1</v>
      </c>
      <c r="K900">
        <f>IF(SUM(U900:Y900)&gt;0,1,0)</f>
        <v>1</v>
      </c>
      <c r="L900">
        <f>IF(SUM(Z900:AC900)&gt;0,1,0)</f>
        <v>0</v>
      </c>
      <c r="M900">
        <f>IF(SUM(AD900:AF900)&gt;0,1,0)</f>
        <v>0</v>
      </c>
      <c r="N900">
        <f>IF(SUM(AG900:AH900)&gt;0,1,0)</f>
        <v>1</v>
      </c>
      <c r="O900">
        <f>IF(SUM(AI900:AL900)&gt;0,1,0)</f>
        <v>0</v>
      </c>
      <c r="P900">
        <f>IF(SUM(AM900:AQ900)&gt;0,1,0)</f>
        <v>0</v>
      </c>
      <c r="Q900">
        <f>IF(AR900&gt;0,1,0)</f>
        <v>0</v>
      </c>
      <c r="R900">
        <v>1</v>
      </c>
      <c r="S900">
        <v>0</v>
      </c>
      <c r="T900">
        <v>1</v>
      </c>
      <c r="U900">
        <v>1</v>
      </c>
      <c r="V900">
        <v>1</v>
      </c>
      <c r="W900">
        <v>0</v>
      </c>
      <c r="X900">
        <v>0</v>
      </c>
      <c r="Y900">
        <v>0</v>
      </c>
      <c r="Z900">
        <v>0</v>
      </c>
      <c r="AA900">
        <v>0</v>
      </c>
      <c r="AB900">
        <v>0</v>
      </c>
      <c r="AC900">
        <v>0</v>
      </c>
      <c r="AD900">
        <v>0</v>
      </c>
      <c r="AE900">
        <v>0</v>
      </c>
      <c r="AF900">
        <v>0</v>
      </c>
      <c r="AG900">
        <v>0</v>
      </c>
      <c r="AH900">
        <v>1</v>
      </c>
      <c r="AI900">
        <v>0</v>
      </c>
      <c r="AJ900">
        <v>0</v>
      </c>
      <c r="AK900">
        <v>0</v>
      </c>
      <c r="AL900">
        <v>0</v>
      </c>
      <c r="AM900">
        <v>0</v>
      </c>
      <c r="AN900">
        <v>0</v>
      </c>
      <c r="AO900">
        <v>0</v>
      </c>
      <c r="AP900">
        <v>0</v>
      </c>
      <c r="AQ900">
        <v>0</v>
      </c>
      <c r="AR900">
        <v>0</v>
      </c>
      <c r="AS900">
        <f>SUM(J900:Q900)</f>
        <v>3</v>
      </c>
      <c r="AT900">
        <f>SUM(R900:AR900)</f>
        <v>5</v>
      </c>
      <c r="AU900" s="3" t="s">
        <v>3224</v>
      </c>
      <c r="AV900">
        <f>IF(AT900&gt;0,1,0)</f>
        <v>1</v>
      </c>
      <c r="AW900">
        <f>IF(AT900=0,1,0)</f>
        <v>0</v>
      </c>
      <c r="AX900">
        <f>IF(AT900&gt;=8,1,0)</f>
        <v>0</v>
      </c>
      <c r="AY900">
        <v>-2</v>
      </c>
      <c r="AZ900" t="s">
        <v>133</v>
      </c>
      <c r="BA900" t="s">
        <v>134</v>
      </c>
      <c r="BB900" t="s">
        <v>8</v>
      </c>
    </row>
    <row r="901" ht="118" spans="1:54">
      <c r="A901" t="s">
        <v>3225</v>
      </c>
      <c r="B901" t="s">
        <v>2118</v>
      </c>
      <c r="C901" t="s">
        <v>56</v>
      </c>
      <c r="D901">
        <v>0</v>
      </c>
      <c r="E901">
        <v>0</v>
      </c>
      <c r="F901">
        <v>79</v>
      </c>
      <c r="G901" t="s">
        <v>3226</v>
      </c>
      <c r="H901" s="3" t="s">
        <v>3227</v>
      </c>
      <c r="I901" s="3" t="s">
        <v>3228</v>
      </c>
      <c r="J901">
        <f>IF(SUM(R901:T901)&gt;0,1,0)</f>
        <v>1</v>
      </c>
      <c r="K901">
        <f>IF(SUM(U901:Y901)&gt;0,1,0)</f>
        <v>1</v>
      </c>
      <c r="L901">
        <f>IF(SUM(Z901:AC901)&gt;0,1,0)</f>
        <v>1</v>
      </c>
      <c r="M901">
        <f>IF(SUM(AD901:AF901)&gt;0,1,0)</f>
        <v>1</v>
      </c>
      <c r="N901">
        <f>IF(SUM(AG901:AH901)&gt;0,1,0)</f>
        <v>1</v>
      </c>
      <c r="O901">
        <f>IF(SUM(AI901:AL901)&gt;0,1,0)</f>
        <v>1</v>
      </c>
      <c r="P901">
        <f>IF(SUM(AM901:AQ901)&gt;0,1,0)</f>
        <v>0</v>
      </c>
      <c r="Q901">
        <f>IF(AR901&gt;0,1,0)</f>
        <v>0</v>
      </c>
      <c r="R901">
        <v>1</v>
      </c>
      <c r="S901">
        <v>1</v>
      </c>
      <c r="T901">
        <v>1</v>
      </c>
      <c r="U901">
        <v>0</v>
      </c>
      <c r="V901">
        <v>1</v>
      </c>
      <c r="W901">
        <v>0</v>
      </c>
      <c r="X901">
        <v>0</v>
      </c>
      <c r="Y901">
        <v>0</v>
      </c>
      <c r="Z901">
        <v>1</v>
      </c>
      <c r="AA901">
        <v>0</v>
      </c>
      <c r="AB901">
        <v>0</v>
      </c>
      <c r="AC901">
        <v>1</v>
      </c>
      <c r="AD901">
        <v>1</v>
      </c>
      <c r="AE901">
        <v>0</v>
      </c>
      <c r="AF901">
        <v>0</v>
      </c>
      <c r="AG901">
        <v>0</v>
      </c>
      <c r="AH901">
        <v>1</v>
      </c>
      <c r="AI901">
        <v>0</v>
      </c>
      <c r="AJ901">
        <v>0</v>
      </c>
      <c r="AK901">
        <v>0</v>
      </c>
      <c r="AL901">
        <v>1</v>
      </c>
      <c r="AM901">
        <v>0</v>
      </c>
      <c r="AN901">
        <v>0</v>
      </c>
      <c r="AO901">
        <v>0</v>
      </c>
      <c r="AP901">
        <v>0</v>
      </c>
      <c r="AQ901">
        <v>0</v>
      </c>
      <c r="AR901">
        <v>0</v>
      </c>
      <c r="AS901">
        <f>SUM(J901:Q901)</f>
        <v>6</v>
      </c>
      <c r="AT901">
        <f>SUM(R901:AR901)</f>
        <v>9</v>
      </c>
      <c r="AU901" s="3" t="s">
        <v>3229</v>
      </c>
      <c r="AV901">
        <f>IF(AT901&gt;0,1,0)</f>
        <v>1</v>
      </c>
      <c r="AW901">
        <f>IF(AT901=0,1,0)</f>
        <v>0</v>
      </c>
      <c r="AX901">
        <f>IF(AT901&gt;=8,1,0)</f>
        <v>1</v>
      </c>
      <c r="AY901">
        <v>1</v>
      </c>
      <c r="AZ901" t="s">
        <v>60</v>
      </c>
      <c r="BA901" t="s">
        <v>61</v>
      </c>
      <c r="BB901" t="s">
        <v>8</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7"/>
  <sheetViews>
    <sheetView topLeftCell="A43" workbookViewId="0">
      <selection activeCell="A69" sqref="A69"/>
    </sheetView>
  </sheetViews>
  <sheetFormatPr defaultColWidth="9" defaultRowHeight="16.8" outlineLevelCol="6"/>
  <cols>
    <col min="1" max="1" width="31" customWidth="1"/>
    <col min="2" max="7" width="12" customWidth="1"/>
  </cols>
  <sheetData>
    <row r="1" ht="17" spans="1:7">
      <c r="A1" s="1" t="s">
        <v>3230</v>
      </c>
      <c r="B1" s="1" t="s">
        <v>3231</v>
      </c>
      <c r="C1" s="1" t="s">
        <v>3232</v>
      </c>
      <c r="D1" s="1" t="s">
        <v>3233</v>
      </c>
      <c r="E1" s="1" t="s">
        <v>3234</v>
      </c>
      <c r="F1" s="1" t="s">
        <v>3235</v>
      </c>
      <c r="G1" s="1" t="s">
        <v>3236</v>
      </c>
    </row>
    <row r="2" spans="1:7">
      <c r="A2" t="s">
        <v>9</v>
      </c>
      <c r="B2">
        <f>SUM('900条整合编码'!J2:J301)</f>
        <v>184</v>
      </c>
      <c r="C2" s="2">
        <f t="shared" ref="C2:C9" si="0">B2/300</f>
        <v>0.613333333333333</v>
      </c>
      <c r="D2">
        <f>SUM('900条整合编码'!J302:J601)</f>
        <v>100</v>
      </c>
      <c r="E2" s="2">
        <f t="shared" ref="E2:E9" si="1">D2/300</f>
        <v>0.333333333333333</v>
      </c>
      <c r="F2">
        <f>SUM('900条整合编码'!J602:J901)</f>
        <v>121</v>
      </c>
      <c r="G2" s="2">
        <f t="shared" ref="G2:G9" si="2">F2/300</f>
        <v>0.403333333333333</v>
      </c>
    </row>
    <row r="3" spans="1:7">
      <c r="A3" t="s">
        <v>10</v>
      </c>
      <c r="B3">
        <f>SUM('900条整合编码'!K2:K301)</f>
        <v>197</v>
      </c>
      <c r="C3" s="2">
        <f t="shared" si="0"/>
        <v>0.656666666666667</v>
      </c>
      <c r="D3">
        <f>SUM('900条整合编码'!K302:K601)</f>
        <v>176</v>
      </c>
      <c r="E3" s="2">
        <f t="shared" si="1"/>
        <v>0.586666666666667</v>
      </c>
      <c r="F3">
        <f>SUM('900条整合编码'!K602:K901)</f>
        <v>187</v>
      </c>
      <c r="G3" s="2">
        <f t="shared" si="2"/>
        <v>0.623333333333333</v>
      </c>
    </row>
    <row r="4" spans="1:7">
      <c r="A4" t="s">
        <v>11</v>
      </c>
      <c r="B4">
        <f>SUM('900条整合编码'!L2:L301)</f>
        <v>170</v>
      </c>
      <c r="C4" s="2">
        <f t="shared" si="0"/>
        <v>0.566666666666667</v>
      </c>
      <c r="D4">
        <f>SUM('900条整合编码'!L302:L601)</f>
        <v>61</v>
      </c>
      <c r="E4" s="2">
        <f t="shared" si="1"/>
        <v>0.203333333333333</v>
      </c>
      <c r="F4">
        <f>SUM('900条整合编码'!L602:L901)</f>
        <v>87</v>
      </c>
      <c r="G4" s="2">
        <f t="shared" si="2"/>
        <v>0.29</v>
      </c>
    </row>
    <row r="5" spans="1:7">
      <c r="A5" t="s">
        <v>12</v>
      </c>
      <c r="B5">
        <f>SUM('900条整合编码'!M2:M301)</f>
        <v>97</v>
      </c>
      <c r="C5" s="2">
        <f t="shared" si="0"/>
        <v>0.323333333333333</v>
      </c>
      <c r="D5">
        <f>SUM('900条整合编码'!M302:M601)</f>
        <v>36</v>
      </c>
      <c r="E5" s="2">
        <f t="shared" si="1"/>
        <v>0.12</v>
      </c>
      <c r="F5">
        <f>SUM('900条整合编码'!M602:M901)</f>
        <v>41</v>
      </c>
      <c r="G5" s="2">
        <f t="shared" si="2"/>
        <v>0.136666666666667</v>
      </c>
    </row>
    <row r="6" spans="1:7">
      <c r="A6" t="s">
        <v>13</v>
      </c>
      <c r="B6">
        <f>SUM('900条整合编码'!N2:N301)</f>
        <v>200</v>
      </c>
      <c r="C6" s="2">
        <f t="shared" si="0"/>
        <v>0.666666666666667</v>
      </c>
      <c r="D6">
        <f>SUM('900条整合编码'!N302:N601)</f>
        <v>164</v>
      </c>
      <c r="E6" s="2">
        <f t="shared" si="1"/>
        <v>0.546666666666667</v>
      </c>
      <c r="F6">
        <f>SUM('900条整合编码'!N602:N901)</f>
        <v>153</v>
      </c>
      <c r="G6" s="2">
        <f t="shared" si="2"/>
        <v>0.51</v>
      </c>
    </row>
    <row r="7" spans="1:7">
      <c r="A7" t="s">
        <v>14</v>
      </c>
      <c r="B7">
        <f>SUM('900条整合编码'!O2:O301)</f>
        <v>193</v>
      </c>
      <c r="C7" s="2">
        <f t="shared" si="0"/>
        <v>0.643333333333333</v>
      </c>
      <c r="D7">
        <f>SUM('900条整合编码'!O302:O601)</f>
        <v>71</v>
      </c>
      <c r="E7" s="2">
        <f t="shared" si="1"/>
        <v>0.236666666666667</v>
      </c>
      <c r="F7">
        <f>SUM('900条整合编码'!O602:O901)</f>
        <v>72</v>
      </c>
      <c r="G7" s="2">
        <f t="shared" si="2"/>
        <v>0.24</v>
      </c>
    </row>
    <row r="8" spans="1:7">
      <c r="A8" t="s">
        <v>15</v>
      </c>
      <c r="B8">
        <f>SUM('900条整合编码'!P2:P301)</f>
        <v>98</v>
      </c>
      <c r="C8" s="2">
        <f t="shared" si="0"/>
        <v>0.326666666666667</v>
      </c>
      <c r="D8">
        <f>SUM('900条整合编码'!P302:P601)</f>
        <v>20</v>
      </c>
      <c r="E8" s="2">
        <f t="shared" si="1"/>
        <v>0.0666666666666667</v>
      </c>
      <c r="F8">
        <f>SUM('900条整合编码'!P602:P901)</f>
        <v>20</v>
      </c>
      <c r="G8" s="2">
        <f t="shared" si="2"/>
        <v>0.0666666666666667</v>
      </c>
    </row>
    <row r="9" spans="1:7">
      <c r="A9" t="s">
        <v>16</v>
      </c>
      <c r="B9">
        <f>SUM('900条整合编码'!Q2:Q301)</f>
        <v>133</v>
      </c>
      <c r="C9" s="2">
        <f t="shared" si="0"/>
        <v>0.443333333333333</v>
      </c>
      <c r="D9">
        <f>SUM('900条整合编码'!Q302:Q601)</f>
        <v>10</v>
      </c>
      <c r="E9" s="2">
        <f t="shared" si="1"/>
        <v>0.0333333333333333</v>
      </c>
      <c r="F9">
        <f>SUM('900条整合编码'!Q602:Q901)</f>
        <v>19</v>
      </c>
      <c r="G9" s="2">
        <f t="shared" si="2"/>
        <v>0.0633333333333333</v>
      </c>
    </row>
    <row r="13" ht="17" spans="1:7">
      <c r="A13" s="1" t="s">
        <v>3237</v>
      </c>
      <c r="B13" s="1" t="s">
        <v>3231</v>
      </c>
      <c r="C13" s="1" t="s">
        <v>3232</v>
      </c>
      <c r="D13" s="1" t="s">
        <v>3233</v>
      </c>
      <c r="E13" s="1" t="s">
        <v>3234</v>
      </c>
      <c r="F13" s="1" t="s">
        <v>3235</v>
      </c>
      <c r="G13" s="1" t="s">
        <v>3236</v>
      </c>
    </row>
    <row r="14" spans="1:7">
      <c r="A14" t="s">
        <v>17</v>
      </c>
      <c r="B14">
        <f>SUM('900条整合编码'!R2:R301)</f>
        <v>162</v>
      </c>
      <c r="C14" s="2">
        <f t="shared" ref="C14:C40" si="3">B14/300</f>
        <v>0.54</v>
      </c>
      <c r="D14">
        <f>SUM('900条整合编码'!R302:R601)</f>
        <v>82</v>
      </c>
      <c r="E14" s="2">
        <f t="shared" ref="E14:E40" si="4">D14/300</f>
        <v>0.273333333333333</v>
      </c>
      <c r="F14">
        <f>SUM('900条整合编码'!R602:R901)</f>
        <v>90</v>
      </c>
      <c r="G14" s="2">
        <f t="shared" ref="G14:G40" si="5">F14/300</f>
        <v>0.3</v>
      </c>
    </row>
    <row r="15" spans="1:7">
      <c r="A15" t="s">
        <v>18</v>
      </c>
      <c r="B15">
        <f>SUM('900条整合编码'!S2:S301)</f>
        <v>97</v>
      </c>
      <c r="C15" s="2">
        <f t="shared" si="3"/>
        <v>0.323333333333333</v>
      </c>
      <c r="D15">
        <f>SUM('900条整合编码'!S302:S601)</f>
        <v>21</v>
      </c>
      <c r="E15" s="2">
        <f t="shared" si="4"/>
        <v>0.07</v>
      </c>
      <c r="F15">
        <f>SUM('900条整合编码'!S602:S901)</f>
        <v>20</v>
      </c>
      <c r="G15" s="2">
        <f t="shared" si="5"/>
        <v>0.0666666666666667</v>
      </c>
    </row>
    <row r="16" spans="1:7">
      <c r="A16" t="s">
        <v>19</v>
      </c>
      <c r="B16">
        <f>SUM('900条整合编码'!T2:T301)</f>
        <v>98</v>
      </c>
      <c r="C16" s="2">
        <f t="shared" si="3"/>
        <v>0.326666666666667</v>
      </c>
      <c r="D16">
        <f>SUM('900条整合编码'!T302:T601)</f>
        <v>27</v>
      </c>
      <c r="E16" s="2">
        <f t="shared" si="4"/>
        <v>0.09</v>
      </c>
      <c r="F16">
        <f>SUM('900条整合编码'!T602:T901)</f>
        <v>51</v>
      </c>
      <c r="G16" s="2">
        <f t="shared" si="5"/>
        <v>0.17</v>
      </c>
    </row>
    <row r="17" spans="1:7">
      <c r="A17" t="s">
        <v>20</v>
      </c>
      <c r="B17">
        <f>SUM('900条整合编码'!U2:U301)</f>
        <v>141</v>
      </c>
      <c r="C17" s="2">
        <f t="shared" si="3"/>
        <v>0.47</v>
      </c>
      <c r="D17">
        <f>SUM('900条整合编码'!U302:U601)</f>
        <v>107</v>
      </c>
      <c r="E17" s="2">
        <f t="shared" si="4"/>
        <v>0.356666666666667</v>
      </c>
      <c r="F17">
        <f>SUM('900条整合编码'!U602:U901)</f>
        <v>85</v>
      </c>
      <c r="G17" s="2">
        <f t="shared" si="5"/>
        <v>0.283333333333333</v>
      </c>
    </row>
    <row r="18" spans="1:7">
      <c r="A18" t="s">
        <v>21</v>
      </c>
      <c r="B18">
        <f>SUM('900条整合编码'!V2:V301)</f>
        <v>153</v>
      </c>
      <c r="C18" s="2">
        <f t="shared" si="3"/>
        <v>0.51</v>
      </c>
      <c r="D18">
        <f>SUM('900条整合编码'!V302:V601)</f>
        <v>92</v>
      </c>
      <c r="E18" s="2">
        <f t="shared" si="4"/>
        <v>0.306666666666667</v>
      </c>
      <c r="F18">
        <f>SUM('900条整合编码'!V602:V901)</f>
        <v>99</v>
      </c>
      <c r="G18" s="2">
        <f t="shared" si="5"/>
        <v>0.33</v>
      </c>
    </row>
    <row r="19" spans="1:7">
      <c r="A19" t="s">
        <v>22</v>
      </c>
      <c r="B19">
        <f>SUM('900条整合编码'!W2:W301)</f>
        <v>131</v>
      </c>
      <c r="C19" s="2">
        <f t="shared" si="3"/>
        <v>0.436666666666667</v>
      </c>
      <c r="D19">
        <f>SUM('900条整合编码'!W302:W601)</f>
        <v>64</v>
      </c>
      <c r="E19" s="2">
        <f t="shared" si="4"/>
        <v>0.213333333333333</v>
      </c>
      <c r="F19">
        <f>SUM('900条整合编码'!W602:W901)</f>
        <v>90</v>
      </c>
      <c r="G19" s="2">
        <f t="shared" si="5"/>
        <v>0.3</v>
      </c>
    </row>
    <row r="20" spans="1:7">
      <c r="A20" t="s">
        <v>23</v>
      </c>
      <c r="B20">
        <f>SUM('900条整合编码'!X2:X301)</f>
        <v>68</v>
      </c>
      <c r="C20" s="2">
        <f t="shared" si="3"/>
        <v>0.226666666666667</v>
      </c>
      <c r="D20">
        <f>SUM('900条整合编码'!X302:X601)</f>
        <v>5</v>
      </c>
      <c r="E20" s="2">
        <f t="shared" si="4"/>
        <v>0.0166666666666667</v>
      </c>
      <c r="F20">
        <f>SUM('900条整合编码'!X602:X901)</f>
        <v>3</v>
      </c>
      <c r="G20" s="2">
        <f t="shared" si="5"/>
        <v>0.01</v>
      </c>
    </row>
    <row r="21" spans="1:7">
      <c r="A21" t="s">
        <v>24</v>
      </c>
      <c r="B21">
        <f>SUM('900条整合编码'!Y2:Y301)</f>
        <v>52</v>
      </c>
      <c r="C21" s="2">
        <f t="shared" si="3"/>
        <v>0.173333333333333</v>
      </c>
      <c r="D21">
        <f>SUM('900条整合编码'!Y302:Y601)</f>
        <v>15</v>
      </c>
      <c r="E21" s="2">
        <f t="shared" si="4"/>
        <v>0.05</v>
      </c>
      <c r="F21">
        <f>SUM('900条整合编码'!Y602:Y901)</f>
        <v>9</v>
      </c>
      <c r="G21" s="2">
        <f t="shared" si="5"/>
        <v>0.03</v>
      </c>
    </row>
    <row r="22" spans="1:7">
      <c r="A22" t="s">
        <v>25</v>
      </c>
      <c r="B22">
        <f>SUM('900条整合编码'!Z2:Z301)</f>
        <v>144</v>
      </c>
      <c r="C22" s="2">
        <f t="shared" si="3"/>
        <v>0.48</v>
      </c>
      <c r="D22">
        <f>SUM('900条整合编码'!Z302:Z601)</f>
        <v>33</v>
      </c>
      <c r="E22" s="2">
        <f t="shared" si="4"/>
        <v>0.11</v>
      </c>
      <c r="F22">
        <f>SUM('900条整合编码'!Z602:Z901)</f>
        <v>49</v>
      </c>
      <c r="G22" s="2">
        <f t="shared" si="5"/>
        <v>0.163333333333333</v>
      </c>
    </row>
    <row r="23" spans="1:7">
      <c r="A23" t="s">
        <v>26</v>
      </c>
      <c r="B23">
        <f>SUM('900条整合编码'!AA2:AA301)</f>
        <v>91</v>
      </c>
      <c r="C23" s="2">
        <f t="shared" si="3"/>
        <v>0.303333333333333</v>
      </c>
      <c r="D23">
        <f>SUM('900条整合编码'!AA302:AA601)</f>
        <v>18</v>
      </c>
      <c r="E23" s="2">
        <f t="shared" si="4"/>
        <v>0.06</v>
      </c>
      <c r="F23">
        <f>SUM('900条整合编码'!AA602:AA901)</f>
        <v>16</v>
      </c>
      <c r="G23" s="2">
        <f t="shared" si="5"/>
        <v>0.0533333333333333</v>
      </c>
    </row>
    <row r="24" spans="1:7">
      <c r="A24" t="s">
        <v>27</v>
      </c>
      <c r="B24">
        <f>SUM('900条整合编码'!AB2:AB301)</f>
        <v>112</v>
      </c>
      <c r="C24" s="2">
        <f t="shared" si="3"/>
        <v>0.373333333333333</v>
      </c>
      <c r="D24">
        <f>SUM('900条整合编码'!AB302:AB601)</f>
        <v>30</v>
      </c>
      <c r="E24" s="2">
        <f t="shared" si="4"/>
        <v>0.1</v>
      </c>
      <c r="F24">
        <f>SUM('900条整合编码'!AB602:AB901)</f>
        <v>23</v>
      </c>
      <c r="G24" s="2">
        <f t="shared" si="5"/>
        <v>0.0766666666666667</v>
      </c>
    </row>
    <row r="25" spans="1:7">
      <c r="A25" t="s">
        <v>28</v>
      </c>
      <c r="B25">
        <f>SUM('900条整合编码'!AC2:AC301)</f>
        <v>102</v>
      </c>
      <c r="C25" s="2">
        <f t="shared" si="3"/>
        <v>0.34</v>
      </c>
      <c r="D25">
        <f>SUM('900条整合编码'!AC302:AC601)</f>
        <v>13</v>
      </c>
      <c r="E25" s="2">
        <f t="shared" si="4"/>
        <v>0.0433333333333333</v>
      </c>
      <c r="F25">
        <f>SUM('900条整合编码'!AC602:AC901)</f>
        <v>38</v>
      </c>
      <c r="G25" s="2">
        <f t="shared" si="5"/>
        <v>0.126666666666667</v>
      </c>
    </row>
    <row r="26" spans="1:7">
      <c r="A26" t="s">
        <v>29</v>
      </c>
      <c r="B26">
        <f>SUM('900条整合编码'!AD2:AD301)</f>
        <v>87</v>
      </c>
      <c r="C26" s="2">
        <f t="shared" si="3"/>
        <v>0.29</v>
      </c>
      <c r="D26">
        <f>SUM('900条整合编码'!AD302:AD601)</f>
        <v>20</v>
      </c>
      <c r="E26" s="2">
        <f t="shared" si="4"/>
        <v>0.0666666666666667</v>
      </c>
      <c r="F26">
        <f>SUM('900条整合编码'!AD602:AD901)</f>
        <v>27</v>
      </c>
      <c r="G26" s="2">
        <f t="shared" si="5"/>
        <v>0.09</v>
      </c>
    </row>
    <row r="27" spans="1:7">
      <c r="A27" t="s">
        <v>30</v>
      </c>
      <c r="B27">
        <f>SUM('900条整合编码'!AE2:AE301)</f>
        <v>23</v>
      </c>
      <c r="C27" s="2">
        <f t="shared" si="3"/>
        <v>0.0766666666666667</v>
      </c>
      <c r="D27">
        <f>SUM('900条整合编码'!AE302:AE601)</f>
        <v>13</v>
      </c>
      <c r="E27" s="2">
        <f t="shared" si="4"/>
        <v>0.0433333333333333</v>
      </c>
      <c r="F27">
        <f>SUM('900条整合编码'!AE602:AE901)</f>
        <v>7</v>
      </c>
      <c r="G27" s="2">
        <f t="shared" si="5"/>
        <v>0.0233333333333333</v>
      </c>
    </row>
    <row r="28" spans="1:7">
      <c r="A28" t="s">
        <v>31</v>
      </c>
      <c r="B28">
        <f>SUM('900条整合编码'!AF2:AF301)</f>
        <v>39</v>
      </c>
      <c r="C28" s="2">
        <f t="shared" si="3"/>
        <v>0.13</v>
      </c>
      <c r="D28">
        <f>SUM('900条整合编码'!AF302:AF601)</f>
        <v>19</v>
      </c>
      <c r="E28" s="2">
        <f t="shared" si="4"/>
        <v>0.0633333333333333</v>
      </c>
      <c r="F28">
        <f>SUM('900条整合编码'!AF602:AF901)</f>
        <v>15</v>
      </c>
      <c r="G28" s="2">
        <f t="shared" si="5"/>
        <v>0.05</v>
      </c>
    </row>
    <row r="29" spans="1:7">
      <c r="A29" t="s">
        <v>32</v>
      </c>
      <c r="B29">
        <f>SUM('900条整合编码'!AG2:AG301)</f>
        <v>99</v>
      </c>
      <c r="C29" s="2">
        <f t="shared" si="3"/>
        <v>0.33</v>
      </c>
      <c r="D29">
        <f>SUM('900条整合编码'!AG302:AG601)</f>
        <v>24</v>
      </c>
      <c r="E29" s="2">
        <f t="shared" si="4"/>
        <v>0.08</v>
      </c>
      <c r="F29">
        <f>SUM('900条整合编码'!AG602:AG901)</f>
        <v>23</v>
      </c>
      <c r="G29" s="2">
        <f t="shared" si="5"/>
        <v>0.0766666666666667</v>
      </c>
    </row>
    <row r="30" spans="1:7">
      <c r="A30" t="s">
        <v>33</v>
      </c>
      <c r="B30">
        <f>SUM('900条整合编码'!AH2:AH301)</f>
        <v>179</v>
      </c>
      <c r="C30" s="2">
        <f t="shared" si="3"/>
        <v>0.596666666666667</v>
      </c>
      <c r="D30">
        <f>SUM('900条整合编码'!AH302:AH601)</f>
        <v>155</v>
      </c>
      <c r="E30" s="2">
        <f t="shared" si="4"/>
        <v>0.516666666666667</v>
      </c>
      <c r="F30">
        <f>SUM('900条整合编码'!AH602:AH901)</f>
        <v>139</v>
      </c>
      <c r="G30" s="2">
        <f t="shared" si="5"/>
        <v>0.463333333333333</v>
      </c>
    </row>
    <row r="31" spans="1:7">
      <c r="A31" t="s">
        <v>34</v>
      </c>
      <c r="B31">
        <f>SUM('900条整合编码'!AI2:AI301)</f>
        <v>173</v>
      </c>
      <c r="C31" s="2">
        <f t="shared" si="3"/>
        <v>0.576666666666667</v>
      </c>
      <c r="D31">
        <f>SUM('900条整合编码'!AI302:AI601)</f>
        <v>54</v>
      </c>
      <c r="E31" s="2">
        <f t="shared" si="4"/>
        <v>0.18</v>
      </c>
      <c r="F31">
        <f>SUM('900条整合编码'!AI602:AI901)</f>
        <v>63</v>
      </c>
      <c r="G31" s="2">
        <f t="shared" si="5"/>
        <v>0.21</v>
      </c>
    </row>
    <row r="32" spans="1:7">
      <c r="A32" t="s">
        <v>35</v>
      </c>
      <c r="B32">
        <f>SUM('900条整合编码'!AJ2:AJ301)</f>
        <v>59</v>
      </c>
      <c r="C32" s="2">
        <f t="shared" si="3"/>
        <v>0.196666666666667</v>
      </c>
      <c r="D32">
        <f>SUM('900条整合编码'!AJ302:AJ601)</f>
        <v>5</v>
      </c>
      <c r="E32" s="2">
        <f t="shared" si="4"/>
        <v>0.0166666666666667</v>
      </c>
      <c r="F32">
        <f>SUM('900条整合编码'!AJ602:AJ901)</f>
        <v>2</v>
      </c>
      <c r="G32" s="2">
        <f t="shared" si="5"/>
        <v>0.00666666666666667</v>
      </c>
    </row>
    <row r="33" spans="1:7">
      <c r="A33" t="s">
        <v>36</v>
      </c>
      <c r="B33">
        <f>SUM('900条整合编码'!AK2:AK301)</f>
        <v>63</v>
      </c>
      <c r="C33" s="2">
        <f t="shared" si="3"/>
        <v>0.21</v>
      </c>
      <c r="D33">
        <f>SUM('900条整合编码'!AK302:AK601)</f>
        <v>9</v>
      </c>
      <c r="E33" s="2">
        <f t="shared" si="4"/>
        <v>0.03</v>
      </c>
      <c r="F33">
        <f>SUM('900条整合编码'!AK602:AK901)</f>
        <v>8</v>
      </c>
      <c r="G33" s="2">
        <f t="shared" si="5"/>
        <v>0.0266666666666667</v>
      </c>
    </row>
    <row r="34" spans="1:7">
      <c r="A34" t="s">
        <v>37</v>
      </c>
      <c r="B34">
        <f>SUM('900条整合编码'!AL2:AL301)</f>
        <v>93</v>
      </c>
      <c r="C34" s="2">
        <f t="shared" si="3"/>
        <v>0.31</v>
      </c>
      <c r="D34">
        <f>SUM('900条整合编码'!AL302:AL601)</f>
        <v>20</v>
      </c>
      <c r="E34" s="2">
        <f t="shared" si="4"/>
        <v>0.0666666666666667</v>
      </c>
      <c r="F34">
        <f>SUM('900条整合编码'!AL602:AL901)</f>
        <v>11</v>
      </c>
      <c r="G34" s="2">
        <f t="shared" si="5"/>
        <v>0.0366666666666667</v>
      </c>
    </row>
    <row r="35" spans="1:7">
      <c r="A35" t="s">
        <v>38</v>
      </c>
      <c r="B35">
        <f>SUM('900条整合编码'!AM2:AM301)</f>
        <v>2</v>
      </c>
      <c r="C35" s="2">
        <f t="shared" si="3"/>
        <v>0.00666666666666667</v>
      </c>
      <c r="D35">
        <f>SUM('900条整合编码'!AM302:AM601)</f>
        <v>2</v>
      </c>
      <c r="E35" s="2">
        <f t="shared" si="4"/>
        <v>0.00666666666666667</v>
      </c>
      <c r="F35">
        <f>SUM('900条整合编码'!AM602:AM901)</f>
        <v>4</v>
      </c>
      <c r="G35" s="2">
        <f t="shared" si="5"/>
        <v>0.0133333333333333</v>
      </c>
    </row>
    <row r="36" spans="1:7">
      <c r="A36" t="s">
        <v>39</v>
      </c>
      <c r="B36">
        <f>SUM('900条整合编码'!AN2:AN301)</f>
        <v>41</v>
      </c>
      <c r="C36" s="2">
        <f t="shared" si="3"/>
        <v>0.136666666666667</v>
      </c>
      <c r="D36">
        <f>SUM('900条整合编码'!AN302:AN601)</f>
        <v>5</v>
      </c>
      <c r="E36" s="2">
        <f t="shared" si="4"/>
        <v>0.0166666666666667</v>
      </c>
      <c r="F36">
        <f>SUM('900条整合编码'!AN602:AN901)</f>
        <v>3</v>
      </c>
      <c r="G36" s="2">
        <f t="shared" si="5"/>
        <v>0.01</v>
      </c>
    </row>
    <row r="37" spans="1:7">
      <c r="A37" t="s">
        <v>40</v>
      </c>
      <c r="B37">
        <f>SUM('900条整合编码'!AO2:AO301)</f>
        <v>0</v>
      </c>
      <c r="C37" s="2">
        <f t="shared" si="3"/>
        <v>0</v>
      </c>
      <c r="D37">
        <f>SUM('900条整合编码'!AO302:AO601)</f>
        <v>0</v>
      </c>
      <c r="E37" s="2">
        <f t="shared" si="4"/>
        <v>0</v>
      </c>
      <c r="F37">
        <f>SUM('900条整合编码'!AO602:AO901)</f>
        <v>3</v>
      </c>
      <c r="G37" s="2">
        <f t="shared" si="5"/>
        <v>0.01</v>
      </c>
    </row>
    <row r="38" spans="1:7">
      <c r="A38" t="s">
        <v>41</v>
      </c>
      <c r="B38">
        <f>SUM('900条整合编码'!AP2:AP301)</f>
        <v>49</v>
      </c>
      <c r="C38" s="2">
        <f t="shared" si="3"/>
        <v>0.163333333333333</v>
      </c>
      <c r="D38">
        <f>SUM('900条整合编码'!AP302:AP601)</f>
        <v>12</v>
      </c>
      <c r="E38" s="2">
        <f t="shared" si="4"/>
        <v>0.04</v>
      </c>
      <c r="F38">
        <f>SUM('900条整合编码'!AP602:AP901)</f>
        <v>10</v>
      </c>
      <c r="G38" s="2">
        <f t="shared" si="5"/>
        <v>0.0333333333333333</v>
      </c>
    </row>
    <row r="39" spans="1:7">
      <c r="A39" t="s">
        <v>42</v>
      </c>
      <c r="B39">
        <f>SUM('900条整合编码'!AQ2:AQ301)</f>
        <v>56</v>
      </c>
      <c r="C39" s="2">
        <f t="shared" si="3"/>
        <v>0.186666666666667</v>
      </c>
      <c r="D39">
        <f>SUM('900条整合编码'!AQ302:AQ601)</f>
        <v>3</v>
      </c>
      <c r="E39" s="2">
        <f t="shared" si="4"/>
        <v>0.01</v>
      </c>
      <c r="F39">
        <f>SUM('900条整合编码'!AQ602:AQ901)</f>
        <v>2</v>
      </c>
      <c r="G39" s="2">
        <f t="shared" si="5"/>
        <v>0.00666666666666667</v>
      </c>
    </row>
    <row r="40" spans="1:7">
      <c r="A40" t="s">
        <v>43</v>
      </c>
      <c r="B40">
        <f>SUM('900条整合编码'!AR2:AR301)</f>
        <v>133</v>
      </c>
      <c r="C40" s="2">
        <f t="shared" si="3"/>
        <v>0.443333333333333</v>
      </c>
      <c r="D40">
        <f>SUM('900条整合编码'!AR302:AR601)</f>
        <v>10</v>
      </c>
      <c r="E40" s="2">
        <f t="shared" si="4"/>
        <v>0.0333333333333333</v>
      </c>
      <c r="F40">
        <f>SUM('900条整合编码'!AR602:AR901)</f>
        <v>19</v>
      </c>
      <c r="G40" s="2">
        <f t="shared" si="5"/>
        <v>0.0633333333333333</v>
      </c>
    </row>
    <row r="43" ht="32" customHeight="1" spans="1:7">
      <c r="A43" s="1" t="s">
        <v>3238</v>
      </c>
      <c r="B43" s="1" t="s">
        <v>3231</v>
      </c>
      <c r="C43" s="1" t="s">
        <v>3232</v>
      </c>
      <c r="D43" s="1" t="s">
        <v>3233</v>
      </c>
      <c r="E43" s="1" t="s">
        <v>3234</v>
      </c>
      <c r="F43" s="1" t="s">
        <v>3235</v>
      </c>
      <c r="G43" s="1" t="s">
        <v>3236</v>
      </c>
    </row>
    <row r="44" ht="32" customHeight="1" spans="1:7">
      <c r="A44" t="s">
        <v>60</v>
      </c>
      <c r="B44">
        <f>COUNTIFS('900条整合编码'!$B$2:$B$901,"中文",'900条整合编码'!$AZ$2:$AZ$901,"正面")</f>
        <v>254</v>
      </c>
      <c r="C44" s="2">
        <f>B44/300</f>
        <v>0.846666666666667</v>
      </c>
      <c r="D44">
        <f>COUNTIFS('900条整合编码'!$B$2:$B$901,"日文",'900条整合编码'!$AZ$2:$AZ$901,"正面")</f>
        <v>217</v>
      </c>
      <c r="E44" s="2">
        <f>D44/300</f>
        <v>0.723333333333333</v>
      </c>
      <c r="F44">
        <f>COUNTIFS('900条整合编码'!$B$2:$B$901,"韩文",'900条整合编码'!$AZ$2:$AZ$901,"正面")</f>
        <v>196</v>
      </c>
      <c r="G44" s="2">
        <f>F44/300</f>
        <v>0.653333333333333</v>
      </c>
    </row>
    <row r="45" ht="32" customHeight="1" spans="1:7">
      <c r="A45" t="s">
        <v>147</v>
      </c>
      <c r="B45">
        <f>COUNTIFS('900条整合编码'!$B$2:$B$901,"中文",'900条整合编码'!$AZ$2:$AZ$901,"中性")</f>
        <v>18</v>
      </c>
      <c r="C45" s="2">
        <f>B45/300</f>
        <v>0.06</v>
      </c>
      <c r="D45">
        <f>COUNTIFS('900条整合编码'!$B$2:$B$901,"日文",'900条整合编码'!$AZ$2:$AZ$901,"中性")</f>
        <v>33</v>
      </c>
      <c r="E45" s="2">
        <f>D45/300</f>
        <v>0.11</v>
      </c>
      <c r="F45">
        <f>COUNTIFS('900条整合编码'!$B$2:$B$901,"韩文",'900条整合编码'!$AZ$2:$AZ$901,"中性")</f>
        <v>23</v>
      </c>
      <c r="G45" s="2">
        <f>F45/300</f>
        <v>0.0766666666666667</v>
      </c>
    </row>
    <row r="46" ht="32" customHeight="1" spans="1:7">
      <c r="A46" t="s">
        <v>133</v>
      </c>
      <c r="B46">
        <f>COUNTIFS('900条整合编码'!$B$2:$B$901,"中文",'900条整合编码'!$AZ$2:$AZ$901,"负面")</f>
        <v>28</v>
      </c>
      <c r="C46" s="2">
        <f>B46/300</f>
        <v>0.0933333333333333</v>
      </c>
      <c r="D46">
        <f>COUNTIFS('900条整合编码'!$B$2:$B$901,"日文",'900条整合编码'!$AZ$2:$AZ$901,"负面")</f>
        <v>50</v>
      </c>
      <c r="E46" s="2">
        <f>D46/300</f>
        <v>0.166666666666667</v>
      </c>
      <c r="F46">
        <f>COUNTIFS('900条整合编码'!$B$2:$B$901,"韩文",'900条整合编码'!$AZ$2:$AZ$901,"负面")</f>
        <v>81</v>
      </c>
      <c r="G46" s="2">
        <f>F46/300</f>
        <v>0.27</v>
      </c>
    </row>
    <row r="47" ht="32" customHeight="1"/>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8"/>
  <sheetViews>
    <sheetView topLeftCell="A53" workbookViewId="0">
      <selection activeCell="B48" sqref="B48"/>
    </sheetView>
  </sheetViews>
  <sheetFormatPr defaultColWidth="9" defaultRowHeight="16.8" outlineLevelCol="1"/>
  <cols>
    <col min="1" max="1" width="31" customWidth="1"/>
    <col min="2" max="2" width="90" customWidth="1"/>
  </cols>
  <sheetData>
    <row r="1" ht="17" spans="1:2">
      <c r="A1" s="1" t="s">
        <v>3239</v>
      </c>
      <c r="B1" s="1" t="s">
        <v>3240</v>
      </c>
    </row>
    <row r="2" spans="1:2">
      <c r="A2" t="s">
        <v>3241</v>
      </c>
      <c r="B2" t="s">
        <v>3242</v>
      </c>
    </row>
    <row r="3" spans="1:2">
      <c r="A3" t="s">
        <v>3243</v>
      </c>
      <c r="B3" t="s">
        <v>3244</v>
      </c>
    </row>
    <row r="4" spans="1:2">
      <c r="A4" t="s">
        <v>3245</v>
      </c>
      <c r="B4" t="s">
        <v>3246</v>
      </c>
    </row>
    <row r="5" spans="1:2">
      <c r="A5" t="s">
        <v>3247</v>
      </c>
      <c r="B5" t="s">
        <v>3248</v>
      </c>
    </row>
    <row r="6" spans="1:2">
      <c r="A6" t="s">
        <v>3249</v>
      </c>
      <c r="B6" t="s">
        <v>3250</v>
      </c>
    </row>
    <row r="7" spans="1:2">
      <c r="A7" t="s">
        <v>3251</v>
      </c>
      <c r="B7" t="s">
        <v>3252</v>
      </c>
    </row>
    <row r="9" ht="17" spans="1:2">
      <c r="A9" s="1" t="s">
        <v>3230</v>
      </c>
      <c r="B9" s="1" t="s">
        <v>3253</v>
      </c>
    </row>
    <row r="10" spans="1:2">
      <c r="A10" t="s">
        <v>9</v>
      </c>
      <c r="B10" t="s">
        <v>3254</v>
      </c>
    </row>
    <row r="11" spans="1:2">
      <c r="A11" t="s">
        <v>10</v>
      </c>
      <c r="B11" t="s">
        <v>3255</v>
      </c>
    </row>
    <row r="12" spans="1:2">
      <c r="A12" t="s">
        <v>11</v>
      </c>
      <c r="B12" t="s">
        <v>3256</v>
      </c>
    </row>
    <row r="13" spans="1:2">
      <c r="A13" t="s">
        <v>12</v>
      </c>
      <c r="B13" t="s">
        <v>3257</v>
      </c>
    </row>
    <row r="14" spans="1:2">
      <c r="A14" t="s">
        <v>13</v>
      </c>
      <c r="B14" t="s">
        <v>3258</v>
      </c>
    </row>
    <row r="15" spans="1:2">
      <c r="A15" t="s">
        <v>14</v>
      </c>
      <c r="B15" t="s">
        <v>3259</v>
      </c>
    </row>
    <row r="16" spans="1:2">
      <c r="A16" t="s">
        <v>15</v>
      </c>
      <c r="B16" t="s">
        <v>3260</v>
      </c>
    </row>
    <row r="17" spans="1:2">
      <c r="A17" t="s">
        <v>16</v>
      </c>
      <c r="B17" t="s">
        <v>3261</v>
      </c>
    </row>
    <row r="19" ht="17" spans="1:2">
      <c r="A19" s="1" t="s">
        <v>3237</v>
      </c>
      <c r="B19" s="1" t="s">
        <v>3262</v>
      </c>
    </row>
    <row r="20" spans="1:2">
      <c r="A20" t="s">
        <v>17</v>
      </c>
      <c r="B20" t="s">
        <v>3263</v>
      </c>
    </row>
    <row r="21" spans="1:2">
      <c r="A21" t="s">
        <v>18</v>
      </c>
      <c r="B21" t="s">
        <v>3264</v>
      </c>
    </row>
    <row r="22" spans="1:2">
      <c r="A22" t="s">
        <v>19</v>
      </c>
      <c r="B22" t="s">
        <v>3265</v>
      </c>
    </row>
    <row r="23" spans="1:2">
      <c r="A23" t="s">
        <v>20</v>
      </c>
      <c r="B23" t="s">
        <v>3266</v>
      </c>
    </row>
    <row r="24" spans="1:2">
      <c r="A24" t="s">
        <v>21</v>
      </c>
      <c r="B24" t="s">
        <v>3267</v>
      </c>
    </row>
    <row r="25" spans="1:2">
      <c r="A25" t="s">
        <v>22</v>
      </c>
      <c r="B25" t="s">
        <v>3268</v>
      </c>
    </row>
    <row r="26" spans="1:2">
      <c r="A26" t="s">
        <v>23</v>
      </c>
      <c r="B26" t="s">
        <v>3269</v>
      </c>
    </row>
    <row r="27" spans="1:2">
      <c r="A27" t="s">
        <v>24</v>
      </c>
      <c r="B27" t="s">
        <v>3270</v>
      </c>
    </row>
    <row r="28" spans="1:2">
      <c r="A28" t="s">
        <v>25</v>
      </c>
      <c r="B28" t="s">
        <v>3271</v>
      </c>
    </row>
    <row r="29" spans="1:2">
      <c r="A29" t="s">
        <v>26</v>
      </c>
      <c r="B29" t="s">
        <v>3272</v>
      </c>
    </row>
    <row r="30" spans="1:2">
      <c r="A30" t="s">
        <v>27</v>
      </c>
      <c r="B30" t="s">
        <v>3273</v>
      </c>
    </row>
    <row r="31" spans="1:2">
      <c r="A31" t="s">
        <v>28</v>
      </c>
      <c r="B31" t="s">
        <v>3274</v>
      </c>
    </row>
    <row r="32" spans="1:2">
      <c r="A32" t="s">
        <v>29</v>
      </c>
      <c r="B32" t="s">
        <v>3275</v>
      </c>
    </row>
    <row r="33" spans="1:2">
      <c r="A33" t="s">
        <v>30</v>
      </c>
      <c r="B33" t="s">
        <v>3276</v>
      </c>
    </row>
    <row r="34" spans="1:2">
      <c r="A34" t="s">
        <v>31</v>
      </c>
      <c r="B34" t="s">
        <v>3277</v>
      </c>
    </row>
    <row r="35" spans="1:2">
      <c r="A35" t="s">
        <v>32</v>
      </c>
      <c r="B35" t="s">
        <v>3278</v>
      </c>
    </row>
    <row r="36" spans="1:2">
      <c r="A36" t="s">
        <v>33</v>
      </c>
      <c r="B36" t="s">
        <v>3279</v>
      </c>
    </row>
    <row r="37" spans="1:2">
      <c r="A37" t="s">
        <v>34</v>
      </c>
      <c r="B37" t="s">
        <v>3280</v>
      </c>
    </row>
    <row r="38" spans="1:2">
      <c r="A38" t="s">
        <v>35</v>
      </c>
      <c r="B38" t="s">
        <v>3281</v>
      </c>
    </row>
    <row r="39" spans="1:2">
      <c r="A39" t="s">
        <v>36</v>
      </c>
      <c r="B39" t="s">
        <v>3282</v>
      </c>
    </row>
    <row r="40" spans="1:2">
      <c r="A40" t="s">
        <v>37</v>
      </c>
      <c r="B40" t="s">
        <v>3283</v>
      </c>
    </row>
    <row r="41" spans="1:2">
      <c r="A41" t="s">
        <v>38</v>
      </c>
      <c r="B41" t="s">
        <v>3284</v>
      </c>
    </row>
    <row r="42" spans="1:2">
      <c r="A42" t="s">
        <v>39</v>
      </c>
      <c r="B42" t="s">
        <v>3285</v>
      </c>
    </row>
    <row r="43" spans="1:2">
      <c r="A43" t="s">
        <v>40</v>
      </c>
      <c r="B43" t="s">
        <v>3286</v>
      </c>
    </row>
    <row r="44" spans="1:2">
      <c r="A44" t="s">
        <v>41</v>
      </c>
      <c r="B44" t="s">
        <v>3287</v>
      </c>
    </row>
    <row r="45" spans="1:2">
      <c r="A45" t="s">
        <v>42</v>
      </c>
      <c r="B45" t="s">
        <v>3288</v>
      </c>
    </row>
    <row r="46" spans="1:2">
      <c r="A46" t="s">
        <v>43</v>
      </c>
      <c r="B46" t="s">
        <v>3289</v>
      </c>
    </row>
    <row r="48" ht="48" customHeight="1" spans="1:2">
      <c r="A48" t="s">
        <v>3290</v>
      </c>
      <c r="B48" t="s">
        <v>3291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900条整合编码</vt:lpstr>
      <vt:lpstr>编码统计</vt:lpstr>
      <vt:lpstr>编码手册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光夫</cp:lastModifiedBy>
  <dcterms:created xsi:type="dcterms:W3CDTF">2026-09-29T07:51:00Z</dcterms:created>
  <dcterms:modified xsi:type="dcterms:W3CDTF">2026-10-01T11:21:44Z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2052-12.1.26046.26046</vt:lpwstr>
  </property>
  <property fmtid="{D5CDD505-2E9C-101B-9397-08002B2CF9AE}" pid="3" name="CalculationRule">
    <vt:i4>0</vt:i4>
  </property>
  <property fmtid="{D5CDD505-2E9C-101B-9397-08002B2CF9AE}" pid="4" name="ICV">
    <vt:lpwstr>C7C54C90732137E1B8C3BD6A7E466260_43</vt:lpwstr>
  </property>
</Properties>
</file>